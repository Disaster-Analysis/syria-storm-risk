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emad.k\Desktop\معرض\"/>
    </mc:Choice>
  </mc:AlternateContent>
  <xr:revisionPtr revIDLastSave="0" documentId="13_ncr:1_{6FCF1C2F-06B3-418D-8DD9-FC82750A6E7A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Storm_GIS" sheetId="1" r:id="rId1"/>
  </sheets>
  <externalReferences>
    <externalReference r:id="rId2"/>
    <externalReference r:id="rId3"/>
  </externalReferences>
  <definedNames>
    <definedName name="_xlnm._FilterDatabase" localSheetId="0" hidden="1">Storm_GIS!$A$1:$Q$1114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31" i="1" l="1"/>
  <c r="P229" i="1"/>
  <c r="P213" i="1"/>
  <c r="P65" i="1"/>
  <c r="P58" i="1"/>
  <c r="P54" i="1"/>
  <c r="Q963" i="1"/>
  <c r="Q1112" i="1"/>
  <c r="Q1111" i="1"/>
  <c r="Q1110" i="1"/>
  <c r="Q1114" i="1"/>
  <c r="Q1113" i="1"/>
  <c r="Q879" i="1"/>
  <c r="Q1103" i="1"/>
  <c r="Q1098" i="1"/>
  <c r="Q1097" i="1"/>
  <c r="Q1096" i="1"/>
  <c r="Q1095" i="1"/>
  <c r="Q1094" i="1"/>
  <c r="Q1093" i="1"/>
  <c r="Q1092" i="1"/>
  <c r="Q1091" i="1"/>
  <c r="Q1090" i="1"/>
  <c r="Q1089" i="1"/>
  <c r="Q1088" i="1"/>
  <c r="Q1076" i="1"/>
  <c r="Q1075" i="1"/>
  <c r="Q1074" i="1"/>
  <c r="Q1058" i="1"/>
  <c r="Q1056" i="1"/>
  <c r="Q1055" i="1"/>
  <c r="Q1054" i="1"/>
  <c r="Q1052" i="1"/>
  <c r="Q1051" i="1"/>
  <c r="Q1050" i="1"/>
  <c r="Q1049" i="1"/>
  <c r="Q1048" i="1"/>
  <c r="Q1019" i="1"/>
  <c r="Q1018" i="1"/>
  <c r="Q1017" i="1"/>
  <c r="Q1013" i="1"/>
  <c r="Q1011" i="1"/>
  <c r="Q1010" i="1"/>
  <c r="Q1008" i="1"/>
  <c r="Q1007" i="1"/>
  <c r="Q1004" i="1"/>
  <c r="Q1001" i="1"/>
  <c r="Q957" i="1"/>
  <c r="Q876" i="1"/>
  <c r="Q928" i="1"/>
  <c r="Q872" i="1"/>
  <c r="Q871" i="1"/>
  <c r="Q870" i="1"/>
  <c r="Q869" i="1"/>
  <c r="Q868" i="1"/>
  <c r="Q867" i="1"/>
  <c r="Q866" i="1"/>
  <c r="Q865" i="1"/>
  <c r="Q864" i="1"/>
  <c r="Q863" i="1"/>
  <c r="Q862" i="1"/>
  <c r="Q861" i="1"/>
  <c r="Q858" i="1"/>
  <c r="Q853" i="1"/>
  <c r="Q852" i="1"/>
  <c r="Q851" i="1"/>
  <c r="Q850" i="1"/>
  <c r="Q841" i="1"/>
  <c r="Q840" i="1"/>
  <c r="Q837" i="1"/>
  <c r="Q835" i="1"/>
  <c r="Q834" i="1"/>
  <c r="Q833" i="1"/>
  <c r="Q832" i="1"/>
  <c r="Q831" i="1"/>
  <c r="Q828" i="1"/>
  <c r="Q827" i="1"/>
  <c r="Q826" i="1"/>
  <c r="Q825" i="1"/>
  <c r="Q819" i="1"/>
  <c r="Q818" i="1"/>
  <c r="Q817" i="1"/>
  <c r="Q816" i="1"/>
  <c r="Q813" i="1"/>
  <c r="Q811" i="1"/>
  <c r="Q810" i="1"/>
  <c r="Q809" i="1"/>
  <c r="Q808" i="1"/>
  <c r="Q806" i="1"/>
  <c r="Q805" i="1"/>
  <c r="Q804" i="1"/>
  <c r="Q803" i="1"/>
  <c r="Q802" i="1"/>
  <c r="Q801" i="1"/>
  <c r="Q800" i="1"/>
  <c r="Q798" i="1"/>
  <c r="Q797" i="1"/>
  <c r="Q796" i="1"/>
  <c r="Q795" i="1"/>
  <c r="Q794" i="1"/>
  <c r="Q789" i="1"/>
  <c r="Q788" i="1"/>
  <c r="Q786" i="1"/>
  <c r="Q785" i="1"/>
  <c r="Q783" i="1"/>
  <c r="Q782" i="1"/>
  <c r="Q781" i="1"/>
  <c r="Q776" i="1"/>
  <c r="Q775" i="1"/>
  <c r="Q774" i="1"/>
  <c r="Q771" i="1"/>
  <c r="Q770" i="1"/>
  <c r="Q768" i="1"/>
  <c r="Q764" i="1"/>
  <c r="Q761" i="1"/>
  <c r="Q760" i="1"/>
  <c r="Q757" i="1"/>
  <c r="Q755" i="1"/>
  <c r="Q754" i="1"/>
  <c r="Q749" i="1"/>
  <c r="Q747" i="1"/>
  <c r="Q539" i="1"/>
  <c r="Q538" i="1"/>
  <c r="Q531" i="1"/>
  <c r="Q527" i="1"/>
  <c r="Q526" i="1"/>
  <c r="Q525" i="1"/>
  <c r="Q524" i="1"/>
  <c r="Q520" i="1"/>
  <c r="Q518" i="1"/>
  <c r="Q517" i="1"/>
  <c r="Q516" i="1"/>
  <c r="Q509" i="1"/>
  <c r="Q507" i="1"/>
  <c r="Q505" i="1"/>
  <c r="Q504" i="1"/>
  <c r="Q501" i="1"/>
  <c r="Q493" i="1"/>
  <c r="Q489" i="1"/>
  <c r="Q488" i="1"/>
  <c r="Q487" i="1"/>
  <c r="Q486" i="1"/>
  <c r="Q485" i="1"/>
  <c r="Q484" i="1"/>
  <c r="Q483" i="1"/>
  <c r="Q482" i="1"/>
  <c r="Q481" i="1"/>
  <c r="Q480" i="1"/>
  <c r="Q479" i="1"/>
  <c r="Q477" i="1"/>
  <c r="Q476" i="1"/>
  <c r="Q473" i="1"/>
  <c r="Q472" i="1"/>
  <c r="Q471" i="1"/>
  <c r="Q470" i="1"/>
  <c r="Q469" i="1"/>
  <c r="Q468" i="1"/>
  <c r="Q467" i="1"/>
  <c r="Q466" i="1"/>
  <c r="Q465" i="1"/>
  <c r="Q464" i="1"/>
  <c r="Q463" i="1"/>
  <c r="Q462" i="1"/>
  <c r="Q461" i="1"/>
  <c r="Q458" i="1"/>
  <c r="Q454" i="1"/>
  <c r="Q453" i="1"/>
  <c r="Q452" i="1"/>
  <c r="Q444" i="1"/>
  <c r="Q439" i="1"/>
  <c r="Q434" i="1"/>
  <c r="Q431" i="1"/>
  <c r="Q426" i="1"/>
  <c r="Q423" i="1"/>
  <c r="Q421" i="1"/>
  <c r="Q415" i="1"/>
  <c r="Q413" i="1"/>
  <c r="Q411" i="1"/>
  <c r="Q407" i="1"/>
  <c r="Q402" i="1"/>
  <c r="Q401" i="1"/>
  <c r="Q383" i="1"/>
  <c r="Q381" i="1"/>
  <c r="Q379" i="1"/>
  <c r="Q378" i="1"/>
  <c r="Q377" i="1"/>
  <c r="Q376" i="1"/>
  <c r="Q375" i="1"/>
  <c r="Q374" i="1"/>
  <c r="Q373" i="1"/>
  <c r="Q372" i="1"/>
  <c r="Q371" i="1"/>
  <c r="Q370" i="1"/>
  <c r="Q369" i="1"/>
  <c r="Q368" i="1"/>
  <c r="Q367" i="1"/>
  <c r="Q366" i="1"/>
  <c r="Q365" i="1"/>
  <c r="Q364" i="1"/>
  <c r="Q363" i="1"/>
  <c r="Q362" i="1"/>
  <c r="Q349" i="1"/>
  <c r="Q348" i="1"/>
  <c r="Q346" i="1"/>
  <c r="Q339" i="1"/>
  <c r="Q336" i="1"/>
  <c r="Q335" i="1"/>
  <c r="Q334" i="1"/>
  <c r="Q333" i="1"/>
  <c r="Q332" i="1"/>
  <c r="Q316" i="1"/>
  <c r="Q312" i="1"/>
  <c r="Q310" i="1"/>
  <c r="Q309" i="1"/>
  <c r="Q308" i="1"/>
  <c r="Q301" i="1"/>
  <c r="Q292" i="1"/>
  <c r="Q289" i="1"/>
  <c r="Q286" i="1"/>
  <c r="Q276" i="1"/>
  <c r="Q266" i="1"/>
  <c r="Q261" i="1"/>
  <c r="Q246" i="1"/>
  <c r="Q236" i="1"/>
  <c r="Q232" i="1"/>
  <c r="Q231" i="1"/>
  <c r="Q229" i="1"/>
  <c r="Q213" i="1"/>
  <c r="Q65" i="1"/>
  <c r="Q58" i="1"/>
  <c r="Q54" i="1"/>
  <c r="Q49" i="1"/>
  <c r="P879" i="1"/>
  <c r="P1103" i="1"/>
  <c r="P1098" i="1"/>
  <c r="P1097" i="1"/>
  <c r="P1096" i="1"/>
  <c r="P1095" i="1"/>
  <c r="P1094" i="1"/>
  <c r="P1093" i="1"/>
  <c r="P1092" i="1"/>
  <c r="P1091" i="1"/>
  <c r="P1090" i="1"/>
  <c r="P1089" i="1"/>
  <c r="P1088" i="1"/>
  <c r="P1076" i="1"/>
  <c r="P1075" i="1"/>
  <c r="P1074" i="1"/>
  <c r="P1058" i="1"/>
  <c r="P1056" i="1"/>
  <c r="P1055" i="1"/>
  <c r="P1054" i="1"/>
  <c r="P1052" i="1"/>
  <c r="P1051" i="1"/>
  <c r="P1050" i="1"/>
  <c r="P1049" i="1"/>
  <c r="P1048" i="1"/>
  <c r="P1019" i="1"/>
  <c r="P1018" i="1"/>
  <c r="P1017" i="1"/>
  <c r="P1013" i="1"/>
  <c r="P1011" i="1"/>
  <c r="P1010" i="1"/>
  <c r="P1008" i="1"/>
  <c r="P1007" i="1"/>
  <c r="P1004" i="1"/>
  <c r="P1001" i="1"/>
  <c r="P957" i="1"/>
  <c r="P876" i="1"/>
  <c r="P928" i="1"/>
  <c r="P872" i="1"/>
  <c r="P871" i="1"/>
  <c r="P870" i="1"/>
  <c r="P869" i="1"/>
  <c r="P868" i="1"/>
  <c r="P867" i="1"/>
  <c r="P866" i="1"/>
  <c r="P865" i="1"/>
  <c r="P864" i="1"/>
  <c r="P863" i="1"/>
  <c r="P862" i="1"/>
  <c r="P861" i="1"/>
  <c r="P858" i="1"/>
  <c r="P853" i="1"/>
  <c r="P852" i="1"/>
  <c r="P851" i="1"/>
  <c r="P850" i="1"/>
  <c r="P841" i="1"/>
  <c r="P840" i="1"/>
  <c r="P837" i="1"/>
  <c r="P835" i="1"/>
  <c r="P834" i="1"/>
  <c r="P833" i="1"/>
  <c r="P832" i="1"/>
  <c r="P831" i="1"/>
  <c r="P828" i="1"/>
  <c r="P827" i="1"/>
  <c r="P826" i="1"/>
  <c r="P825" i="1"/>
  <c r="P819" i="1"/>
  <c r="P818" i="1"/>
  <c r="P817" i="1"/>
  <c r="P816" i="1"/>
  <c r="P813" i="1"/>
  <c r="P811" i="1"/>
  <c r="P810" i="1"/>
  <c r="P809" i="1"/>
  <c r="P808" i="1"/>
  <c r="P806" i="1"/>
  <c r="P805" i="1"/>
  <c r="P804" i="1"/>
  <c r="P803" i="1"/>
  <c r="P802" i="1"/>
  <c r="P801" i="1"/>
  <c r="P800" i="1"/>
  <c r="P798" i="1"/>
  <c r="P797" i="1"/>
  <c r="P796" i="1"/>
  <c r="P795" i="1"/>
  <c r="P794" i="1"/>
  <c r="P789" i="1"/>
  <c r="P788" i="1"/>
  <c r="P786" i="1"/>
  <c r="P785" i="1"/>
  <c r="P783" i="1"/>
  <c r="P782" i="1"/>
  <c r="P781" i="1"/>
  <c r="P776" i="1"/>
  <c r="P775" i="1"/>
  <c r="P774" i="1"/>
  <c r="P771" i="1"/>
  <c r="P770" i="1"/>
  <c r="P768" i="1"/>
  <c r="P764" i="1"/>
  <c r="P761" i="1"/>
  <c r="P760" i="1"/>
  <c r="P757" i="1"/>
  <c r="P755" i="1"/>
  <c r="P754" i="1"/>
  <c r="P749" i="1"/>
  <c r="P747" i="1"/>
  <c r="P539" i="1"/>
  <c r="P538" i="1"/>
  <c r="P531" i="1"/>
  <c r="P527" i="1"/>
  <c r="P526" i="1"/>
  <c r="P525" i="1"/>
  <c r="P524" i="1"/>
  <c r="P520" i="1"/>
  <c r="P518" i="1"/>
  <c r="P517" i="1"/>
  <c r="P516" i="1"/>
  <c r="P509" i="1"/>
  <c r="P507" i="1"/>
  <c r="P505" i="1"/>
  <c r="P504" i="1"/>
  <c r="P501" i="1"/>
  <c r="P493" i="1"/>
  <c r="P489" i="1"/>
  <c r="P488" i="1"/>
  <c r="P487" i="1"/>
  <c r="P486" i="1"/>
  <c r="P485" i="1"/>
  <c r="P484" i="1"/>
  <c r="P483" i="1"/>
  <c r="P482" i="1"/>
  <c r="P481" i="1"/>
  <c r="P480" i="1"/>
  <c r="P479" i="1"/>
  <c r="P477" i="1"/>
  <c r="P476" i="1"/>
  <c r="P473" i="1"/>
  <c r="P472" i="1"/>
  <c r="P471" i="1"/>
  <c r="P470" i="1"/>
  <c r="P469" i="1"/>
  <c r="P468" i="1"/>
  <c r="P467" i="1"/>
  <c r="P466" i="1"/>
  <c r="P465" i="1"/>
  <c r="P464" i="1"/>
  <c r="P463" i="1"/>
  <c r="P462" i="1"/>
  <c r="P461" i="1"/>
  <c r="P458" i="1"/>
  <c r="P454" i="1"/>
  <c r="P453" i="1"/>
  <c r="P452" i="1"/>
  <c r="P444" i="1"/>
  <c r="P439" i="1"/>
  <c r="P434" i="1"/>
  <c r="P431" i="1"/>
  <c r="P426" i="1"/>
  <c r="P423" i="1"/>
  <c r="P421" i="1"/>
  <c r="P415" i="1"/>
  <c r="P413" i="1"/>
  <c r="P411" i="1"/>
  <c r="P407" i="1"/>
  <c r="P402" i="1"/>
  <c r="P401" i="1"/>
  <c r="P383" i="1"/>
  <c r="P381" i="1"/>
  <c r="P379" i="1"/>
  <c r="P378" i="1"/>
  <c r="P377" i="1"/>
  <c r="P376" i="1"/>
  <c r="P375" i="1"/>
  <c r="P374" i="1"/>
  <c r="P373" i="1"/>
  <c r="P372" i="1"/>
  <c r="P371" i="1"/>
  <c r="P370" i="1"/>
  <c r="P369" i="1"/>
  <c r="P368" i="1"/>
  <c r="P367" i="1"/>
  <c r="P366" i="1"/>
  <c r="P365" i="1"/>
  <c r="P364" i="1"/>
  <c r="P363" i="1"/>
  <c r="P362" i="1"/>
  <c r="P349" i="1"/>
  <c r="P348" i="1"/>
  <c r="P346" i="1"/>
  <c r="P339" i="1"/>
  <c r="P336" i="1"/>
  <c r="P335" i="1"/>
  <c r="P334" i="1"/>
  <c r="P333" i="1"/>
  <c r="P332" i="1"/>
  <c r="P316" i="1"/>
  <c r="P312" i="1"/>
  <c r="P310" i="1"/>
  <c r="P309" i="1"/>
  <c r="P308" i="1"/>
  <c r="P301" i="1"/>
  <c r="P292" i="1"/>
  <c r="P289" i="1"/>
  <c r="P286" i="1"/>
  <c r="P276" i="1"/>
  <c r="P266" i="1"/>
  <c r="P261" i="1"/>
  <c r="P246" i="1"/>
  <c r="P236" i="1"/>
  <c r="P232" i="1"/>
  <c r="P49" i="1"/>
  <c r="Q159" i="1"/>
  <c r="P159" i="1"/>
  <c r="Q878" i="1"/>
  <c r="Q877" i="1"/>
  <c r="Q875" i="1"/>
  <c r="Q874" i="1"/>
  <c r="Q873" i="1"/>
  <c r="Q860" i="1"/>
  <c r="Q859" i="1"/>
  <c r="Q857" i="1"/>
  <c r="Q856" i="1"/>
  <c r="Q855" i="1"/>
  <c r="Q854" i="1"/>
  <c r="Q849" i="1"/>
  <c r="Q848" i="1"/>
  <c r="Q847" i="1"/>
  <c r="Q846" i="1"/>
  <c r="Q845" i="1"/>
  <c r="Q844" i="1"/>
  <c r="Q843" i="1"/>
  <c r="Q842" i="1"/>
  <c r="Q839" i="1"/>
  <c r="Q838" i="1"/>
  <c r="Q836" i="1"/>
  <c r="Q830" i="1"/>
  <c r="Q829" i="1"/>
  <c r="Q824" i="1"/>
  <c r="Q823" i="1"/>
  <c r="Q822" i="1"/>
  <c r="Q821" i="1"/>
  <c r="Q820" i="1"/>
  <c r="Q815" i="1"/>
  <c r="Q814" i="1"/>
  <c r="Q812" i="1"/>
  <c r="Q807" i="1"/>
  <c r="Q799" i="1"/>
  <c r="Q793" i="1"/>
  <c r="Q792" i="1"/>
  <c r="Q791" i="1"/>
  <c r="Q790" i="1"/>
  <c r="Q787" i="1"/>
  <c r="Q784" i="1"/>
  <c r="Q780" i="1"/>
  <c r="Q779" i="1"/>
  <c r="Q778" i="1"/>
  <c r="Q777" i="1"/>
  <c r="Q773" i="1"/>
  <c r="Q772" i="1"/>
  <c r="Q769" i="1"/>
  <c r="Q767" i="1"/>
  <c r="Q766" i="1"/>
  <c r="Q765" i="1"/>
  <c r="Q763" i="1"/>
  <c r="Q762" i="1"/>
  <c r="Q759" i="1"/>
  <c r="Q758" i="1"/>
  <c r="Q756" i="1"/>
  <c r="Q753" i="1"/>
  <c r="Q752" i="1"/>
  <c r="Q751" i="1"/>
  <c r="Q750" i="1"/>
  <c r="Q748" i="1"/>
  <c r="P878" i="1"/>
  <c r="P877" i="1"/>
  <c r="P875" i="1"/>
  <c r="P874" i="1"/>
  <c r="P873" i="1"/>
  <c r="P860" i="1"/>
  <c r="P859" i="1"/>
  <c r="P857" i="1"/>
  <c r="P856" i="1"/>
  <c r="P855" i="1"/>
  <c r="P854" i="1"/>
  <c r="P849" i="1"/>
  <c r="P848" i="1"/>
  <c r="P847" i="1"/>
  <c r="P846" i="1"/>
  <c r="P845" i="1"/>
  <c r="P844" i="1"/>
  <c r="P843" i="1"/>
  <c r="P842" i="1"/>
  <c r="P839" i="1"/>
  <c r="P838" i="1"/>
  <c r="P836" i="1"/>
  <c r="P830" i="1"/>
  <c r="P829" i="1"/>
  <c r="P824" i="1"/>
  <c r="P823" i="1"/>
  <c r="P822" i="1"/>
  <c r="P821" i="1"/>
  <c r="P820" i="1"/>
  <c r="P815" i="1"/>
  <c r="P814" i="1"/>
  <c r="P812" i="1"/>
  <c r="P807" i="1"/>
  <c r="P799" i="1"/>
  <c r="P793" i="1"/>
  <c r="P792" i="1"/>
  <c r="P791" i="1"/>
  <c r="P790" i="1"/>
  <c r="P787" i="1"/>
  <c r="P784" i="1"/>
  <c r="P780" i="1"/>
  <c r="P779" i="1"/>
  <c r="P778" i="1"/>
  <c r="P777" i="1"/>
  <c r="P773" i="1"/>
  <c r="P772" i="1"/>
  <c r="P769" i="1"/>
  <c r="P767" i="1"/>
  <c r="P766" i="1"/>
  <c r="P765" i="1"/>
  <c r="P763" i="1"/>
  <c r="P762" i="1"/>
  <c r="P759" i="1"/>
  <c r="P758" i="1"/>
  <c r="P756" i="1"/>
  <c r="P753" i="1"/>
  <c r="P752" i="1"/>
  <c r="P751" i="1"/>
  <c r="P750" i="1"/>
  <c r="P748" i="1"/>
  <c r="Q44" i="1"/>
  <c r="P44" i="1"/>
  <c r="O44" i="1"/>
  <c r="P36" i="1"/>
  <c r="P33" i="1"/>
  <c r="P31" i="1"/>
  <c r="P32" i="1"/>
  <c r="P29" i="1"/>
  <c r="P30" i="1"/>
  <c r="P25" i="1"/>
  <c r="P26" i="1"/>
  <c r="P27" i="1"/>
  <c r="P24" i="1"/>
  <c r="Q71" i="1"/>
  <c r="Q70" i="1"/>
  <c r="Q69" i="1"/>
  <c r="Q67" i="1"/>
  <c r="Q66" i="1"/>
  <c r="Q64" i="1"/>
  <c r="Q63" i="1"/>
  <c r="Q62" i="1"/>
  <c r="Q61" i="1"/>
  <c r="Q60" i="1"/>
  <c r="Q59" i="1"/>
  <c r="Q57" i="1"/>
  <c r="Q56" i="1"/>
  <c r="Q55" i="1"/>
  <c r="Q53" i="1"/>
  <c r="Q52" i="1"/>
  <c r="Q51" i="1"/>
  <c r="Q50" i="1"/>
  <c r="Q48" i="1"/>
  <c r="Q47" i="1"/>
  <c r="Q46" i="1"/>
  <c r="Q45" i="1"/>
  <c r="Q43" i="1"/>
  <c r="Q42" i="1"/>
  <c r="Q41" i="1"/>
  <c r="Q40" i="1"/>
  <c r="Q39" i="1"/>
  <c r="Q38" i="1"/>
  <c r="Q37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7" i="1"/>
  <c r="P66" i="1"/>
  <c r="P64" i="1"/>
  <c r="P63" i="1"/>
  <c r="P62" i="1"/>
  <c r="P61" i="1"/>
  <c r="P60" i="1"/>
  <c r="P59" i="1"/>
  <c r="P57" i="1"/>
  <c r="P56" i="1"/>
  <c r="P55" i="1"/>
  <c r="P53" i="1"/>
  <c r="P52" i="1"/>
  <c r="P51" i="1"/>
  <c r="P50" i="1"/>
  <c r="P48" i="1"/>
  <c r="P47" i="1"/>
  <c r="P46" i="1"/>
  <c r="P45" i="1"/>
  <c r="P43" i="1"/>
  <c r="P42" i="1"/>
  <c r="P41" i="1"/>
  <c r="P40" i="1"/>
  <c r="P39" i="1"/>
  <c r="P38" i="1"/>
  <c r="P37" i="1"/>
  <c r="O10" i="1"/>
  <c r="P10" i="1"/>
  <c r="Q10" i="1"/>
  <c r="O1109" i="1"/>
  <c r="O1108" i="1"/>
  <c r="O1107" i="1"/>
  <c r="O1106" i="1"/>
  <c r="O1105" i="1"/>
  <c r="O1104" i="1"/>
  <c r="O1103" i="1"/>
  <c r="O1101" i="1"/>
  <c r="O1099" i="1"/>
  <c r="O1098" i="1"/>
  <c r="O1097" i="1"/>
  <c r="O1096" i="1"/>
  <c r="O1095" i="1"/>
  <c r="O1094" i="1"/>
  <c r="O1093" i="1"/>
  <c r="O1092" i="1"/>
  <c r="O1091" i="1"/>
  <c r="O1090" i="1"/>
  <c r="O1089" i="1"/>
  <c r="O1088" i="1"/>
  <c r="O1019" i="1"/>
  <c r="O1018" i="1"/>
  <c r="O1017" i="1"/>
  <c r="O1016" i="1"/>
  <c r="O1015" i="1"/>
  <c r="O1014" i="1"/>
  <c r="O1013" i="1"/>
  <c r="O1012" i="1"/>
  <c r="O1011" i="1"/>
  <c r="O1010" i="1"/>
  <c r="O1009" i="1"/>
  <c r="O1008" i="1"/>
  <c r="O1007" i="1"/>
  <c r="O1002" i="1"/>
  <c r="O1005" i="1"/>
  <c r="O1006" i="1"/>
  <c r="O1004" i="1"/>
  <c r="O1003" i="1"/>
  <c r="O1001" i="1"/>
  <c r="P963" i="1"/>
  <c r="O963" i="1"/>
  <c r="Q5" i="1"/>
  <c r="P5" i="1"/>
  <c r="O5" i="1"/>
  <c r="Q4" i="1"/>
  <c r="P4" i="1"/>
  <c r="O4" i="1"/>
  <c r="Q3" i="1"/>
  <c r="P3" i="1"/>
  <c r="O3" i="1"/>
  <c r="Q2" i="1"/>
  <c r="P2" i="1"/>
  <c r="O2" i="1"/>
  <c r="Q23" i="1"/>
  <c r="P23" i="1"/>
  <c r="O23" i="1"/>
  <c r="Q22" i="1"/>
  <c r="P22" i="1"/>
  <c r="O22" i="1"/>
  <c r="Q21" i="1"/>
  <c r="P21" i="1"/>
  <c r="O21" i="1"/>
  <c r="Q20" i="1"/>
  <c r="P20" i="1"/>
  <c r="O20" i="1"/>
  <c r="Q19" i="1"/>
  <c r="P19" i="1"/>
  <c r="O19" i="1"/>
  <c r="Q18" i="1"/>
  <c r="P18" i="1"/>
  <c r="O18" i="1"/>
  <c r="Q17" i="1"/>
  <c r="P17" i="1"/>
  <c r="O17" i="1"/>
  <c r="Q16" i="1"/>
  <c r="P16" i="1"/>
  <c r="O16" i="1"/>
  <c r="Q15" i="1"/>
  <c r="P15" i="1"/>
  <c r="O15" i="1"/>
  <c r="Q14" i="1"/>
  <c r="P14" i="1"/>
  <c r="O14" i="1"/>
  <c r="Q13" i="1"/>
  <c r="P13" i="1"/>
  <c r="O13" i="1"/>
  <c r="Q12" i="1"/>
  <c r="P12" i="1"/>
  <c r="O12" i="1"/>
  <c r="Q11" i="1"/>
  <c r="P11" i="1"/>
  <c r="O11" i="1"/>
  <c r="P746" i="1"/>
  <c r="P214" i="1"/>
  <c r="P215" i="1"/>
  <c r="P216" i="1"/>
  <c r="P217" i="1"/>
  <c r="P218" i="1"/>
  <c r="P219" i="1"/>
  <c r="P1087" i="1"/>
  <c r="P929" i="1"/>
  <c r="P930" i="1"/>
  <c r="P931" i="1"/>
  <c r="P932" i="1"/>
  <c r="P933" i="1"/>
  <c r="P934" i="1"/>
  <c r="P935" i="1"/>
  <c r="P936" i="1"/>
  <c r="P937" i="1"/>
  <c r="P996" i="1"/>
  <c r="P997" i="1"/>
  <c r="P220" i="1"/>
  <c r="P221" i="1"/>
  <c r="P222" i="1"/>
  <c r="P223" i="1"/>
  <c r="P224" i="1"/>
  <c r="P225" i="1"/>
  <c r="P226" i="1"/>
  <c r="P227" i="1"/>
  <c r="P228" i="1"/>
  <c r="P230" i="1"/>
  <c r="P234" i="1"/>
  <c r="P250" i="1"/>
  <c r="P283" i="1"/>
  <c r="P285" i="1"/>
  <c r="P938" i="1"/>
  <c r="P939" i="1"/>
  <c r="P940" i="1"/>
  <c r="P941" i="1"/>
  <c r="P942" i="1"/>
  <c r="P943" i="1"/>
  <c r="P998" i="1"/>
  <c r="P999" i="1"/>
  <c r="P148" i="1"/>
  <c r="P149" i="1"/>
  <c r="P150" i="1"/>
  <c r="P151" i="1"/>
  <c r="P152" i="1"/>
  <c r="P153" i="1"/>
  <c r="P1053" i="1"/>
  <c r="P288" i="1"/>
  <c r="P291" i="1"/>
  <c r="P293" i="1"/>
  <c r="P296" i="1"/>
  <c r="P298" i="1"/>
  <c r="P304" i="1"/>
  <c r="P305" i="1"/>
  <c r="P306" i="1"/>
  <c r="P307" i="1"/>
  <c r="P311" i="1"/>
  <c r="P313" i="1"/>
  <c r="P314" i="1"/>
  <c r="P315" i="1"/>
  <c r="P317" i="1"/>
  <c r="P944" i="1"/>
  <c r="P945" i="1"/>
  <c r="P946" i="1"/>
  <c r="P947" i="1"/>
  <c r="P948" i="1"/>
  <c r="P949" i="1"/>
  <c r="P1005" i="1"/>
  <c r="P1006" i="1"/>
  <c r="P1057" i="1"/>
  <c r="P154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7" i="1"/>
  <c r="P338" i="1"/>
  <c r="P340" i="1"/>
  <c r="P341" i="1"/>
  <c r="P342" i="1"/>
  <c r="P343" i="1"/>
  <c r="P344" i="1"/>
  <c r="P345" i="1"/>
  <c r="P347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85" i="1"/>
  <c r="P386" i="1"/>
  <c r="P389" i="1"/>
  <c r="P390" i="1"/>
  <c r="P394" i="1"/>
  <c r="P399" i="1"/>
  <c r="P400" i="1"/>
  <c r="P445" i="1"/>
  <c r="P447" i="1"/>
  <c r="P449" i="1"/>
  <c r="P450" i="1"/>
  <c r="P451" i="1"/>
  <c r="P455" i="1"/>
  <c r="P456" i="1"/>
  <c r="P457" i="1"/>
  <c r="P459" i="1"/>
  <c r="P460" i="1"/>
  <c r="P474" i="1"/>
  <c r="P475" i="1"/>
  <c r="P82" i="1"/>
  <c r="P83" i="1"/>
  <c r="P958" i="1"/>
  <c r="P959" i="1"/>
  <c r="P478" i="1"/>
  <c r="P84" i="1"/>
  <c r="P1110" i="1"/>
  <c r="P960" i="1"/>
  <c r="P961" i="1"/>
  <c r="P85" i="1"/>
  <c r="P86" i="1"/>
  <c r="P87" i="1"/>
  <c r="P962" i="1"/>
  <c r="P88" i="1"/>
  <c r="P1111" i="1"/>
  <c r="P1112" i="1"/>
  <c r="P89" i="1"/>
  <c r="P90" i="1"/>
  <c r="P950" i="1"/>
  <c r="P951" i="1"/>
  <c r="P952" i="1"/>
  <c r="P953" i="1"/>
  <c r="P6" i="1"/>
  <c r="P7" i="1"/>
  <c r="P8" i="1"/>
  <c r="P9" i="1"/>
  <c r="P1059" i="1"/>
  <c r="P1060" i="1"/>
  <c r="P1061" i="1"/>
  <c r="P1062" i="1"/>
  <c r="P494" i="1"/>
  <c r="P495" i="1"/>
  <c r="P498" i="1"/>
  <c r="P521" i="1"/>
  <c r="P522" i="1"/>
  <c r="P523" i="1"/>
  <c r="P1104" i="1"/>
  <c r="P1105" i="1"/>
  <c r="P954" i="1"/>
  <c r="P541" i="1"/>
  <c r="P543" i="1"/>
  <c r="P546" i="1"/>
  <c r="P955" i="1"/>
  <c r="P956" i="1"/>
  <c r="P1012" i="1"/>
  <c r="P1014" i="1"/>
  <c r="P1015" i="1"/>
  <c r="O746" i="1"/>
  <c r="O760" i="1"/>
  <c r="O639" i="1"/>
  <c r="P639" i="1"/>
  <c r="Q639" i="1"/>
  <c r="P605" i="1"/>
  <c r="O605" i="1"/>
  <c r="O957" i="1"/>
  <c r="O956" i="1"/>
  <c r="O955" i="1"/>
  <c r="O546" i="1"/>
  <c r="O543" i="1"/>
  <c r="O578" i="1"/>
  <c r="O541" i="1"/>
  <c r="O873" i="1"/>
  <c r="O879" i="1"/>
  <c r="O954" i="1"/>
  <c r="O539" i="1"/>
  <c r="O872" i="1"/>
  <c r="O538" i="1"/>
  <c r="O531" i="1"/>
  <c r="O527" i="1"/>
  <c r="O526" i="1"/>
  <c r="O525" i="1"/>
  <c r="O524" i="1"/>
  <c r="O523" i="1"/>
  <c r="O522" i="1"/>
  <c r="O521" i="1"/>
  <c r="O520" i="1"/>
  <c r="O871" i="1"/>
  <c r="O870" i="1"/>
  <c r="O869" i="1"/>
  <c r="O868" i="1"/>
  <c r="O867" i="1"/>
  <c r="O866" i="1"/>
  <c r="O865" i="1"/>
  <c r="O864" i="1"/>
  <c r="O863" i="1"/>
  <c r="O518" i="1"/>
  <c r="O517" i="1"/>
  <c r="O516" i="1"/>
  <c r="O509" i="1"/>
  <c r="O507" i="1"/>
  <c r="O505" i="1"/>
  <c r="O504" i="1"/>
  <c r="O501" i="1"/>
  <c r="O498" i="1"/>
  <c r="O495" i="1"/>
  <c r="O494" i="1"/>
  <c r="O493" i="1"/>
  <c r="O862" i="1"/>
  <c r="O861" i="1"/>
  <c r="O859" i="1"/>
  <c r="O858" i="1"/>
  <c r="O857" i="1"/>
  <c r="O856" i="1"/>
  <c r="O854" i="1"/>
  <c r="O1062" i="1"/>
  <c r="O1061" i="1"/>
  <c r="O1060" i="1"/>
  <c r="O1059" i="1"/>
  <c r="O9" i="1"/>
  <c r="O8" i="1"/>
  <c r="O7" i="1"/>
  <c r="O6" i="1"/>
  <c r="O953" i="1"/>
  <c r="O952" i="1"/>
  <c r="O951" i="1"/>
  <c r="O950" i="1"/>
  <c r="O90" i="1"/>
  <c r="O89" i="1"/>
  <c r="O489" i="1"/>
  <c r="O488" i="1"/>
  <c r="O487" i="1"/>
  <c r="O853" i="1"/>
  <c r="O852" i="1"/>
  <c r="O851" i="1"/>
  <c r="O850" i="1"/>
  <c r="O842" i="1"/>
  <c r="O841" i="1"/>
  <c r="O840" i="1"/>
  <c r="O839" i="1"/>
  <c r="O876" i="1"/>
  <c r="O838" i="1"/>
  <c r="O1112" i="1"/>
  <c r="O1111" i="1"/>
  <c r="O837" i="1"/>
  <c r="O88" i="1"/>
  <c r="O962" i="1"/>
  <c r="O486" i="1"/>
  <c r="O87" i="1"/>
  <c r="O86" i="1"/>
  <c r="O85" i="1"/>
  <c r="O961" i="1"/>
  <c r="O960" i="1"/>
  <c r="O1110" i="1"/>
  <c r="O84" i="1"/>
  <c r="O485" i="1"/>
  <c r="O484" i="1"/>
  <c r="O483" i="1"/>
  <c r="O836" i="1"/>
  <c r="O835" i="1"/>
  <c r="O482" i="1"/>
  <c r="O481" i="1"/>
  <c r="O480" i="1"/>
  <c r="O479" i="1"/>
  <c r="O478" i="1"/>
  <c r="O834" i="1"/>
  <c r="O477" i="1"/>
  <c r="O833" i="1"/>
  <c r="O832" i="1"/>
  <c r="O831" i="1"/>
  <c r="O830" i="1"/>
  <c r="O855" i="1"/>
  <c r="O829" i="1"/>
  <c r="O828" i="1"/>
  <c r="O827" i="1"/>
  <c r="O826" i="1"/>
  <c r="O825" i="1"/>
  <c r="O849" i="1"/>
  <c r="O846" i="1"/>
  <c r="O959" i="1"/>
  <c r="O958" i="1"/>
  <c r="O83" i="1"/>
  <c r="O82" i="1"/>
  <c r="O476" i="1"/>
  <c r="O475" i="1"/>
  <c r="O474" i="1"/>
  <c r="O473" i="1"/>
  <c r="O472" i="1"/>
  <c r="O471" i="1"/>
  <c r="O470" i="1"/>
  <c r="O469" i="1"/>
  <c r="O468" i="1"/>
  <c r="O467" i="1"/>
  <c r="O466" i="1"/>
  <c r="O465" i="1"/>
  <c r="O464" i="1"/>
  <c r="O463" i="1"/>
  <c r="O462" i="1"/>
  <c r="O461" i="1"/>
  <c r="O460" i="1"/>
  <c r="O459" i="1"/>
  <c r="O458" i="1"/>
  <c r="O457" i="1"/>
  <c r="O456" i="1"/>
  <c r="O455" i="1"/>
  <c r="O454" i="1"/>
  <c r="O453" i="1"/>
  <c r="O452" i="1"/>
  <c r="O451" i="1"/>
  <c r="O81" i="1"/>
  <c r="O80" i="1"/>
  <c r="O79" i="1"/>
  <c r="O78" i="1"/>
  <c r="O77" i="1"/>
  <c r="O450" i="1"/>
  <c r="O449" i="1"/>
  <c r="O447" i="1"/>
  <c r="O445" i="1"/>
  <c r="O444" i="1"/>
  <c r="O439" i="1"/>
  <c r="O434" i="1"/>
  <c r="O431" i="1"/>
  <c r="O426" i="1"/>
  <c r="O423" i="1"/>
  <c r="O421" i="1"/>
  <c r="O415" i="1"/>
  <c r="O413" i="1"/>
  <c r="O411" i="1"/>
  <c r="O407" i="1"/>
  <c r="O402" i="1"/>
  <c r="O401" i="1"/>
  <c r="O400" i="1"/>
  <c r="O399" i="1"/>
  <c r="O394" i="1"/>
  <c r="O390" i="1"/>
  <c r="O389" i="1"/>
  <c r="O555" i="1"/>
  <c r="O386" i="1"/>
  <c r="O385" i="1"/>
  <c r="O383" i="1"/>
  <c r="O381" i="1"/>
  <c r="O379" i="1"/>
  <c r="O378" i="1"/>
  <c r="O377" i="1"/>
  <c r="O376" i="1"/>
  <c r="O375" i="1"/>
  <c r="O374" i="1"/>
  <c r="O373" i="1"/>
  <c r="O372" i="1"/>
  <c r="O371" i="1"/>
  <c r="O370" i="1"/>
  <c r="O369" i="1"/>
  <c r="O368" i="1"/>
  <c r="O367" i="1"/>
  <c r="O366" i="1"/>
  <c r="O365" i="1"/>
  <c r="O364" i="1"/>
  <c r="O363" i="1"/>
  <c r="O362" i="1"/>
  <c r="O361" i="1"/>
  <c r="O360" i="1"/>
  <c r="O359" i="1"/>
  <c r="O358" i="1"/>
  <c r="O357" i="1"/>
  <c r="O356" i="1"/>
  <c r="O355" i="1"/>
  <c r="O354" i="1"/>
  <c r="O353" i="1"/>
  <c r="O352" i="1"/>
  <c r="O351" i="1"/>
  <c r="O350" i="1"/>
  <c r="O349" i="1"/>
  <c r="O348" i="1"/>
  <c r="O347" i="1"/>
  <c r="O76" i="1"/>
  <c r="O75" i="1"/>
  <c r="O71" i="1"/>
  <c r="O68" i="1"/>
  <c r="O67" i="1"/>
  <c r="O548" i="1"/>
  <c r="O346" i="1"/>
  <c r="O345" i="1"/>
  <c r="O344" i="1"/>
  <c r="O343" i="1"/>
  <c r="O342" i="1"/>
  <c r="O341" i="1"/>
  <c r="O340" i="1"/>
  <c r="O530" i="1"/>
  <c r="O529" i="1"/>
  <c r="O528" i="1"/>
  <c r="O339" i="1"/>
  <c r="O338" i="1"/>
  <c r="O337" i="1"/>
  <c r="O336" i="1"/>
  <c r="O335" i="1"/>
  <c r="O334" i="1"/>
  <c r="O333" i="1"/>
  <c r="O332" i="1"/>
  <c r="O331" i="1"/>
  <c r="O330" i="1"/>
  <c r="O329" i="1"/>
  <c r="O515" i="1"/>
  <c r="O328" i="1"/>
  <c r="O327" i="1"/>
  <c r="O326" i="1"/>
  <c r="O325" i="1"/>
  <c r="O502" i="1"/>
  <c r="O324" i="1"/>
  <c r="O500" i="1"/>
  <c r="O323" i="1"/>
  <c r="O496" i="1"/>
  <c r="O322" i="1"/>
  <c r="O321" i="1"/>
  <c r="O320" i="1"/>
  <c r="O319" i="1"/>
  <c r="O318" i="1"/>
  <c r="O824" i="1"/>
  <c r="O744" i="1"/>
  <c r="O743" i="1"/>
  <c r="O823" i="1"/>
  <c r="O822" i="1"/>
  <c r="O821" i="1"/>
  <c r="O820" i="1"/>
  <c r="O819" i="1"/>
  <c r="O154" i="1"/>
  <c r="O1058" i="1"/>
  <c r="O1057" i="1"/>
  <c r="O1056" i="1"/>
  <c r="O1055" i="1"/>
  <c r="O949" i="1"/>
  <c r="O948" i="1"/>
  <c r="O947" i="1"/>
  <c r="O946" i="1"/>
  <c r="O945" i="1"/>
  <c r="O944" i="1"/>
  <c r="O65" i="1"/>
  <c r="O64" i="1"/>
  <c r="O63" i="1"/>
  <c r="O59" i="1"/>
  <c r="O58" i="1"/>
  <c r="O55" i="1"/>
  <c r="O54" i="1"/>
  <c r="O53" i="1"/>
  <c r="O134" i="1"/>
  <c r="O52" i="1"/>
  <c r="O51" i="1"/>
  <c r="O50" i="1"/>
  <c r="O49" i="1"/>
  <c r="O48" i="1"/>
  <c r="O47" i="1"/>
  <c r="O120" i="1"/>
  <c r="O46" i="1"/>
  <c r="O317" i="1"/>
  <c r="O316" i="1"/>
  <c r="O446" i="1"/>
  <c r="O315" i="1"/>
  <c r="O314" i="1"/>
  <c r="O442" i="1"/>
  <c r="O313" i="1"/>
  <c r="O437" i="1"/>
  <c r="O436" i="1"/>
  <c r="O312" i="1"/>
  <c r="O311" i="1"/>
  <c r="O430" i="1"/>
  <c r="O428" i="1"/>
  <c r="O310" i="1"/>
  <c r="O309" i="1"/>
  <c r="O308" i="1"/>
  <c r="O419" i="1"/>
  <c r="O417" i="1"/>
  <c r="O416" i="1"/>
  <c r="O307" i="1"/>
  <c r="O306" i="1"/>
  <c r="O305" i="1"/>
  <c r="O410" i="1"/>
  <c r="O409" i="1"/>
  <c r="O304" i="1"/>
  <c r="O406" i="1"/>
  <c r="O404" i="1"/>
  <c r="O301" i="1"/>
  <c r="O299" i="1"/>
  <c r="O298" i="1"/>
  <c r="O296" i="1"/>
  <c r="O395" i="1"/>
  <c r="O293" i="1"/>
  <c r="O292" i="1"/>
  <c r="O291" i="1"/>
  <c r="O387" i="1"/>
  <c r="O289" i="1"/>
  <c r="O288" i="1"/>
  <c r="O287" i="1"/>
  <c r="O286" i="1"/>
  <c r="O380" i="1"/>
  <c r="O818" i="1"/>
  <c r="O817" i="1"/>
  <c r="O816" i="1"/>
  <c r="O815" i="1"/>
  <c r="O814" i="1"/>
  <c r="O813" i="1"/>
  <c r="O812" i="1"/>
  <c r="O811" i="1"/>
  <c r="O810" i="1"/>
  <c r="O809" i="1"/>
  <c r="O808" i="1"/>
  <c r="O807" i="1"/>
  <c r="O806" i="1"/>
  <c r="O805" i="1"/>
  <c r="O804" i="1"/>
  <c r="O803" i="1"/>
  <c r="O802" i="1"/>
  <c r="O729" i="1"/>
  <c r="O725" i="1"/>
  <c r="O801" i="1"/>
  <c r="O800" i="1"/>
  <c r="O724" i="1"/>
  <c r="O799" i="1"/>
  <c r="O722" i="1"/>
  <c r="O798" i="1"/>
  <c r="O797" i="1"/>
  <c r="O796" i="1"/>
  <c r="O711" i="1"/>
  <c r="O707" i="1"/>
  <c r="O795" i="1"/>
  <c r="O694" i="1"/>
  <c r="O794" i="1"/>
  <c r="O793" i="1"/>
  <c r="O792" i="1"/>
  <c r="O791" i="1"/>
  <c r="O790" i="1"/>
  <c r="O678" i="1"/>
  <c r="O672" i="1"/>
  <c r="O670" i="1"/>
  <c r="O789" i="1"/>
  <c r="O788" i="1"/>
  <c r="O787" i="1"/>
  <c r="O667" i="1"/>
  <c r="O786" i="1"/>
  <c r="O1054" i="1"/>
  <c r="O1053" i="1"/>
  <c r="O1052" i="1"/>
  <c r="O1051" i="1"/>
  <c r="O1050" i="1"/>
  <c r="O1049" i="1"/>
  <c r="O1048" i="1"/>
  <c r="O153" i="1"/>
  <c r="O152" i="1"/>
  <c r="O151" i="1"/>
  <c r="O150" i="1"/>
  <c r="O149" i="1"/>
  <c r="O148" i="1"/>
  <c r="O987" i="1"/>
  <c r="O985" i="1"/>
  <c r="O983" i="1"/>
  <c r="O981" i="1"/>
  <c r="O978" i="1"/>
  <c r="O977" i="1"/>
  <c r="O999" i="1"/>
  <c r="O975" i="1"/>
  <c r="O998" i="1"/>
  <c r="O913" i="1"/>
  <c r="O943" i="1"/>
  <c r="O942" i="1"/>
  <c r="O941" i="1"/>
  <c r="O940" i="1"/>
  <c r="O909" i="1"/>
  <c r="O939" i="1"/>
  <c r="O938" i="1"/>
  <c r="O903" i="1"/>
  <c r="O45" i="1"/>
  <c r="O43" i="1"/>
  <c r="O42" i="1"/>
  <c r="O41" i="1"/>
  <c r="O40" i="1"/>
  <c r="O39" i="1"/>
  <c r="O38" i="1"/>
  <c r="O37" i="1"/>
  <c r="O36" i="1"/>
  <c r="O35" i="1"/>
  <c r="O34" i="1"/>
  <c r="O285" i="1"/>
  <c r="O283" i="1"/>
  <c r="O276" i="1"/>
  <c r="O300" i="1"/>
  <c r="O266" i="1"/>
  <c r="O261" i="1"/>
  <c r="O250" i="1"/>
  <c r="O246" i="1"/>
  <c r="O236" i="1"/>
  <c r="O290" i="1"/>
  <c r="O234" i="1"/>
  <c r="O232" i="1"/>
  <c r="O231" i="1"/>
  <c r="O230" i="1"/>
  <c r="O229" i="1"/>
  <c r="O228" i="1"/>
  <c r="O282" i="1"/>
  <c r="O278" i="1"/>
  <c r="O227" i="1"/>
  <c r="O272" i="1"/>
  <c r="O270" i="1"/>
  <c r="O226" i="1"/>
  <c r="O265" i="1"/>
  <c r="O262" i="1"/>
  <c r="O225" i="1"/>
  <c r="O260" i="1"/>
  <c r="O256" i="1"/>
  <c r="O255" i="1"/>
  <c r="O224" i="1"/>
  <c r="O253" i="1"/>
  <c r="O251" i="1"/>
  <c r="O223" i="1"/>
  <c r="O222" i="1"/>
  <c r="O239" i="1"/>
  <c r="O221" i="1"/>
  <c r="O220" i="1"/>
  <c r="O233" i="1"/>
  <c r="O785" i="1"/>
  <c r="O784" i="1"/>
  <c r="O783" i="1"/>
  <c r="O782" i="1"/>
  <c r="O781" i="1"/>
  <c r="O780" i="1"/>
  <c r="O779" i="1"/>
  <c r="O778" i="1"/>
  <c r="O777" i="1"/>
  <c r="O776" i="1"/>
  <c r="O657" i="1"/>
  <c r="O775" i="1"/>
  <c r="O774" i="1"/>
  <c r="O973" i="1"/>
  <c r="O1031" i="1"/>
  <c r="O1030" i="1"/>
  <c r="O1029" i="1"/>
  <c r="O1028" i="1"/>
  <c r="O1027" i="1"/>
  <c r="O1020" i="1"/>
  <c r="O1026" i="1"/>
  <c r="O1025" i="1"/>
  <c r="O1024" i="1"/>
  <c r="O1023" i="1"/>
  <c r="O1022" i="1"/>
  <c r="O1076" i="1"/>
  <c r="O1071" i="1"/>
  <c r="O1075" i="1"/>
  <c r="O1074" i="1"/>
  <c r="O1068" i="1"/>
  <c r="O997" i="1"/>
  <c r="O996" i="1"/>
  <c r="O995" i="1"/>
  <c r="O969" i="1"/>
  <c r="O967" i="1"/>
  <c r="O937" i="1"/>
  <c r="O936" i="1"/>
  <c r="O935" i="1"/>
  <c r="O934" i="1"/>
  <c r="O933" i="1"/>
  <c r="O932" i="1"/>
  <c r="O895" i="1"/>
  <c r="O892" i="1"/>
  <c r="O889" i="1"/>
  <c r="O887" i="1"/>
  <c r="O931" i="1"/>
  <c r="O930" i="1"/>
  <c r="O929" i="1"/>
  <c r="O880" i="1"/>
  <c r="O928" i="1"/>
  <c r="O1087" i="1"/>
  <c r="O33" i="1"/>
  <c r="O73" i="1"/>
  <c r="O32" i="1"/>
  <c r="O31" i="1"/>
  <c r="O30" i="1"/>
  <c r="O66" i="1"/>
  <c r="O29" i="1"/>
  <c r="O28" i="1"/>
  <c r="O27" i="1"/>
  <c r="O26" i="1"/>
  <c r="O25" i="1"/>
  <c r="O57" i="1"/>
  <c r="O24" i="1"/>
  <c r="O219" i="1"/>
  <c r="O211" i="1"/>
  <c r="O218" i="1"/>
  <c r="O217" i="1"/>
  <c r="O216" i="1"/>
  <c r="O207" i="1"/>
  <c r="O215" i="1"/>
  <c r="O206" i="1"/>
  <c r="O204" i="1"/>
  <c r="O202" i="1"/>
  <c r="O198" i="1"/>
  <c r="O194" i="1"/>
  <c r="O192" i="1"/>
  <c r="O189" i="1"/>
  <c r="O186" i="1"/>
  <c r="O214" i="1"/>
  <c r="O178" i="1"/>
  <c r="O168" i="1"/>
  <c r="O167" i="1"/>
  <c r="O164" i="1"/>
  <c r="O161" i="1"/>
  <c r="O773" i="1"/>
  <c r="O772" i="1"/>
  <c r="O653" i="1"/>
  <c r="O771" i="1"/>
  <c r="O770" i="1"/>
  <c r="O652" i="1"/>
  <c r="O651" i="1"/>
  <c r="O769" i="1"/>
  <c r="O649" i="1"/>
  <c r="O648" i="1"/>
  <c r="O647" i="1"/>
  <c r="O646" i="1"/>
  <c r="O768" i="1"/>
  <c r="O645" i="1"/>
  <c r="O767" i="1"/>
  <c r="O766" i="1"/>
  <c r="O765" i="1"/>
  <c r="O764" i="1"/>
  <c r="O763" i="1"/>
  <c r="O641" i="1"/>
  <c r="O762" i="1"/>
  <c r="O761" i="1"/>
  <c r="O640" i="1"/>
  <c r="O759" i="1"/>
  <c r="O758" i="1"/>
  <c r="O757" i="1"/>
  <c r="O756" i="1"/>
  <c r="O755" i="1"/>
  <c r="O634" i="1"/>
  <c r="O633" i="1"/>
  <c r="O630" i="1"/>
  <c r="O629" i="1"/>
  <c r="O754" i="1"/>
  <c r="O626" i="1"/>
  <c r="O625" i="1"/>
  <c r="O753" i="1"/>
  <c r="O623" i="1"/>
  <c r="O621" i="1"/>
  <c r="O618" i="1"/>
  <c r="O752" i="1"/>
  <c r="O617" i="1"/>
  <c r="O751" i="1"/>
  <c r="O616" i="1"/>
  <c r="O614" i="1"/>
  <c r="O750" i="1"/>
  <c r="O749" i="1"/>
  <c r="O748" i="1"/>
  <c r="O609" i="1"/>
  <c r="O608" i="1"/>
  <c r="O607" i="1"/>
  <c r="O602" i="1"/>
  <c r="O601" i="1"/>
  <c r="O599" i="1"/>
  <c r="O597" i="1"/>
  <c r="O595" i="1"/>
  <c r="O747" i="1"/>
  <c r="O590" i="1"/>
  <c r="O588" i="1"/>
  <c r="O583" i="1"/>
  <c r="Q1015" i="1"/>
  <c r="Q1014" i="1"/>
  <c r="Q1012" i="1"/>
  <c r="Q956" i="1"/>
  <c r="Q955" i="1"/>
  <c r="Q546" i="1"/>
  <c r="Q543" i="1"/>
  <c r="Q578" i="1"/>
  <c r="Q541" i="1"/>
  <c r="Q954" i="1"/>
  <c r="Q1105" i="1"/>
  <c r="Q1104" i="1"/>
  <c r="Q523" i="1"/>
  <c r="Q522" i="1"/>
  <c r="Q521" i="1"/>
  <c r="Q498" i="1"/>
  <c r="Q495" i="1"/>
  <c r="Q494" i="1"/>
  <c r="Q1062" i="1"/>
  <c r="Q1061" i="1"/>
  <c r="Q1060" i="1"/>
  <c r="Q1059" i="1"/>
  <c r="Q9" i="1"/>
  <c r="Q8" i="1"/>
  <c r="Q7" i="1"/>
  <c r="Q6" i="1"/>
  <c r="Q953" i="1"/>
  <c r="Q952" i="1"/>
  <c r="Q951" i="1"/>
  <c r="Q950" i="1"/>
  <c r="Q90" i="1"/>
  <c r="Q89" i="1"/>
  <c r="Q88" i="1"/>
  <c r="Q962" i="1"/>
  <c r="Q87" i="1"/>
  <c r="Q86" i="1"/>
  <c r="Q85" i="1"/>
  <c r="Q961" i="1"/>
  <c r="Q960" i="1"/>
  <c r="Q84" i="1"/>
  <c r="Q478" i="1"/>
  <c r="Q959" i="1"/>
  <c r="Q958" i="1"/>
  <c r="Q83" i="1"/>
  <c r="Q82" i="1"/>
  <c r="Q475" i="1"/>
  <c r="Q474" i="1"/>
  <c r="Q460" i="1"/>
  <c r="Q459" i="1"/>
  <c r="Q457" i="1"/>
  <c r="Q456" i="1"/>
  <c r="Q455" i="1"/>
  <c r="Q451" i="1"/>
  <c r="Q81" i="1"/>
  <c r="Q80" i="1"/>
  <c r="Q77" i="1"/>
  <c r="Q450" i="1"/>
  <c r="Q449" i="1"/>
  <c r="Q447" i="1"/>
  <c r="Q445" i="1"/>
  <c r="Q400" i="1"/>
  <c r="Q399" i="1"/>
  <c r="Q394" i="1"/>
  <c r="Q390" i="1"/>
  <c r="Q389" i="1"/>
  <c r="Q555" i="1"/>
  <c r="Q386" i="1"/>
  <c r="Q385" i="1"/>
  <c r="Q361" i="1"/>
  <c r="Q360" i="1"/>
  <c r="Q359" i="1"/>
  <c r="Q358" i="1"/>
  <c r="Q357" i="1"/>
  <c r="Q356" i="1"/>
  <c r="Q355" i="1"/>
  <c r="Q354" i="1"/>
  <c r="Q353" i="1"/>
  <c r="Q352" i="1"/>
  <c r="Q351" i="1"/>
  <c r="Q350" i="1"/>
  <c r="Q347" i="1"/>
  <c r="Q548" i="1"/>
  <c r="Q345" i="1"/>
  <c r="Q344" i="1"/>
  <c r="Q343" i="1"/>
  <c r="Q342" i="1"/>
  <c r="Q341" i="1"/>
  <c r="Q340" i="1"/>
  <c r="Q530" i="1"/>
  <c r="Q529" i="1"/>
  <c r="Q528" i="1"/>
  <c r="Q338" i="1"/>
  <c r="Q337" i="1"/>
  <c r="Q331" i="1"/>
  <c r="Q330" i="1"/>
  <c r="Q329" i="1"/>
  <c r="Q515" i="1"/>
  <c r="Q328" i="1"/>
  <c r="Q327" i="1"/>
  <c r="Q326" i="1"/>
  <c r="Q325" i="1"/>
  <c r="Q502" i="1"/>
  <c r="Q324" i="1"/>
  <c r="Q500" i="1"/>
  <c r="Q323" i="1"/>
  <c r="Q496" i="1"/>
  <c r="Q322" i="1"/>
  <c r="Q321" i="1"/>
  <c r="Q320" i="1"/>
  <c r="Q319" i="1"/>
  <c r="Q318" i="1"/>
  <c r="Q744" i="1"/>
  <c r="Q743" i="1"/>
  <c r="Q154" i="1"/>
  <c r="Q1057" i="1"/>
  <c r="Q1006" i="1"/>
  <c r="Q1005" i="1"/>
  <c r="Q949" i="1"/>
  <c r="Q948" i="1"/>
  <c r="Q947" i="1"/>
  <c r="Q946" i="1"/>
  <c r="Q945" i="1"/>
  <c r="Q944" i="1"/>
  <c r="Q134" i="1"/>
  <c r="Q120" i="1"/>
  <c r="Q317" i="1"/>
  <c r="Q446" i="1"/>
  <c r="Q315" i="1"/>
  <c r="Q314" i="1"/>
  <c r="Q442" i="1"/>
  <c r="Q313" i="1"/>
  <c r="Q437" i="1"/>
  <c r="Q436" i="1"/>
  <c r="Q311" i="1"/>
  <c r="Q430" i="1"/>
  <c r="Q428" i="1"/>
  <c r="Q419" i="1"/>
  <c r="Q417" i="1"/>
  <c r="Q416" i="1"/>
  <c r="Q307" i="1"/>
  <c r="Q306" i="1"/>
  <c r="Q305" i="1"/>
  <c r="Q410" i="1"/>
  <c r="Q409" i="1"/>
  <c r="Q304" i="1"/>
  <c r="Q406" i="1"/>
  <c r="Q404" i="1"/>
  <c r="Q298" i="1"/>
  <c r="Q296" i="1"/>
  <c r="Q395" i="1"/>
  <c r="Q293" i="1"/>
  <c r="Q291" i="1"/>
  <c r="Q387" i="1"/>
  <c r="Q288" i="1"/>
  <c r="Q380" i="1"/>
  <c r="Q729" i="1"/>
  <c r="Q725" i="1"/>
  <c r="Q724" i="1"/>
  <c r="Q722" i="1"/>
  <c r="Q711" i="1"/>
  <c r="Q707" i="1"/>
  <c r="Q694" i="1"/>
  <c r="Q678" i="1"/>
  <c r="Q672" i="1"/>
  <c r="Q670" i="1"/>
  <c r="Q667" i="1"/>
  <c r="Q1053" i="1"/>
  <c r="Q153" i="1"/>
  <c r="Q152" i="1"/>
  <c r="Q151" i="1"/>
  <c r="Q150" i="1"/>
  <c r="Q149" i="1"/>
  <c r="Q148" i="1"/>
  <c r="Q987" i="1"/>
  <c r="Q985" i="1"/>
  <c r="Q983" i="1"/>
  <c r="Q981" i="1"/>
  <c r="Q978" i="1"/>
  <c r="Q977" i="1"/>
  <c r="Q999" i="1"/>
  <c r="Q975" i="1"/>
  <c r="Q998" i="1"/>
  <c r="Q913" i="1"/>
  <c r="Q943" i="1"/>
  <c r="Q942" i="1"/>
  <c r="Q941" i="1"/>
  <c r="Q940" i="1"/>
  <c r="Q909" i="1"/>
  <c r="Q939" i="1"/>
  <c r="Q938" i="1"/>
  <c r="Q903" i="1"/>
  <c r="Q36" i="1"/>
  <c r="Q285" i="1"/>
  <c r="Q283" i="1"/>
  <c r="Q300" i="1"/>
  <c r="Q250" i="1"/>
  <c r="Q290" i="1"/>
  <c r="Q234" i="1"/>
  <c r="Q230" i="1"/>
  <c r="Q228" i="1"/>
  <c r="Q282" i="1"/>
  <c r="Q278" i="1"/>
  <c r="Q227" i="1"/>
  <c r="Q272" i="1"/>
  <c r="Q270" i="1"/>
  <c r="Q226" i="1"/>
  <c r="Q265" i="1"/>
  <c r="Q262" i="1"/>
  <c r="Q225" i="1"/>
  <c r="Q260" i="1"/>
  <c r="Q256" i="1"/>
  <c r="Q255" i="1"/>
  <c r="Q224" i="1"/>
  <c r="Q253" i="1"/>
  <c r="Q251" i="1"/>
  <c r="Q223" i="1"/>
  <c r="Q222" i="1"/>
  <c r="Q239" i="1"/>
  <c r="Q221" i="1"/>
  <c r="Q220" i="1"/>
  <c r="Q233" i="1"/>
  <c r="Q657" i="1"/>
  <c r="Q973" i="1"/>
  <c r="Q1020" i="1"/>
  <c r="Q1071" i="1"/>
  <c r="Q1068" i="1"/>
  <c r="Q997" i="1"/>
  <c r="Q996" i="1"/>
  <c r="Q969" i="1"/>
  <c r="Q967" i="1"/>
  <c r="Q937" i="1"/>
  <c r="Q936" i="1"/>
  <c r="Q935" i="1"/>
  <c r="Q934" i="1"/>
  <c r="Q933" i="1"/>
  <c r="Q932" i="1"/>
  <c r="Q895" i="1"/>
  <c r="Q892" i="1"/>
  <c r="Q889" i="1"/>
  <c r="Q887" i="1"/>
  <c r="Q931" i="1"/>
  <c r="Q930" i="1"/>
  <c r="Q929" i="1"/>
  <c r="Q880" i="1"/>
  <c r="Q1087" i="1"/>
  <c r="Q33" i="1"/>
  <c r="Q73" i="1"/>
  <c r="Q32" i="1"/>
  <c r="Q31" i="1"/>
  <c r="Q30" i="1"/>
  <c r="Q29" i="1"/>
  <c r="Q27" i="1"/>
  <c r="Q26" i="1"/>
  <c r="Q25" i="1"/>
  <c r="Q24" i="1"/>
  <c r="Q219" i="1"/>
  <c r="Q211" i="1"/>
  <c r="Q218" i="1"/>
  <c r="Q217" i="1"/>
  <c r="Q216" i="1"/>
  <c r="Q207" i="1"/>
  <c r="Q215" i="1"/>
  <c r="Q206" i="1"/>
  <c r="Q204" i="1"/>
  <c r="Q202" i="1"/>
  <c r="Q198" i="1"/>
  <c r="Q194" i="1"/>
  <c r="Q192" i="1"/>
  <c r="Q189" i="1"/>
  <c r="Q186" i="1"/>
  <c r="Q214" i="1"/>
  <c r="Q178" i="1"/>
  <c r="Q168" i="1"/>
  <c r="Q167" i="1"/>
  <c r="Q164" i="1"/>
  <c r="Q161" i="1"/>
  <c r="Q641" i="1"/>
  <c r="Q640" i="1"/>
  <c r="Q634" i="1"/>
  <c r="Q633" i="1"/>
  <c r="Q630" i="1"/>
  <c r="Q629" i="1"/>
  <c r="Q626" i="1"/>
  <c r="Q625" i="1"/>
  <c r="Q623" i="1"/>
  <c r="Q621" i="1"/>
  <c r="Q618" i="1"/>
  <c r="Q617" i="1"/>
  <c r="Q616" i="1"/>
  <c r="Q614" i="1"/>
  <c r="Q609" i="1"/>
  <c r="Q608" i="1"/>
  <c r="Q607" i="1"/>
  <c r="Q605" i="1"/>
  <c r="Q602" i="1"/>
  <c r="Q601" i="1"/>
  <c r="Q599" i="1"/>
  <c r="Q597" i="1"/>
  <c r="Q595" i="1"/>
  <c r="Q590" i="1"/>
  <c r="Q588" i="1"/>
  <c r="Q583" i="1"/>
  <c r="Q746" i="1"/>
  <c r="P578" i="1"/>
  <c r="P555" i="1"/>
  <c r="P548" i="1"/>
  <c r="P530" i="1"/>
  <c r="P529" i="1"/>
  <c r="P528" i="1"/>
  <c r="P515" i="1"/>
  <c r="P502" i="1"/>
  <c r="P500" i="1"/>
  <c r="P496" i="1"/>
  <c r="P744" i="1"/>
  <c r="P743" i="1"/>
  <c r="P134" i="1"/>
  <c r="P120" i="1"/>
  <c r="P446" i="1"/>
  <c r="P442" i="1"/>
  <c r="P437" i="1"/>
  <c r="P436" i="1"/>
  <c r="P430" i="1"/>
  <c r="P428" i="1"/>
  <c r="P419" i="1"/>
  <c r="P417" i="1"/>
  <c r="P416" i="1"/>
  <c r="P410" i="1"/>
  <c r="P409" i="1"/>
  <c r="P406" i="1"/>
  <c r="P404" i="1"/>
  <c r="P395" i="1"/>
  <c r="P387" i="1"/>
  <c r="P380" i="1"/>
  <c r="P729" i="1"/>
  <c r="P725" i="1"/>
  <c r="P724" i="1"/>
  <c r="P722" i="1"/>
  <c r="P711" i="1"/>
  <c r="P707" i="1"/>
  <c r="P694" i="1"/>
  <c r="P678" i="1"/>
  <c r="P672" i="1"/>
  <c r="P670" i="1"/>
  <c r="P667" i="1"/>
  <c r="P987" i="1"/>
  <c r="P985" i="1"/>
  <c r="P983" i="1"/>
  <c r="P981" i="1"/>
  <c r="P978" i="1"/>
  <c r="P977" i="1"/>
  <c r="P975" i="1"/>
  <c r="P913" i="1"/>
  <c r="P909" i="1"/>
  <c r="P903" i="1"/>
  <c r="P300" i="1"/>
  <c r="P290" i="1"/>
  <c r="P282" i="1"/>
  <c r="P278" i="1"/>
  <c r="P272" i="1"/>
  <c r="P270" i="1"/>
  <c r="P265" i="1"/>
  <c r="P262" i="1"/>
  <c r="P260" i="1"/>
  <c r="P256" i="1"/>
  <c r="P255" i="1"/>
  <c r="P253" i="1"/>
  <c r="P251" i="1"/>
  <c r="P239" i="1"/>
  <c r="P233" i="1"/>
  <c r="P657" i="1"/>
  <c r="P973" i="1"/>
  <c r="P1020" i="1"/>
  <c r="P1071" i="1"/>
  <c r="P1068" i="1"/>
  <c r="P969" i="1"/>
  <c r="P967" i="1"/>
  <c r="P895" i="1"/>
  <c r="P892" i="1"/>
  <c r="P889" i="1"/>
  <c r="P887" i="1"/>
  <c r="P880" i="1"/>
  <c r="P211" i="1"/>
  <c r="P207" i="1"/>
  <c r="P206" i="1"/>
  <c r="P204" i="1"/>
  <c r="P202" i="1"/>
  <c r="P198" i="1"/>
  <c r="P194" i="1"/>
  <c r="P192" i="1"/>
  <c r="P189" i="1"/>
  <c r="P186" i="1"/>
  <c r="P178" i="1"/>
  <c r="P168" i="1"/>
  <c r="P167" i="1"/>
  <c r="P164" i="1"/>
  <c r="P161" i="1"/>
  <c r="P641" i="1"/>
  <c r="P640" i="1"/>
  <c r="P634" i="1"/>
  <c r="P633" i="1"/>
  <c r="P630" i="1"/>
  <c r="P629" i="1"/>
  <c r="P626" i="1"/>
  <c r="P625" i="1"/>
  <c r="P623" i="1"/>
  <c r="P621" i="1"/>
  <c r="P618" i="1"/>
  <c r="P617" i="1"/>
  <c r="P616" i="1"/>
  <c r="P614" i="1"/>
  <c r="P609" i="1"/>
  <c r="P608" i="1"/>
  <c r="P607" i="1"/>
  <c r="P602" i="1"/>
  <c r="P601" i="1"/>
  <c r="P599" i="1"/>
  <c r="P597" i="1"/>
  <c r="P595" i="1"/>
  <c r="P590" i="1"/>
  <c r="P588" i="1"/>
  <c r="P583" i="1"/>
</calcChain>
</file>

<file path=xl/sharedStrings.xml><?xml version="1.0" encoding="utf-8"?>
<sst xmlns="http://schemas.openxmlformats.org/spreadsheetml/2006/main" count="13770" uniqueCount="1867">
  <si>
    <t>رقم</t>
  </si>
  <si>
    <t>التاريخ</t>
  </si>
  <si>
    <t>المحافظة</t>
  </si>
  <si>
    <t>المنطقة</t>
  </si>
  <si>
    <t>القرية– البلدة</t>
  </si>
  <si>
    <t>نوع العاصفة</t>
  </si>
  <si>
    <t>نوع الخطر</t>
  </si>
  <si>
    <t>المكان المستهدف</t>
  </si>
  <si>
    <t>عدد تكرار الخطر لنفس القرية أو البلدة</t>
  </si>
  <si>
    <t>درجة الخطر</t>
  </si>
  <si>
    <t>الأضرار الناتجة عن الخطر</t>
  </si>
  <si>
    <t>الأعمال المنفذة</t>
  </si>
  <si>
    <t>عدد المتضررين</t>
  </si>
  <si>
    <t>تكرار التعرض للخطر مستقبلاً</t>
  </si>
  <si>
    <t>Location_PCode</t>
  </si>
  <si>
    <t>Latitude</t>
  </si>
  <si>
    <t>Longitude</t>
  </si>
  <si>
    <t>31/12/2025–02/01/2026</t>
  </si>
  <si>
    <t>حلب</t>
  </si>
  <si>
    <t>ريف حلب</t>
  </si>
  <si>
    <t>إعزاز</t>
  </si>
  <si>
    <t>عاصفة ثلجية ومطرية</t>
  </si>
  <si>
    <t>تراكم ثلوج/إغلاق طرق</t>
  </si>
  <si>
    <t>طريق رئيسي أو فرعي</t>
  </si>
  <si>
    <t>متوسط إلى مرتفع</t>
  </si>
  <si>
    <t>تعطل أو صعوبة حركة المرور</t>
  </si>
  <si>
    <t>فتح وتأمين الطريق للحركة</t>
  </si>
  <si>
    <t>غير محدد</t>
  </si>
  <si>
    <t>مرتفع في موجات الثلوج والصقيع</t>
  </si>
  <si>
    <t>C1564</t>
  </si>
  <si>
    <t>عفرين</t>
  </si>
  <si>
    <t>جرابلس</t>
  </si>
  <si>
    <t>C2227</t>
  </si>
  <si>
    <t>منبج</t>
  </si>
  <si>
    <t>C1767</t>
  </si>
  <si>
    <t>الغندورة</t>
  </si>
  <si>
    <t>C2250</t>
  </si>
  <si>
    <t>زوغرة</t>
  </si>
  <si>
    <t>الراعي</t>
  </si>
  <si>
    <t>C1264</t>
  </si>
  <si>
    <t>شيخ الحديد</t>
  </si>
  <si>
    <t>C1525</t>
  </si>
  <si>
    <t>جنديرس</t>
  </si>
  <si>
    <t>C1426</t>
  </si>
  <si>
    <t>شيخ حديد</t>
  </si>
  <si>
    <t>C3467</t>
  </si>
  <si>
    <t>ترميشو</t>
  </si>
  <si>
    <t>راجو</t>
  </si>
  <si>
    <t>C1484</t>
  </si>
  <si>
    <t>شران</t>
  </si>
  <si>
    <t>C1496</t>
  </si>
  <si>
    <t>البل</t>
  </si>
  <si>
    <t>C1669</t>
  </si>
  <si>
    <t>بلبل</t>
  </si>
  <si>
    <t>C1391</t>
  </si>
  <si>
    <t>أرندة</t>
  </si>
  <si>
    <t>درمش</t>
  </si>
  <si>
    <t>يازباغ</t>
  </si>
  <si>
    <t>سجو</t>
  </si>
  <si>
    <t>المخيمات</t>
  </si>
  <si>
    <t>نبل</t>
  </si>
  <si>
    <t>C1655</t>
  </si>
  <si>
    <t>C1007</t>
  </si>
  <si>
    <t>دارة عزة</t>
  </si>
  <si>
    <t>C1139</t>
  </si>
  <si>
    <t>جبل الشيخ بركات</t>
  </si>
  <si>
    <t>ميدانكي</t>
  </si>
  <si>
    <t>كوتنلي</t>
  </si>
  <si>
    <t>الحلوانية</t>
  </si>
  <si>
    <t>C2219</t>
  </si>
  <si>
    <t>اخترين</t>
  </si>
  <si>
    <t>C1581</t>
  </si>
  <si>
    <t>مخيم طيبة</t>
  </si>
  <si>
    <t>صندي</t>
  </si>
  <si>
    <t>C1248</t>
  </si>
  <si>
    <t>قسطل</t>
  </si>
  <si>
    <t>هوزان</t>
  </si>
  <si>
    <t>C1417</t>
  </si>
  <si>
    <t>كفر جنة</t>
  </si>
  <si>
    <t>C1518</t>
  </si>
  <si>
    <t>قورت قلاق الكبير</t>
  </si>
  <si>
    <t>المزرعة</t>
  </si>
  <si>
    <t>C6160</t>
  </si>
  <si>
    <t>أناب</t>
  </si>
  <si>
    <t>C1367</t>
  </si>
  <si>
    <t>مريمين</t>
  </si>
  <si>
    <t>غازي عينتاب (من منغ باتجاه إعزاز)</t>
  </si>
  <si>
    <t>مخيمات التعاون</t>
  </si>
  <si>
    <t>عبودان</t>
  </si>
  <si>
    <t>C1395</t>
  </si>
  <si>
    <t>النبي هورو</t>
  </si>
  <si>
    <t>كوركان</t>
  </si>
  <si>
    <t>شمارين</t>
  </si>
  <si>
    <t>C1566</t>
  </si>
  <si>
    <t>مخيم العرموطة</t>
  </si>
  <si>
    <t>شارع السرب</t>
  </si>
  <si>
    <t>عاصفة مطرية وسيول</t>
  </si>
  <si>
    <t>تجمع مياه/انسداد تصريف</t>
  </si>
  <si>
    <t>شارع أو مجرى مائي</t>
  </si>
  <si>
    <t>متوسط</t>
  </si>
  <si>
    <t>تجمع مياه وتأثر الحركة</t>
  </si>
  <si>
    <t>شفط مياه وفتح مجرى/عبارة وممرات مائية</t>
  </si>
  <si>
    <t>قرية أباد</t>
  </si>
  <si>
    <t>جسر الشيخ سعيد</t>
  </si>
  <si>
    <t>تل حدية</t>
  </si>
  <si>
    <t>C1158</t>
  </si>
  <si>
    <t>تجمع مياه في مخيم</t>
  </si>
  <si>
    <t>مخيم/تجمع سكاني</t>
  </si>
  <si>
    <t>مرتفع</t>
  </si>
  <si>
    <t>احتمال غمر المخيمات وممرات الحركة</t>
  </si>
  <si>
    <t>جولات تفقدية وفتح ممرات مائية</t>
  </si>
  <si>
    <t>مرتفع في حالات الهطول الغزير</t>
  </si>
  <si>
    <t>الريان</t>
  </si>
  <si>
    <t>ملهم البعاج</t>
  </si>
  <si>
    <t>معرين</t>
  </si>
  <si>
    <t>أجنادين</t>
  </si>
  <si>
    <t>المحمدية</t>
  </si>
  <si>
    <t>C6668</t>
  </si>
  <si>
    <t>باب عمر</t>
  </si>
  <si>
    <t>قورت قلاق</t>
  </si>
  <si>
    <t>الخالدية</t>
  </si>
  <si>
    <t>الكمونة</t>
  </si>
  <si>
    <t>طريق الشيخ سعيد</t>
  </si>
  <si>
    <t>حادث سير</t>
  </si>
  <si>
    <t>طريق</t>
  </si>
  <si>
    <t>حادث سير دون وفيات</t>
  </si>
  <si>
    <t>استجابة ميدانية للحادث</t>
  </si>
  <si>
    <t>إدلب</t>
  </si>
  <si>
    <t>مناطق متفرقة</t>
  </si>
  <si>
    <t>جسر الشغور</t>
  </si>
  <si>
    <t>تراكم ثلوج/صعوبة حركة</t>
  </si>
  <si>
    <t>صعوبة أو انقطاع مؤقت للحركة</t>
  </si>
  <si>
    <t>فتح وتأمين الطرق</t>
  </si>
  <si>
    <t>C4199</t>
  </si>
  <si>
    <t>زرزور</t>
  </si>
  <si>
    <t>دركوش</t>
  </si>
  <si>
    <t>C4252</t>
  </si>
  <si>
    <t>C3871</t>
  </si>
  <si>
    <t>كفرلوسين</t>
  </si>
  <si>
    <t>C8092</t>
  </si>
  <si>
    <t>أطمة</t>
  </si>
  <si>
    <t>C4130</t>
  </si>
  <si>
    <t>عقربات</t>
  </si>
  <si>
    <t>باب الهوى</t>
  </si>
  <si>
    <t>دير بلوط</t>
  </si>
  <si>
    <t>C1435</t>
  </si>
  <si>
    <t>قورقانيا</t>
  </si>
  <si>
    <t>C4174</t>
  </si>
  <si>
    <t>قلب لوزة</t>
  </si>
  <si>
    <t>C4173</t>
  </si>
  <si>
    <t>بداما</t>
  </si>
  <si>
    <t>C4226</t>
  </si>
  <si>
    <t>أرملا</t>
  </si>
  <si>
    <t>C4227</t>
  </si>
  <si>
    <t>اللاذقية</t>
  </si>
  <si>
    <t>C3480</t>
  </si>
  <si>
    <t>صلوة</t>
  </si>
  <si>
    <t>C4123</t>
  </si>
  <si>
    <t>كفر تخاريم</t>
  </si>
  <si>
    <t>C4157</t>
  </si>
  <si>
    <t>سلقين</t>
  </si>
  <si>
    <t>C4140</t>
  </si>
  <si>
    <t>جبل السماق</t>
  </si>
  <si>
    <t>حارم</t>
  </si>
  <si>
    <t>C4115</t>
  </si>
  <si>
    <t>سرمدا</t>
  </si>
  <si>
    <t>C4121</t>
  </si>
  <si>
    <t>قاح</t>
  </si>
  <si>
    <t>الفوعة</t>
  </si>
  <si>
    <t>تجمع مياه/فيضانات</t>
  </si>
  <si>
    <t>منازل/قرى/مخيمات</t>
  </si>
  <si>
    <t>مياه أمطار وسيول وتأثر الممتلكات والحركة</t>
  </si>
  <si>
    <t>سحب سيارات/شفط مياه/فتح ممرات مائية حسب الموقع</t>
  </si>
  <si>
    <t>C3905</t>
  </si>
  <si>
    <t>أبو ضهور</t>
  </si>
  <si>
    <t>الشيخ بركة</t>
  </si>
  <si>
    <t>C4015</t>
  </si>
  <si>
    <t>سرمين</t>
  </si>
  <si>
    <t>C3953</t>
  </si>
  <si>
    <t>خان شيخون</t>
  </si>
  <si>
    <t>C3986</t>
  </si>
  <si>
    <t>اليعقوبية</t>
  </si>
  <si>
    <t>C4256</t>
  </si>
  <si>
    <t>خربة الجوز</t>
  </si>
  <si>
    <t>C4231</t>
  </si>
  <si>
    <t>طعوم</t>
  </si>
  <si>
    <t>C3906</t>
  </si>
  <si>
    <t>كللي</t>
  </si>
  <si>
    <t>C3949</t>
  </si>
  <si>
    <t>كوكبة</t>
  </si>
  <si>
    <t>بليون</t>
  </si>
  <si>
    <t>انهيار منزل</t>
  </si>
  <si>
    <t>منزل آيل للسقوط</t>
  </si>
  <si>
    <t>منزل آيل للسقوط وتهديد سلامة السكان</t>
  </si>
  <si>
    <t>إخلاء عائلة من 8 أشخاص وتأمين الموقع</t>
  </si>
  <si>
    <t>8</t>
  </si>
  <si>
    <t>شهرناز</t>
  </si>
  <si>
    <t>فيضان/تسرب مياه إلى مخيم</t>
  </si>
  <si>
    <t>مخيم نازحين</t>
  </si>
  <si>
    <t>غمر أو خطر غمر المخيم</t>
  </si>
  <si>
    <t>استجابة وتصريف مياه وفتح ممرات مائية</t>
  </si>
  <si>
    <t>النصر</t>
  </si>
  <si>
    <t>الجهاد</t>
  </si>
  <si>
    <t>الهدى</t>
  </si>
  <si>
    <t>C6456</t>
  </si>
  <si>
    <t>حيش</t>
  </si>
  <si>
    <t>C4108</t>
  </si>
  <si>
    <t>السكن الشبابي</t>
  </si>
  <si>
    <t>الإخوة</t>
  </si>
  <si>
    <t>الخنساء</t>
  </si>
  <si>
    <t>بنايات الكويتي</t>
  </si>
  <si>
    <t>ريف اللاذقية</t>
  </si>
  <si>
    <t>تأثر الطريق بالمياه/السيول</t>
  </si>
  <si>
    <t>تأثر مؤقت للحركة</t>
  </si>
  <si>
    <t>فتح وتأمين الطريق</t>
  </si>
  <si>
    <t>جبلة</t>
  </si>
  <si>
    <t>C3585</t>
  </si>
  <si>
    <t>خان الجوز</t>
  </si>
  <si>
    <t>C7929</t>
  </si>
  <si>
    <t>ربيعة</t>
  </si>
  <si>
    <t>C3508</t>
  </si>
  <si>
    <t>باشورة</t>
  </si>
  <si>
    <t>C3726</t>
  </si>
  <si>
    <t>الرمل الجنوبي</t>
  </si>
  <si>
    <t>غمر/تجمع مياه</t>
  </si>
  <si>
    <t>منازل ومحال ومرافق</t>
  </si>
  <si>
    <t>تجمع أو دخول مياه إلى الممتلكات</t>
  </si>
  <si>
    <t>شفط مياه وفتح عبارات وممرات تصريف</t>
  </si>
  <si>
    <t>مشروع القلعة</t>
  </si>
  <si>
    <t>حي سبيرو</t>
  </si>
  <si>
    <t>عين شقاق</t>
  </si>
  <si>
    <t>C3647</t>
  </si>
  <si>
    <t>الشاليهات</t>
  </si>
  <si>
    <t>الغراف</t>
  </si>
  <si>
    <t>C6741</t>
  </si>
  <si>
    <t>الحفة</t>
  </si>
  <si>
    <t>سقوط أشجار/انهيار جزئي</t>
  </si>
  <si>
    <t>طرق وممتلكات</t>
  </si>
  <si>
    <t>عوائق وأضرار جزئية</t>
  </si>
  <si>
    <t>إزالة الأشجار وتأمين المواقع</t>
  </si>
  <si>
    <t>C3671</t>
  </si>
  <si>
    <t>طرطوس</t>
  </si>
  <si>
    <t>بانياس وطرطوس</t>
  </si>
  <si>
    <t>تجمع مياه/سيول</t>
  </si>
  <si>
    <t>طريق ومرافق</t>
  </si>
  <si>
    <t>تأثر الطرق والمرافق بالمياه</t>
  </si>
  <si>
    <t>فتح وتأمين الطرق وشفط المياه حسب الموقع</t>
  </si>
  <si>
    <t>C5221</t>
  </si>
  <si>
    <t>بانياس</t>
  </si>
  <si>
    <t>C5360</t>
  </si>
  <si>
    <t>حارة المخفر</t>
  </si>
  <si>
    <t>طريق المحطة الحرارية</t>
  </si>
  <si>
    <t>مدرسة عماد عرنوط</t>
  </si>
  <si>
    <t>مفرق القلعة</t>
  </si>
  <si>
    <t>سيارات عالقة</t>
  </si>
  <si>
    <t>تعطل مركبات</t>
  </si>
  <si>
    <t>سحب سيارات عالقة</t>
  </si>
  <si>
    <t>القدموس</t>
  </si>
  <si>
    <t>C5404</t>
  </si>
  <si>
    <t>حوادث سير</t>
  </si>
  <si>
    <t>طرق</t>
  </si>
  <si>
    <t>حوادث سير وإصابات محدودة بحسب البلاغات</t>
  </si>
  <si>
    <t>استجابة لحوادث السير</t>
  </si>
  <si>
    <t>حماة</t>
  </si>
  <si>
    <t>تجمع مياه/عوائق على الطرق</t>
  </si>
  <si>
    <t>تأثر الحركة</t>
  </si>
  <si>
    <t>فتح الطرق ومعالجة المياه</t>
  </si>
  <si>
    <t>العريمة</t>
  </si>
  <si>
    <t>العامقية</t>
  </si>
  <si>
    <t>C3462</t>
  </si>
  <si>
    <t>اللطامنة</t>
  </si>
  <si>
    <t>C3458</t>
  </si>
  <si>
    <t>السلمية</t>
  </si>
  <si>
    <t>C3244</t>
  </si>
  <si>
    <t>عناب</t>
  </si>
  <si>
    <t>تجمع مياه/انسداد ممرات</t>
  </si>
  <si>
    <t>قرية/بلدة</t>
  </si>
  <si>
    <t>تجمع مياه وتأثر التصريف</t>
  </si>
  <si>
    <t>فتح ممرات مائية</t>
  </si>
  <si>
    <t>C3117</t>
  </si>
  <si>
    <t>التوينة</t>
  </si>
  <si>
    <t>C4351</t>
  </si>
  <si>
    <t>السقيلبية</t>
  </si>
  <si>
    <t>C3114</t>
  </si>
  <si>
    <t>العزيزية</t>
  </si>
  <si>
    <t>الأربعين</t>
  </si>
  <si>
    <t>القاهرة</t>
  </si>
  <si>
    <t>الزقوم</t>
  </si>
  <si>
    <t>C6710</t>
  </si>
  <si>
    <t>الحميدية</t>
  </si>
  <si>
    <t>C5263</t>
  </si>
  <si>
    <t>قسطون</t>
  </si>
  <si>
    <t>شيزر</t>
  </si>
  <si>
    <t>C3438</t>
  </si>
  <si>
    <t>حلفايا</t>
  </si>
  <si>
    <t>C3453</t>
  </si>
  <si>
    <t>قمحانة</t>
  </si>
  <si>
    <t>الشيحة</t>
  </si>
  <si>
    <t>C3355</t>
  </si>
  <si>
    <t>دير شميل</t>
  </si>
  <si>
    <t>C3373</t>
  </si>
  <si>
    <t>تضرر مخيمات/مساكن مؤقتة</t>
  </si>
  <si>
    <t>خيم/مساكن مؤقتة</t>
  </si>
  <si>
    <t>انهيارات وأضرار، مع تسجيل 4 إصابات نتيجة انهيار خيم</t>
  </si>
  <si>
    <t>نصب وتوزيع خيم للمتضررين</t>
  </si>
  <si>
    <t>4</t>
  </si>
  <si>
    <t>محردة</t>
  </si>
  <si>
    <t>C3457</t>
  </si>
  <si>
    <t>قصر أبو سمرة</t>
  </si>
  <si>
    <t>C3038</t>
  </si>
  <si>
    <t>قصر أبو علي</t>
  </si>
  <si>
    <t>استجابة للحوادث</t>
  </si>
  <si>
    <t>حمص</t>
  </si>
  <si>
    <t>تأثر الطريق بالمياه/الطقس</t>
  </si>
  <si>
    <t>صعوبة حركة مؤقتة</t>
  </si>
  <si>
    <t>C2777</t>
  </si>
  <si>
    <t>C2528</t>
  </si>
  <si>
    <t>C4899</t>
  </si>
  <si>
    <t>غمر منازل</t>
  </si>
  <si>
    <t>منازل وأحياء سكنية</t>
  </si>
  <si>
    <t>غرق/دخول مياه إلى المنازل</t>
  </si>
  <si>
    <t>شفط مياه وفتح ممرات مائية</t>
  </si>
  <si>
    <t>C2546</t>
  </si>
  <si>
    <t>C2882</t>
  </si>
  <si>
    <t>N0246</t>
  </si>
  <si>
    <t>استجابة للحوادث وسحب مركبات</t>
  </si>
  <si>
    <t>ريف دمشق</t>
  </si>
  <si>
    <t>أحياء ومنازل</t>
  </si>
  <si>
    <t>تجمع مياه وأضرار مادية</t>
  </si>
  <si>
    <t>فتح وتصريف المياه وفتح ممرات ووضع سواتر</t>
  </si>
  <si>
    <t>C2501</t>
  </si>
  <si>
    <t>داريا</t>
  </si>
  <si>
    <t>C2498</t>
  </si>
  <si>
    <t>التل</t>
  </si>
  <si>
    <t>C2395</t>
  </si>
  <si>
    <t>C2304</t>
  </si>
  <si>
    <t>C2328</t>
  </si>
  <si>
    <t>غمر قبو</t>
  </si>
  <si>
    <t>قبو منزل/مسجد</t>
  </si>
  <si>
    <t>ارتفاع المياه نحو مترين في قبو</t>
  </si>
  <si>
    <t>شفط المياه وتأمين الموقع</t>
  </si>
  <si>
    <t>C2331</t>
  </si>
  <si>
    <t>طريق الثنايا</t>
  </si>
  <si>
    <t>محيط مشفى الشرطة</t>
  </si>
  <si>
    <t>المناطق الجبلية</t>
  </si>
  <si>
    <t>جبل اليونان</t>
  </si>
  <si>
    <t>عاصفة ثلجية وصقيع</t>
  </si>
  <si>
    <t>تراكم ثلوج/جليد</t>
  </si>
  <si>
    <t>طرق جبلية</t>
  </si>
  <si>
    <t>إغلاق وصعوبة حركة ومركبات عالقة</t>
  </si>
  <si>
    <t>فتح طرق وسحب سيارات عالقة</t>
  </si>
  <si>
    <t>بلودان</t>
  </si>
  <si>
    <t>C2434</t>
  </si>
  <si>
    <t>الزبداني</t>
  </si>
  <si>
    <t>C2429</t>
  </si>
  <si>
    <t>دمشق</t>
  </si>
  <si>
    <t>المزة</t>
  </si>
  <si>
    <t>غمر منازل/أقبية</t>
  </si>
  <si>
    <t>منازل وأقبية</t>
  </si>
  <si>
    <t>تجمع أو دخول مياه</t>
  </si>
  <si>
    <t>شفط المياه</t>
  </si>
  <si>
    <t>دمر</t>
  </si>
  <si>
    <t>القيمرية</t>
  </si>
  <si>
    <t>قهوة النوفرة</t>
  </si>
  <si>
    <t>مدينة دمشق</t>
  </si>
  <si>
    <t>نفق باب كيسان</t>
  </si>
  <si>
    <t>انسداد مجاري مياه</t>
  </si>
  <si>
    <t>نفق/شارع</t>
  </si>
  <si>
    <t>فتح مجاري المياه</t>
  </si>
  <si>
    <t>بيادر نادر</t>
  </si>
  <si>
    <t>N0090</t>
  </si>
  <si>
    <t>جدار آيل للسقوط/انهيار</t>
  </si>
  <si>
    <t>مبنى وطريق</t>
  </si>
  <si>
    <t>خطر على المارة والممتلكات</t>
  </si>
  <si>
    <t>تأمين الموقع وإزالة الجدار/التعامل مع الحائط</t>
  </si>
  <si>
    <t>مجمع ابن عساكر</t>
  </si>
  <si>
    <t>الشاغور</t>
  </si>
  <si>
    <t>المزة – الشيخ سعد</t>
  </si>
  <si>
    <t>سقوط شجرة</t>
  </si>
  <si>
    <t>انقطاع الطريق</t>
  </si>
  <si>
    <t>إزالة الشجرة وفتح الطريق</t>
  </si>
  <si>
    <t>12/01/2026–14/01/2026</t>
  </si>
  <si>
    <t>طرق رئيسية وفرعية</t>
  </si>
  <si>
    <t>تلكلخ</t>
  </si>
  <si>
    <t>أم جامع</t>
  </si>
  <si>
    <t>فيضان نهر العاصي</t>
  </si>
  <si>
    <t>منازل/سكان</t>
  </si>
  <si>
    <t>مرتفع جداً</t>
  </si>
  <si>
    <t>غمر منازل وتهديد مباشر للسكان</t>
  </si>
  <si>
    <t>إنقاذ 25 شخصاً من النساء والأطفال وكبار السن وإنقاذ بعض المواشي والممتلكات</t>
  </si>
  <si>
    <t>25</t>
  </si>
  <si>
    <t>مخيم البركة</t>
  </si>
  <si>
    <t>تأثر طريق/مخيم بالمياه</t>
  </si>
  <si>
    <t>طريق/مخيم</t>
  </si>
  <si>
    <t>تجمع مياه وتأثر الحركة أو المخيم</t>
  </si>
  <si>
    <t>فتح الطرق والممرات المائية</t>
  </si>
  <si>
    <t>الأتارب</t>
  </si>
  <si>
    <t>C1022</t>
  </si>
  <si>
    <t>التوامة</t>
  </si>
  <si>
    <t>C1020</t>
  </si>
  <si>
    <t>الباب</t>
  </si>
  <si>
    <t>C1202</t>
  </si>
  <si>
    <t>مخيمات الباب</t>
  </si>
  <si>
    <t>طريق مغلق/صعوبة حركة</t>
  </si>
  <si>
    <t>إغلاق مؤقت للطريق</t>
  </si>
  <si>
    <t>العمل على فتح وتأمين الطريق</t>
  </si>
  <si>
    <t>راعل</t>
  </si>
  <si>
    <t>C1665</t>
  </si>
  <si>
    <t>مخيم المرج</t>
  </si>
  <si>
    <t>مدينة حلب</t>
  </si>
  <si>
    <t>الأنصاري</t>
  </si>
  <si>
    <t>منازل</t>
  </si>
  <si>
    <t>تسرب/تجمع مياه في 4 منازل</t>
  </si>
  <si>
    <t>الزبدية</t>
  </si>
  <si>
    <t>تجمع مياه في مخيم/طريق</t>
  </si>
  <si>
    <t>مخيمات وطرق</t>
  </si>
  <si>
    <t>عزاز</t>
  </si>
  <si>
    <t>مخيمات الكمونة</t>
  </si>
  <si>
    <t>مخيم الكوش</t>
  </si>
  <si>
    <t>حي الأنصاري</t>
  </si>
  <si>
    <t>إزالة الشجرة</t>
  </si>
  <si>
    <t>انهيار جدران</t>
  </si>
  <si>
    <t>مخيم</t>
  </si>
  <si>
    <t>انهيار جدران بسبب الأمطار</t>
  </si>
  <si>
    <t>استجابة وتأمين الموقع</t>
  </si>
  <si>
    <t>الدانا</t>
  </si>
  <si>
    <t>تأثر/إغلاق طريق</t>
  </si>
  <si>
    <t>تأثر الحركة بسبب الأمطار والسيول</t>
  </si>
  <si>
    <t>الجانودية</t>
  </si>
  <si>
    <t>C4255</t>
  </si>
  <si>
    <t>الحفرية</t>
  </si>
  <si>
    <t>C8338</t>
  </si>
  <si>
    <t>الشاتورية</t>
  </si>
  <si>
    <t>C4232</t>
  </si>
  <si>
    <t>البالعة</t>
  </si>
  <si>
    <t>C6724</t>
  </si>
  <si>
    <t>مشمشان</t>
  </si>
  <si>
    <t>سرغايا</t>
  </si>
  <si>
    <t>C7139</t>
  </si>
  <si>
    <t>أريحا</t>
  </si>
  <si>
    <t>النيرب</t>
  </si>
  <si>
    <t>C3867</t>
  </si>
  <si>
    <t>الكفير</t>
  </si>
  <si>
    <t>سيارة عالقة بسبب الأمطار</t>
  </si>
  <si>
    <t>تعطل مركبة</t>
  </si>
  <si>
    <t>سحب السيارة العالقة (ضمن 25 سيارة في إدلب)</t>
  </si>
  <si>
    <t>معرة النعمان</t>
  </si>
  <si>
    <t>C3985</t>
  </si>
  <si>
    <t>كورين</t>
  </si>
  <si>
    <t>معرة مصرين</t>
  </si>
  <si>
    <t>البارة</t>
  </si>
  <si>
    <t>C4304</t>
  </si>
  <si>
    <t>حربنوش</t>
  </si>
  <si>
    <t>قميناس</t>
  </si>
  <si>
    <t>C3876</t>
  </si>
  <si>
    <t>كنصفرة</t>
  </si>
  <si>
    <t>C4309</t>
  </si>
  <si>
    <t>عين شيب</t>
  </si>
  <si>
    <t>C3868</t>
  </si>
  <si>
    <t>القصير</t>
  </si>
  <si>
    <t>قرية/مخيم/طريق</t>
  </si>
  <si>
    <t>تجمع مياه وخطر فيضان</t>
  </si>
  <si>
    <t>كفرومة</t>
  </si>
  <si>
    <t>ملس</t>
  </si>
  <si>
    <t>C4184</t>
  </si>
  <si>
    <t>محمبل</t>
  </si>
  <si>
    <t>C4330</t>
  </si>
  <si>
    <t>ملحق مخيم خان شيخون</t>
  </si>
  <si>
    <t>مخيم التويني</t>
  </si>
  <si>
    <t>مخيم النعيمة</t>
  </si>
  <si>
    <t>فيضان مخيم</t>
  </si>
  <si>
    <t>غمر/تهديد بغمر المخيم</t>
  </si>
  <si>
    <t>استجابة وتصريف مياه وحماية المخيم</t>
  </si>
  <si>
    <t>انهيار جدار</t>
  </si>
  <si>
    <t>مبنى/طريق</t>
  </si>
  <si>
    <t>جدار متهدم</t>
  </si>
  <si>
    <t>تأمين الموقع</t>
  </si>
  <si>
    <t>منزل</t>
  </si>
  <si>
    <t>منزل متهدم وإصابة واحدة</t>
  </si>
  <si>
    <t>استجابة وإسعاف وتأمين الموقع</t>
  </si>
  <si>
    <t>1</t>
  </si>
  <si>
    <t>ارتفاع/فيضان مجرى مائي</t>
  </si>
  <si>
    <t>مجرى قرب منازل</t>
  </si>
  <si>
    <t>تهديد للمنازل بسبب مجرى وادي قريب</t>
  </si>
  <si>
    <t>جولة تفقدية وتقييم الخطر</t>
  </si>
  <si>
    <t>الزوبار</t>
  </si>
  <si>
    <t>تأثر الطرق بالأمطار</t>
  </si>
  <si>
    <t>C3486</t>
  </si>
  <si>
    <t>جبل الأكراد</t>
  </si>
  <si>
    <t>صلنفة</t>
  </si>
  <si>
    <t>C3700</t>
  </si>
  <si>
    <t>غابات الفرنلق</t>
  </si>
  <si>
    <t>غمام</t>
  </si>
  <si>
    <t>C3500</t>
  </si>
  <si>
    <t>انسداد عبارات/ممرات تصريف</t>
  </si>
  <si>
    <t>طريق/مجرى تصريف</t>
  </si>
  <si>
    <t>تجمع مياه</t>
  </si>
  <si>
    <t>فتح العبارات وممرات التصريف</t>
  </si>
  <si>
    <t>العوينية</t>
  </si>
  <si>
    <t>C5220</t>
  </si>
  <si>
    <t>العيدو</t>
  </si>
  <si>
    <t>دخول مياه إلى منازل</t>
  </si>
  <si>
    <t>مفرق سلمى</t>
  </si>
  <si>
    <t>خطر على حركة المرور بسبب الجليد</t>
  </si>
  <si>
    <t>خطر انزلاق</t>
  </si>
  <si>
    <t>وضع إشارات تحذيرية</t>
  </si>
  <si>
    <t>سقوط أشجار</t>
  </si>
  <si>
    <t>عوائق على الطرق</t>
  </si>
  <si>
    <t>إزالة الأشجار</t>
  </si>
  <si>
    <t>العزيزة</t>
  </si>
  <si>
    <t>تجمع مياه/تأثر طريق</t>
  </si>
  <si>
    <t>طريق/بلدة</t>
  </si>
  <si>
    <t>فتح طرق وممرات مائية</t>
  </si>
  <si>
    <t>C7368</t>
  </si>
  <si>
    <t>الحويجة</t>
  </si>
  <si>
    <t>المقامات</t>
  </si>
  <si>
    <t>أبو كليفون</t>
  </si>
  <si>
    <t>C3109</t>
  </si>
  <si>
    <t>سيارة عالقة</t>
  </si>
  <si>
    <t>سحب السيارة</t>
  </si>
  <si>
    <t>قرية المغير</t>
  </si>
  <si>
    <t>المغير</t>
  </si>
  <si>
    <t>انهيار منازل</t>
  </si>
  <si>
    <t>انهيار منازل دون إصابات</t>
  </si>
  <si>
    <t>تأمين الموقع والتفقد</t>
  </si>
  <si>
    <t>منزل معرض للسقوط</t>
  </si>
  <si>
    <t>خطر انهيار مبنى</t>
  </si>
  <si>
    <t>تفقد وتأمين الموقع</t>
  </si>
  <si>
    <t>تجمع مياه الأمطار في المنازل</t>
  </si>
  <si>
    <t>قبر فضة</t>
  </si>
  <si>
    <t>C3208</t>
  </si>
  <si>
    <t>عين الكروم</t>
  </si>
  <si>
    <t>C3123</t>
  </si>
  <si>
    <t>الهوات</t>
  </si>
  <si>
    <t>C3448</t>
  </si>
  <si>
    <t>حيالين</t>
  </si>
  <si>
    <t>تل هواش</t>
  </si>
  <si>
    <t>C3197</t>
  </si>
  <si>
    <t>مصياف</t>
  </si>
  <si>
    <t>C3367</t>
  </si>
  <si>
    <t>قرية بدر الدين الحامد</t>
  </si>
  <si>
    <t>مدرسة</t>
  </si>
  <si>
    <t>غمر مبنى</t>
  </si>
  <si>
    <t>تجمع مياه داخل المدرسة</t>
  </si>
  <si>
    <t>سحب المياه</t>
  </si>
  <si>
    <t>C2208</t>
  </si>
  <si>
    <t>عوائق على الطريق</t>
  </si>
  <si>
    <t>البياضة</t>
  </si>
  <si>
    <t>إغلاق/تعطل طريق بسبب سيارة</t>
  </si>
  <si>
    <t>تعطل الحركة</t>
  </si>
  <si>
    <t>فتح الطريق</t>
  </si>
  <si>
    <t>تأثر طريق</t>
  </si>
  <si>
    <t>صعوبة حركة</t>
  </si>
  <si>
    <t>غرق منازل وتهديد للسكان</t>
  </si>
  <si>
    <t>إنقاذ 25 شخصاً وإنقاذ بعض المواشي والممتلكات</t>
  </si>
  <si>
    <t>الزرزورية</t>
  </si>
  <si>
    <t>غمر منازل/شوارع</t>
  </si>
  <si>
    <t>منازل وشوارع</t>
  </si>
  <si>
    <t>تجمع مياه أمطار</t>
  </si>
  <si>
    <t>C2582</t>
  </si>
  <si>
    <t>الطيبة</t>
  </si>
  <si>
    <t>كفر لاها</t>
  </si>
  <si>
    <t>الوعر</t>
  </si>
  <si>
    <t>الزهور</t>
  </si>
  <si>
    <t>تلدو</t>
  </si>
  <si>
    <t>انسداد ممرات مائية</t>
  </si>
  <si>
    <t>C2541</t>
  </si>
  <si>
    <t>الرستن</t>
  </si>
  <si>
    <t>C2870</t>
  </si>
  <si>
    <t>غرناطة</t>
  </si>
  <si>
    <t>عرقايا</t>
  </si>
  <si>
    <t>C2552</t>
  </si>
  <si>
    <t>وادي الذهب</t>
  </si>
  <si>
    <t>برابو</t>
  </si>
  <si>
    <t>C2589</t>
  </si>
  <si>
    <t>تل ذهب</t>
  </si>
  <si>
    <t>سحب سيارة عالقة</t>
  </si>
  <si>
    <t>المديرية الجنوبية</t>
  </si>
  <si>
    <t>قبو</t>
  </si>
  <si>
    <t>تجمع مياه داخل الأقبية</t>
  </si>
  <si>
    <t>شفط المياه وتقديم الرعاية الصحية</t>
  </si>
  <si>
    <t>أزرع</t>
  </si>
  <si>
    <t>C6101</t>
  </si>
  <si>
    <t>قرية/مدينة</t>
  </si>
  <si>
    <t>خان أرنبة</t>
  </si>
  <si>
    <t>C6273</t>
  </si>
  <si>
    <t>غمر مخيمات</t>
  </si>
  <si>
    <t>مخيمات</t>
  </si>
  <si>
    <t>تجمع مياه في مخيمات عشوائية</t>
  </si>
  <si>
    <t>تصريف المياه</t>
  </si>
  <si>
    <t>تجمع مياه/تأثر طرق</t>
  </si>
  <si>
    <t>طرق ومناطق سكنية</t>
  </si>
  <si>
    <t>جولات تفقدية</t>
  </si>
  <si>
    <t>طرنجة</t>
  </si>
  <si>
    <t>C6271</t>
  </si>
  <si>
    <t>دمشق وريفها</t>
  </si>
  <si>
    <t>الحجر الأسود</t>
  </si>
  <si>
    <t>تراكم ثلوج/تأثر الطريق</t>
  </si>
  <si>
    <t>صعوبة حركة بسبب الثلوج/الطقس</t>
  </si>
  <si>
    <t>C2502</t>
  </si>
  <si>
    <t>C1001</t>
  </si>
  <si>
    <t>بيروت</t>
  </si>
  <si>
    <t>رنكوس</t>
  </si>
  <si>
    <t>C2410</t>
  </si>
  <si>
    <t>حوش عرب</t>
  </si>
  <si>
    <t>C2407</t>
  </si>
  <si>
    <t>الجمعيات</t>
  </si>
  <si>
    <t>طريق المطاعم</t>
  </si>
  <si>
    <t>أحياء ومرافق</t>
  </si>
  <si>
    <t>مركز الأشمر</t>
  </si>
  <si>
    <t>جدار آيل للسقوط</t>
  </si>
  <si>
    <t>مركز/مبنى</t>
  </si>
  <si>
    <t>خطر انهيار جدار</t>
  </si>
  <si>
    <t>إزالة الجدار الآيل للسقوط وتأمين الموقع</t>
  </si>
  <si>
    <t>26/01/2026</t>
  </si>
  <si>
    <t>طرق رئيسية</t>
  </si>
  <si>
    <t>سقوط أشجار وصخور</t>
  </si>
  <si>
    <t>حج حسنلي</t>
  </si>
  <si>
    <t>إغلاق أو صعوبة حركة بسبب الثلوج والجليد</t>
  </si>
  <si>
    <t>سنارة</t>
  </si>
  <si>
    <t>C1529</t>
  </si>
  <si>
    <t>قرقوزاق</t>
  </si>
  <si>
    <t>الخسفة</t>
  </si>
  <si>
    <t>القسطل</t>
  </si>
  <si>
    <t>العون</t>
  </si>
  <si>
    <t>C8203</t>
  </si>
  <si>
    <t>مقطع الحجر</t>
  </si>
  <si>
    <t>C3007</t>
  </si>
  <si>
    <t>معبطلي</t>
  </si>
  <si>
    <t>C1547</t>
  </si>
  <si>
    <t>حندرات</t>
  </si>
  <si>
    <t>C7444</t>
  </si>
  <si>
    <t>كفر ناصح</t>
  </si>
  <si>
    <t>كعيبة</t>
  </si>
  <si>
    <t>C1609</t>
  </si>
  <si>
    <t>كفر صفرة</t>
  </si>
  <si>
    <t>C1449</t>
  </si>
  <si>
    <t>عين البيضا</t>
  </si>
  <si>
    <t>C3522</t>
  </si>
  <si>
    <t>كفرة</t>
  </si>
  <si>
    <t>مارع</t>
  </si>
  <si>
    <t>C1643</t>
  </si>
  <si>
    <t>جميع طرق جرابلس</t>
  </si>
  <si>
    <t>جميع طرق منبج</t>
  </si>
  <si>
    <t>إعزاز من كفر جنة</t>
  </si>
  <si>
    <t>تل بنانات</t>
  </si>
  <si>
    <t>قبة الشيخ</t>
  </si>
  <si>
    <t>باصوفان</t>
  </si>
  <si>
    <t>C1374</t>
  </si>
  <si>
    <t>برج حيدر</t>
  </si>
  <si>
    <t>C1354</t>
  </si>
  <si>
    <t>مخيم كويت الرحمة وأرض الأمل</t>
  </si>
  <si>
    <t>زعرة</t>
  </si>
  <si>
    <t>C1406</t>
  </si>
  <si>
    <t>شنكل</t>
  </si>
  <si>
    <t>C1482</t>
  </si>
  <si>
    <t>بوليو بيك أوباسي</t>
  </si>
  <si>
    <t>بغجة</t>
  </si>
  <si>
    <t>اليابسة</t>
  </si>
  <si>
    <t>C1401</t>
  </si>
  <si>
    <t>هيامو</t>
  </si>
  <si>
    <t>قسطل خضر</t>
  </si>
  <si>
    <t>شاديات</t>
  </si>
  <si>
    <t>سوركة</t>
  </si>
  <si>
    <t>كونان فوقاني وتحتاني</t>
  </si>
  <si>
    <t>قورنة</t>
  </si>
  <si>
    <t>C1418</t>
  </si>
  <si>
    <t>جقلي فوقاني</t>
  </si>
  <si>
    <t>قرية علم دار</t>
  </si>
  <si>
    <t>حلب – حي السريان</t>
  </si>
  <si>
    <t>حي السريان</t>
  </si>
  <si>
    <t>مواقع متعددة</t>
  </si>
  <si>
    <t>انزلاق سيارات</t>
  </si>
  <si>
    <t>35 سيارة انحرفت بسبب تراكم الثلوج</t>
  </si>
  <si>
    <t>سحب السيارات وتأمين الطرق</t>
  </si>
  <si>
    <t>السفيرة – دير حافر</t>
  </si>
  <si>
    <t>طريق السفيرة</t>
  </si>
  <si>
    <t>انقلاب مركبة</t>
  </si>
  <si>
    <t>انقلاب سيارة عسكرية</t>
  </si>
  <si>
    <t>استجابة ميدانية وتأمين الموقع</t>
  </si>
  <si>
    <t>دير حافر</t>
  </si>
  <si>
    <t>C8740</t>
  </si>
  <si>
    <t>حي الشعار</t>
  </si>
  <si>
    <t>N0156</t>
  </si>
  <si>
    <t>راجو – الشيوخ – قاسم – ديك أوباسي</t>
  </si>
  <si>
    <t>المحور</t>
  </si>
  <si>
    <t>طريق مغلق بسبب الثلوج</t>
  </si>
  <si>
    <t>بقاء المحور قيد العمل</t>
  </si>
  <si>
    <t>استمرار فتح وتأمين الطريق</t>
  </si>
  <si>
    <t>إغلاق أو صعوبة حركة</t>
  </si>
  <si>
    <t>فتح وتأمين الطرق ورش الملح</t>
  </si>
  <si>
    <t>مشفى الجبل</t>
  </si>
  <si>
    <t>العجمة</t>
  </si>
  <si>
    <t>الدويلة</t>
  </si>
  <si>
    <t>قيلا ومخيم التوبات</t>
  </si>
  <si>
    <t>الجبل الشرقي</t>
  </si>
  <si>
    <t>العجمي</t>
  </si>
  <si>
    <t>باريشا</t>
  </si>
  <si>
    <t>C4164</t>
  </si>
  <si>
    <t>الجبل الوسطاني</t>
  </si>
  <si>
    <t>الزعينية</t>
  </si>
  <si>
    <t>C6698</t>
  </si>
  <si>
    <t>طرق مغلقة بالثلوج</t>
  </si>
  <si>
    <t>إغلاق الطرق بسبب تراكم الثلوج</t>
  </si>
  <si>
    <t>فتح الطرق وتأمينها</t>
  </si>
  <si>
    <t>صلوه</t>
  </si>
  <si>
    <t>مخيم التوبة</t>
  </si>
  <si>
    <t>15 حادث سير خلال الفترة</t>
  </si>
  <si>
    <t>استجابة لحوادث السير وتأمين المواقع</t>
  </si>
  <si>
    <t>حزانو</t>
  </si>
  <si>
    <t>C3944</t>
  </si>
  <si>
    <t>استراد اللاذقية</t>
  </si>
  <si>
    <t>سيارات عالقة بسبب الجليد</t>
  </si>
  <si>
    <t>28 سيارة عالقة ضمن الاستجابة المذكورة</t>
  </si>
  <si>
    <t>سحب السيارات ورش الملح</t>
  </si>
  <si>
    <t>نحلة</t>
  </si>
  <si>
    <t>C4284</t>
  </si>
  <si>
    <t>بزابور</t>
  </si>
  <si>
    <t>C4268</t>
  </si>
  <si>
    <t>خان السبل</t>
  </si>
  <si>
    <t>طريق اللاذقية</t>
  </si>
  <si>
    <t>مرعيان</t>
  </si>
  <si>
    <t>سقوط صخرة</t>
  </si>
  <si>
    <t>طريق جبلي</t>
  </si>
  <si>
    <t>صخرة سقطت من الجبل وعرقلت الطريق</t>
  </si>
  <si>
    <t>إزالة الصخرة وفتح الطريق</t>
  </si>
  <si>
    <t>C4308</t>
  </si>
  <si>
    <t>انقلاب مركبة عسكرية</t>
  </si>
  <si>
    <t>انزلاق مركبة عسكرية وانقلابها</t>
  </si>
  <si>
    <t>التوجه بالمعدة والاستجابة للحادث</t>
  </si>
  <si>
    <t>صعوبة/إغلاق مؤقت للحركة</t>
  </si>
  <si>
    <t>كسب</t>
  </si>
  <si>
    <t>C3557</t>
  </si>
  <si>
    <t>بيت ياشوط</t>
  </si>
  <si>
    <t>C6349</t>
  </si>
  <si>
    <t>باب جنة</t>
  </si>
  <si>
    <t>C3699</t>
  </si>
  <si>
    <t>دير ماما</t>
  </si>
  <si>
    <t>القرداحة</t>
  </si>
  <si>
    <t>C3809</t>
  </si>
  <si>
    <t>جوبة برغال</t>
  </si>
  <si>
    <t>C3857</t>
  </si>
  <si>
    <t>سلمى</t>
  </si>
  <si>
    <t>C3704</t>
  </si>
  <si>
    <t>قسطل معاف</t>
  </si>
  <si>
    <t>C3555</t>
  </si>
  <si>
    <t>طعوما</t>
  </si>
  <si>
    <t>C3729</t>
  </si>
  <si>
    <t>عكو</t>
  </si>
  <si>
    <t>C3740</t>
  </si>
  <si>
    <t>بشرفة</t>
  </si>
  <si>
    <t>المغيرية</t>
  </si>
  <si>
    <t>C6648</t>
  </si>
  <si>
    <t>برج الإذاعة</t>
  </si>
  <si>
    <t>عين البيضة</t>
  </si>
  <si>
    <t>شطحة</t>
  </si>
  <si>
    <t>C6972</t>
  </si>
  <si>
    <t>كرم المعصرة</t>
  </si>
  <si>
    <t>C3775</t>
  </si>
  <si>
    <t>بوز الخربة</t>
  </si>
  <si>
    <t>طعما</t>
  </si>
  <si>
    <t>12 سيارة عالقة بسبب الجليد</t>
  </si>
  <si>
    <t>سحب السيارات</t>
  </si>
  <si>
    <t>8 حوادث انزلاق سيارات</t>
  </si>
  <si>
    <t>استجابة وتأمين الطرق</t>
  </si>
  <si>
    <t>أشجار على الطريق</t>
  </si>
  <si>
    <t>طرق متضررة بالجليد</t>
  </si>
  <si>
    <t>تشكل الجليد</t>
  </si>
  <si>
    <t>انقطاع/صعوبة حركة</t>
  </si>
  <si>
    <t>رش مادة الملح</t>
  </si>
  <si>
    <t>تراكم الثلوج/الجليد</t>
  </si>
  <si>
    <t>طريق النهر البارد</t>
  </si>
  <si>
    <t>10 سيارات عالقة بسبب الجليد</t>
  </si>
  <si>
    <t>مصياف – القدموس</t>
  </si>
  <si>
    <t>انزلاق سيارتين والطريق سالك بصعوبة</t>
  </si>
  <si>
    <t>استجابة وتأمين الطريق</t>
  </si>
  <si>
    <t>عين النسر</t>
  </si>
  <si>
    <t>ضباب/ثلوج/عوائق</t>
  </si>
  <si>
    <t>تأثر الرؤية أو الحركة</t>
  </si>
  <si>
    <t>C2605</t>
  </si>
  <si>
    <t>حسياء</t>
  </si>
  <si>
    <t>C2675</t>
  </si>
  <si>
    <t>عين النسر – السلمية</t>
  </si>
  <si>
    <t>عوائق من الرياح</t>
  </si>
  <si>
    <t>كرفانات قطعت الطريق</t>
  </si>
  <si>
    <t>إزاحة الكرفانات وفتح الطريق</t>
  </si>
  <si>
    <t>سيارة عالقة بالوحل</t>
  </si>
  <si>
    <t>طرق ترابية</t>
  </si>
  <si>
    <t>مواقع متفرقة</t>
  </si>
  <si>
    <t>الطريق الدولي دمشق</t>
  </si>
  <si>
    <t>القطيفة</t>
  </si>
  <si>
    <t>C2384</t>
  </si>
  <si>
    <t>جميع الطرق</t>
  </si>
  <si>
    <t>حافلة عالقة</t>
  </si>
  <si>
    <t>حافلة عالقة في الجليد</t>
  </si>
  <si>
    <t>سحب الحافلة وتأمين الطريق</t>
  </si>
  <si>
    <t>درعا – دمشق</t>
  </si>
  <si>
    <t>طريق رئيسي</t>
  </si>
  <si>
    <t>3 حوادث دون إصابات</t>
  </si>
  <si>
    <t>استجابة وتحذير السائقين</t>
  </si>
  <si>
    <t>طرق عامة</t>
  </si>
  <si>
    <t>صافيتا</t>
  </si>
  <si>
    <t>C5472</t>
  </si>
  <si>
    <t>C2987</t>
  </si>
  <si>
    <t>طرق متفرقة</t>
  </si>
  <si>
    <t>10 سيارات عالقة بالجليد</t>
  </si>
  <si>
    <t>أسلاك كهرباء قطعت الطريق</t>
  </si>
  <si>
    <t>انقطاع الطريق بسبب أسلاك كهرباء</t>
  </si>
  <si>
    <t>إزالة الأسلاك وتأمين الطريق</t>
  </si>
  <si>
    <t>01/02/2026</t>
  </si>
  <si>
    <t>منطقة بسرطون</t>
  </si>
  <si>
    <t>بسرطون</t>
  </si>
  <si>
    <t>عاصفة مطرية</t>
  </si>
  <si>
    <t>تجمع/تصريف مياه الأمطار</t>
  </si>
  <si>
    <t>ممرات مائية</t>
  </si>
  <si>
    <t>تجمع مياه الأمطار</t>
  </si>
  <si>
    <t>غير محدد في التقرير</t>
  </si>
  <si>
    <t>C1147</t>
  </si>
  <si>
    <t>مخيم جرابلس</t>
  </si>
  <si>
    <t>تجمع مياه في المخيم</t>
  </si>
  <si>
    <t>حي الحمدانية</t>
  </si>
  <si>
    <t>حي سكني</t>
  </si>
  <si>
    <t>تجمعات مياه محتملة</t>
  </si>
  <si>
    <t>جولة تفقدية للكشف عن تجمعات المياه</t>
  </si>
  <si>
    <t>بستان القصر</t>
  </si>
  <si>
    <t>جولة تفقدية</t>
  </si>
  <si>
    <t>حي الأشرفية</t>
  </si>
  <si>
    <t>سقوط شجرة/انقطاع طريق</t>
  </si>
  <si>
    <t>شجرة سقطت وتسببت بانقطاع الطريق</t>
  </si>
  <si>
    <t>إزالة الشجرة وإعادة فتح الطريق</t>
  </si>
  <si>
    <t>العيس</t>
  </si>
  <si>
    <t>قرية العيس</t>
  </si>
  <si>
    <t>غمر/تجمع مياه داخل منزل</t>
  </si>
  <si>
    <t>منزل متضرر بمياه الأمطار</t>
  </si>
  <si>
    <t>شفط مياه الأمطار</t>
  </si>
  <si>
    <t>الزربة</t>
  </si>
  <si>
    <t>C1170</t>
  </si>
  <si>
    <t>تجمع مياه في قبو</t>
  </si>
  <si>
    <t>تجمع مياه داخل المخيم</t>
  </si>
  <si>
    <t>مركبة عالقة بالوحل</t>
  </si>
  <si>
    <t>طريق/مركبة</t>
  </si>
  <si>
    <t>1 مركبة</t>
  </si>
  <si>
    <t>حي الصاخور</t>
  </si>
  <si>
    <t>انهيار/انهيار بسبب الأمطار</t>
  </si>
  <si>
    <t>مبنى/أسرة</t>
  </si>
  <si>
    <t>حرج جداً</t>
  </si>
  <si>
    <t>انهيار أدى إلى احتجاز أسرة تحت الأنقاض ووفاة طفلة 12 عاماً</t>
  </si>
  <si>
    <t>إنقاذ أسرة مكونة من 6 أفراد وإخراج العالقين</t>
  </si>
  <si>
    <t>6 أشخاص؛ وفاة طفلة 12 عاماً</t>
  </si>
  <si>
    <t>انقطاع/تضرر طريق</t>
  </si>
  <si>
    <t>تأثر الطريق بالأمطار</t>
  </si>
  <si>
    <t>انقطاع/تضرر طرق</t>
  </si>
  <si>
    <t>فتح الطرق</t>
  </si>
  <si>
    <t>اشتبرق</t>
  </si>
  <si>
    <t>C4198</t>
  </si>
  <si>
    <t>انجراف تربة/انقطاع طرق</t>
  </si>
  <si>
    <t>انجراف تربة أدى لتأثر الطرق</t>
  </si>
  <si>
    <t>بزيت</t>
  </si>
  <si>
    <t>تل مرديخ</t>
  </si>
  <si>
    <t>طرقات</t>
  </si>
  <si>
    <t>فتح الطرقات</t>
  </si>
  <si>
    <t>الكنيسة</t>
  </si>
  <si>
    <t>الناجية</t>
  </si>
  <si>
    <t>ضعف الرؤية/صعوبة المرور</t>
  </si>
  <si>
    <t>ضباب وأمطار شديدة</t>
  </si>
  <si>
    <t>متابعة حالة الطريق</t>
  </si>
  <si>
    <t>تجمع مياه على الطريق</t>
  </si>
  <si>
    <t>تجمع مياه مرتفع</t>
  </si>
  <si>
    <t>متابعة الطريق</t>
  </si>
  <si>
    <t>تجمع مياه/صعوبة المرور</t>
  </si>
  <si>
    <t>تجمع مياه وصعوبة سلوك الطريق</t>
  </si>
  <si>
    <t>كفر نجد</t>
  </si>
  <si>
    <t>C6608</t>
  </si>
  <si>
    <t>مخاطر ميدانية بسبب الأمطار</t>
  </si>
  <si>
    <t>منازل/مواقع متضررة</t>
  </si>
  <si>
    <t>مواقع متضررة أو مهددة</t>
  </si>
  <si>
    <t>جولة تفقدية وتقييم الوضع</t>
  </si>
  <si>
    <t>مخيمات بداما</t>
  </si>
  <si>
    <t>تجمع مياه يحتاج تصريفاً</t>
  </si>
  <si>
    <t>غمر قبو بمياه الأمطار</t>
  </si>
  <si>
    <t>تجمع مياه داخل قبو</t>
  </si>
  <si>
    <t>منطقة سكنية</t>
  </si>
  <si>
    <t>غمر منزل/خطر على السكان</t>
  </si>
  <si>
    <t>حرج</t>
  </si>
  <si>
    <t>دخول مياه الأمطار إلى منزل</t>
  </si>
  <si>
    <t>إخلاء عائلات من منزل متضرر</t>
  </si>
  <si>
    <t>عائلات؛ العدد غير محدد</t>
  </si>
  <si>
    <t>مخيم الكرامة</t>
  </si>
  <si>
    <t>غمر/تجمع مياه في مخيم</t>
  </si>
  <si>
    <t>تجمع مياه بالمخيمات</t>
  </si>
  <si>
    <t>مخيم القصر</t>
  </si>
  <si>
    <t>مخيم حي الجامعة</t>
  </si>
  <si>
    <t>مخيمات البشير</t>
  </si>
  <si>
    <t>مخيم خطاب</t>
  </si>
  <si>
    <t>مخيم الشهداء</t>
  </si>
  <si>
    <t>عين السودة</t>
  </si>
  <si>
    <t>مركبة عالقة</t>
  </si>
  <si>
    <t>سيارة عالقة بسبب الوحل/المياه</t>
  </si>
  <si>
    <t>كفر عويد</t>
  </si>
  <si>
    <t>C4062</t>
  </si>
  <si>
    <t>بسنقول</t>
  </si>
  <si>
    <t>C4322</t>
  </si>
  <si>
    <t>تجمع مياه في المدرسة</t>
  </si>
  <si>
    <t>حادث سير مرتبط بالأمطار</t>
  </si>
  <si>
    <t>حادث سير؛ التفاصيل العددية غير محددة</t>
  </si>
  <si>
    <t>الاستجابة لحادث سير</t>
  </si>
  <si>
    <t>بنش</t>
  </si>
  <si>
    <t>C3904</t>
  </si>
  <si>
    <t>سقوط أعمدة كهرباء/قطع الطريق</t>
  </si>
  <si>
    <t>أعمدة كهرباء سقطت وقطعت الطريق</t>
  </si>
  <si>
    <t>إزالة الأعمدة وفتح الطريق</t>
  </si>
  <si>
    <t>إصابة جراء حادث سير</t>
  </si>
  <si>
    <t>مصاب جراء حادث سير</t>
  </si>
  <si>
    <t>إسعاف المصاب</t>
  </si>
  <si>
    <t>1 مصاب</t>
  </si>
  <si>
    <t>خطر دخول مياه إلى الأقبية</t>
  </si>
  <si>
    <t>أقبية/مساكن</t>
  </si>
  <si>
    <t>خطر دخول مياه الأمطار</t>
  </si>
  <si>
    <t>رفع سواتر ترابية</t>
  </si>
  <si>
    <t>منشأة أمنية</t>
  </si>
  <si>
    <t>طريق/منطقة</t>
  </si>
  <si>
    <t>احتمال تجمعات ومخاطر</t>
  </si>
  <si>
    <t>منطقة الشاليهات</t>
  </si>
  <si>
    <t>مدينة اللاذقية</t>
  </si>
  <si>
    <t>الشاطئ الأزرق</t>
  </si>
  <si>
    <t>غمر مبنى حكومي</t>
  </si>
  <si>
    <t>مبنى حكومي</t>
  </si>
  <si>
    <t>تجمع مياه داخل المبنى</t>
  </si>
  <si>
    <t>08/02/2026</t>
  </si>
  <si>
    <t>عين عيسى</t>
  </si>
  <si>
    <t>عاصفة مطرية/سيول وفيضانات</t>
  </si>
  <si>
    <t>سيول جارفة/احتجاز أشخاص</t>
  </si>
  <si>
    <t>منطقة سكنية/أشجار</t>
  </si>
  <si>
    <t>4 أشخاص مفقودين؛ إنقاذ طفل وشاب ووفاة طفلين</t>
  </si>
  <si>
    <t>إنقاذ العالقين من السيول</t>
  </si>
  <si>
    <t>4 مفقودين؛ 2 ناجين؛ 2 وفيات</t>
  </si>
  <si>
    <t>C5905</t>
  </si>
  <si>
    <t>الدرة</t>
  </si>
  <si>
    <t>حادث مركبة إسعاف بسبب السيول</t>
  </si>
  <si>
    <t>مركبة إسعاف/منحدر</t>
  </si>
  <si>
    <t>انحراف سيارة إسعاف وسقوطها إلى منحدر؛ وفاة مسعفة</t>
  </si>
  <si>
    <t>إنقاذ 5 مسعفين وعنصر أمن مرافق</t>
  </si>
  <si>
    <t>6 أشخاص بالفريق؛ وفاة مسعفة</t>
  </si>
  <si>
    <t>الشيخ حسن</t>
  </si>
  <si>
    <t>غمر منازل بالسيول</t>
  </si>
  <si>
    <t>30 منزلاً متضرراً/غارقاً</t>
  </si>
  <si>
    <t>استجابة وتصريف مياه</t>
  </si>
  <si>
    <t>30 منزلاً</t>
  </si>
  <si>
    <t>C6765</t>
  </si>
  <si>
    <t>محافظة إدلب</t>
  </si>
  <si>
    <t>غرق/غمر منازل</t>
  </si>
  <si>
    <t>47 منزلاً غارقاً</t>
  </si>
  <si>
    <t>تصريف مياه وإنقاذ</t>
  </si>
  <si>
    <t>47 منزلاً</t>
  </si>
  <si>
    <t>مخيمات متضررة</t>
  </si>
  <si>
    <t>غمر كرفانات وخيام</t>
  </si>
  <si>
    <t>كرفانات/خيام</t>
  </si>
  <si>
    <t>أكثر من 49 كرفاناً و235 خيمة متضررة</t>
  </si>
  <si>
    <t>تصريف المياه وإخلاء المدنيين</t>
  </si>
  <si>
    <t>أكثر من 49 كرفاناً و235 خيمة</t>
  </si>
  <si>
    <t>مخيمات خربة الجوز</t>
  </si>
  <si>
    <t>غمر مخيمات/فيضانات</t>
  </si>
  <si>
    <t>22 مخيماً متضرراً</t>
  </si>
  <si>
    <t>إخلاء وتصريف مياه وتأمين الوصول</t>
  </si>
  <si>
    <t>22 مخيماً</t>
  </si>
  <si>
    <t>إخلاء عائلات بسبب الفيضان</t>
  </si>
  <si>
    <t>مراكز سكنية/مخيمات</t>
  </si>
  <si>
    <t>تهديد مباشر للمدنيين</t>
  </si>
  <si>
    <t>إخلاء أكثر من 50 عائلة</t>
  </si>
  <si>
    <t>أكثر من 50 عائلة</t>
  </si>
  <si>
    <t>إيواء عائلات متضررة</t>
  </si>
  <si>
    <t>مراكز إيواء</t>
  </si>
  <si>
    <t>تضرر أماكن سكن العائلات</t>
  </si>
  <si>
    <t>إنشاء 7 مراكز إيواء في مدارس</t>
  </si>
  <si>
    <t>أكثر من 560 عائلة ضرر كلي؛ أكثر من 1300 جزئي</t>
  </si>
  <si>
    <t>إيواء متضررين</t>
  </si>
  <si>
    <t>مدرسة/مركز إيواء</t>
  </si>
  <si>
    <t>استخدام المدرسة كمركز إيواء</t>
  </si>
  <si>
    <t>تخصيص المدرسة لاستقبال العائلات</t>
  </si>
  <si>
    <t>احتياج إغاثي للعائلات المتضررة</t>
  </si>
  <si>
    <t>مركز إيواء</t>
  </si>
  <si>
    <t>تضرر العائلات بسبب السيول</t>
  </si>
  <si>
    <t>توزيع احتياجات إغاثية طارئة</t>
  </si>
  <si>
    <t>80 عائلة</t>
  </si>
  <si>
    <t>5 عائلات</t>
  </si>
  <si>
    <t>خربة الجوز/ريف جسر الشغور</t>
  </si>
  <si>
    <t>الفاتحة</t>
  </si>
  <si>
    <t>غمر/تضرر مخيم</t>
  </si>
  <si>
    <t>ضمن 22 مخيماً الأكثر ضرراً</t>
  </si>
  <si>
    <t>تصريف مياه وإخلاء وتأمين الوصول</t>
  </si>
  <si>
    <t>ضمن 22 مخيماً</t>
  </si>
  <si>
    <t>قاطع النهر</t>
  </si>
  <si>
    <t>شهداء سوريا 2</t>
  </si>
  <si>
    <t>أبو بديع</t>
  </si>
  <si>
    <t>شهداء سوريا 1</t>
  </si>
  <si>
    <t>مخيم المغاربي - قاطع النهر</t>
  </si>
  <si>
    <t>أنين الساحل</t>
  </si>
  <si>
    <t>التعاون</t>
  </si>
  <si>
    <t>أهل القرآن</t>
  </si>
  <si>
    <t>عائدون</t>
  </si>
  <si>
    <t>شام</t>
  </si>
  <si>
    <t>برج الديموس</t>
  </si>
  <si>
    <t>عطاء الخير</t>
  </si>
  <si>
    <t>سلمى 2</t>
  </si>
  <si>
    <t>عشوائيات عين البيضا</t>
  </si>
  <si>
    <t>الجبل</t>
  </si>
  <si>
    <t>الإتقان</t>
  </si>
  <si>
    <t>الإيمان</t>
  </si>
  <si>
    <t>عمر الفاروق</t>
  </si>
  <si>
    <t>صلاح الدين</t>
  </si>
  <si>
    <t>تجمع/تصريف سيول</t>
  </si>
  <si>
    <t>تجمع مياه وسيول</t>
  </si>
  <si>
    <t>فتح ممر مائي</t>
  </si>
  <si>
    <t>منطقة/طرق</t>
  </si>
  <si>
    <t>سراقب</t>
  </si>
  <si>
    <t>C3921</t>
  </si>
  <si>
    <t>طريق/دوار</t>
  </si>
  <si>
    <t>غمر مخيم/تجمع مياه</t>
  </si>
  <si>
    <t>مياه أمطار متجمعة في المخيم</t>
  </si>
  <si>
    <t>سلمى 1</t>
  </si>
  <si>
    <t>مناطق متعددة</t>
  </si>
  <si>
    <t>انقطاع طرق بسبب الفيضانات</t>
  </si>
  <si>
    <t>إغلاق طرق بسبب ارتفاع منسوب المياه</t>
  </si>
  <si>
    <t>فتح أكثر من 28 طريقاً</t>
  </si>
  <si>
    <t>أكثر من 28 طريقاً</t>
  </si>
  <si>
    <t>تهديد فيضان لمنشأة صحية</t>
  </si>
  <si>
    <t>مشفى</t>
  </si>
  <si>
    <t>تهديد الفيضان للمشفى وحواضن الأطفال</t>
  </si>
  <si>
    <t>إخلاء الحواضن ونقل حالات إسعافية وتصريف المياه</t>
  </si>
  <si>
    <t>إخلاء مرضى احترازياً</t>
  </si>
  <si>
    <t>خطر الفيضانات على المرضى</t>
  </si>
  <si>
    <t>نقل حالات إسعافية من المشفى إلى المنازل</t>
  </si>
  <si>
    <t>إخلاء مدنيين من مناطق الفيضانات</t>
  </si>
  <si>
    <t>مراكز سكنية</t>
  </si>
  <si>
    <t>مناطق مهددة بالغرق</t>
  </si>
  <si>
    <t>إخلاء المدنيين إلى مراكز الإيواء</t>
  </si>
  <si>
    <t>27 عائلة</t>
  </si>
  <si>
    <t>البد روسية</t>
  </si>
  <si>
    <t>سيول/إخلاء عائلات</t>
  </si>
  <si>
    <t>منازل/منطقة سكنية</t>
  </si>
  <si>
    <t>سيول كبيرة تهدد السكان</t>
  </si>
  <si>
    <t>إخلاء عائلات إلى مواقع آمنة</t>
  </si>
  <si>
    <t>ضمن 22 عائلة المخلّاة</t>
  </si>
  <si>
    <t>ارتفاع منسوب المياه/إخلاء</t>
  </si>
  <si>
    <t>30 منزلاً متضرراً</t>
  </si>
  <si>
    <t>إخلاء قرابة 22 عائلة</t>
  </si>
  <si>
    <t>22 عائلة؛ 30 منزلاً</t>
  </si>
  <si>
    <t>غرق/احتجاز بسبب السيول</t>
  </si>
  <si>
    <t>أشجار/منطقة مفتوحة</t>
  </si>
  <si>
    <t>شخصان عالقان على الأشجار ووفاتان غرقاً</t>
  </si>
  <si>
    <t>إنقاذ شخصين وانتشال جثمانين</t>
  </si>
  <si>
    <t>4 أشخاص؛ 2 وفيات</t>
  </si>
  <si>
    <t>حادث سير لمركبة إسعاف</t>
  </si>
  <si>
    <t>مركبة إسعاف</t>
  </si>
  <si>
    <t>وفاة مسعفة وإصابة/احتجاز أفراد الفريق</t>
  </si>
  <si>
    <t>إنقاذ 5 مسعفين وعنصر شرطة</t>
  </si>
  <si>
    <t>6 أشخاص؛ وفاة مسعفة</t>
  </si>
  <si>
    <t>احتجاز مدنيين بسبب السيول</t>
  </si>
  <si>
    <t>منطقة جبلية</t>
  </si>
  <si>
    <t>مدنيون عالقون بسبب السيول</t>
  </si>
  <si>
    <t>إنقاذ العالقين وتأمين سلامتهم</t>
  </si>
  <si>
    <t>ريف اللاذقية الشمالي</t>
  </si>
  <si>
    <t>خطر فيضان/إيواء احترازي</t>
  </si>
  <si>
    <t>تخصيص مدرسة كمركز إيواء دون وصول عائلات حتى اللحظة</t>
  </si>
  <si>
    <t>تخصيص المدرسة كمركز إيواء</t>
  </si>
  <si>
    <t>0 عائلة حتى وقت التقرير</t>
  </si>
  <si>
    <t>كنسبا</t>
  </si>
  <si>
    <t>C3750</t>
  </si>
  <si>
    <t>مرج الزاوية</t>
  </si>
  <si>
    <t>C3749</t>
  </si>
  <si>
    <t>مؤازرة وإنقاذ وإخلاء</t>
  </si>
  <si>
    <t>مخيمات/طرق</t>
  </si>
  <si>
    <t>تضرر المخيمات وإغلاق الطرق</t>
  </si>
  <si>
    <t>إرسال فرق مؤازرة وإخلاء المدنيين وفتح الطرق</t>
  </si>
  <si>
    <t>10-13/02/2026</t>
  </si>
  <si>
    <t>عاصفة مطرية/سيول</t>
  </si>
  <si>
    <t>تضرر الطرق بالسيول</t>
  </si>
  <si>
    <t>تجمع مياه وسيول وانقطاع طرق</t>
  </si>
  <si>
    <t>ضمن 36 طريقاً على مستوى الاستجابة العامة</t>
  </si>
  <si>
    <t>سيول/ارتفاع منسوب المياه</t>
  </si>
  <si>
    <t>مخيمات/مناطق سكنية</t>
  </si>
  <si>
    <t>تهديد بالغرق</t>
  </si>
  <si>
    <t>فتح طرق وممرات مائية ورفع سواتر وإخلاء</t>
  </si>
  <si>
    <t>سهل الروج</t>
  </si>
  <si>
    <t>تضرر الطرق والمخيمات</t>
  </si>
  <si>
    <t>طرق/مخيمات</t>
  </si>
  <si>
    <t>فتح الطرق المؤدية للمخيمات</t>
  </si>
  <si>
    <t>خطر تجمع المياه</t>
  </si>
  <si>
    <t>فتح الطرق والممرات</t>
  </si>
  <si>
    <t>غمر المخيمات</t>
  </si>
  <si>
    <t>تضرر مخيمات بسبب السيول وفيضان النهر</t>
  </si>
  <si>
    <t>فتح الممرات ورفع السواتر والإخلاء</t>
  </si>
  <si>
    <t>خطر الغرق</t>
  </si>
  <si>
    <t>فتح الممرات وإخلاء العائلات</t>
  </si>
  <si>
    <t>سيول/تجمع مياه</t>
  </si>
  <si>
    <t>طرق/ممرات</t>
  </si>
  <si>
    <t>فتح الممرات المائية</t>
  </si>
  <si>
    <t>تضرر طريق</t>
  </si>
  <si>
    <t>تضرر الطريق</t>
  </si>
  <si>
    <t>إعادة فتح وتهيئة الطريق</t>
  </si>
  <si>
    <t>مخيمات حارم</t>
  </si>
  <si>
    <t>خطر السيول/إخلاء وقائي</t>
  </si>
  <si>
    <t>مخيمات مهددة بالسيول</t>
  </si>
  <si>
    <t>إخلاء 5 عوائل</t>
  </si>
  <si>
    <t>5 عوائل</t>
  </si>
  <si>
    <t>سقوط جدار</t>
  </si>
  <si>
    <t>سقوط جدار بسبب الأمطار</t>
  </si>
  <si>
    <t>تأمين الموقع وإزالة الخطر</t>
  </si>
  <si>
    <t>سقوط منزل بسبب الحالة الجوية</t>
  </si>
  <si>
    <t>مخيم الفردان</t>
  </si>
  <si>
    <t>تضرر مخيم/تجمع مياه</t>
  </si>
  <si>
    <t>مخيمات متضررة من الأمطار والسيول</t>
  </si>
  <si>
    <t>فتح الطرق والممرات وتأمين الإخلاء عند الحاجة</t>
  </si>
  <si>
    <t>مخيم المغسلة</t>
  </si>
  <si>
    <t>رام حمدان</t>
  </si>
  <si>
    <t>C3941</t>
  </si>
  <si>
    <t>مخيم وادي عباس</t>
  </si>
  <si>
    <t>مخيم الفرن</t>
  </si>
  <si>
    <t>مخيمات الجزيرة</t>
  </si>
  <si>
    <t>مخيم تبارك الرحمن</t>
  </si>
  <si>
    <t>مخيمات الكرامة</t>
  </si>
  <si>
    <t>مخيم عطاء</t>
  </si>
  <si>
    <t>مخيم الدرية</t>
  </si>
  <si>
    <t>مخيم معرة مصرين</t>
  </si>
  <si>
    <t>مخيم الأنصار</t>
  </si>
  <si>
    <t>مخيمات الجسر</t>
  </si>
  <si>
    <t>فتح طرق</t>
  </si>
  <si>
    <t>تأثر الطرق بالمياه والترسبات</t>
  </si>
  <si>
    <t>فتح 15 طريقاً</t>
  </si>
  <si>
    <t>15 طريقاً</t>
  </si>
  <si>
    <t>فتح 25 ممراً مائياً</t>
  </si>
  <si>
    <t>25 ممراً</t>
  </si>
  <si>
    <t>مخيمات مهددة</t>
  </si>
  <si>
    <t>إخلاء عائلات</t>
  </si>
  <si>
    <t>تهديد مباشر بالغرق</t>
  </si>
  <si>
    <t>إخلاء ونقل إلى مراكز الإيواء</t>
  </si>
  <si>
    <t>173 عائلة</t>
  </si>
  <si>
    <t>ساحة/منشأة</t>
  </si>
  <si>
    <t>تجمع كميات كبيرة من مياه الأمطار وتهديد المهاجع</t>
  </si>
  <si>
    <t>شفط وتصريف المياه</t>
  </si>
  <si>
    <t>اللاذقية وريفها</t>
  </si>
  <si>
    <t>مخاطر أمطار/سيول</t>
  </si>
  <si>
    <t>طرق ومخيمات</t>
  </si>
  <si>
    <t>مخاطر محتملة بسبب الهطولات</t>
  </si>
  <si>
    <t>الحمراء</t>
  </si>
  <si>
    <t>تجمع مياه/تضرر طريق</t>
  </si>
  <si>
    <t>فتح وتصريف المياه</t>
  </si>
  <si>
    <t>C7878</t>
  </si>
  <si>
    <t>مركبة/مدني عالق</t>
  </si>
  <si>
    <t>مدني عالق داخل سيارته بسبب تجمع المياه</t>
  </si>
  <si>
    <t>إخراج المركبة وتأمين المدني وإعادة فتح الطريق</t>
  </si>
  <si>
    <t>1 شخص</t>
  </si>
  <si>
    <t>مدينة حماه</t>
  </si>
  <si>
    <t>حي/ممرات</t>
  </si>
  <si>
    <t>فتح ممرات مائية وشفط مياه من قبو</t>
  </si>
  <si>
    <t>مناطق عمل</t>
  </si>
  <si>
    <t>تجمع مياه وترسبات طينية</t>
  </si>
  <si>
    <t>استجابة ميدانية</t>
  </si>
  <si>
    <t>اعزاز</t>
  </si>
  <si>
    <t>وفاة بسبب سيول جارفة</t>
  </si>
  <si>
    <t>منطقة سكنية/مائية</t>
  </si>
  <si>
    <t>وفاة شاب نتيجة السيول الجارفة</t>
  </si>
  <si>
    <t>استجابة وانتشال حسب الموقع</t>
  </si>
  <si>
    <t>1 وفاة</t>
  </si>
  <si>
    <t>طريق الباب</t>
  </si>
  <si>
    <t>انهيار جزء من بناء</t>
  </si>
  <si>
    <t>بناء/طريق</t>
  </si>
  <si>
    <t>تهدم/انهيار الجزء الخلفي من بناء</t>
  </si>
  <si>
    <t>فتح الطريق وإعادة تأمين المرور</t>
  </si>
  <si>
    <t>بناء متهدم</t>
  </si>
  <si>
    <t>تهدم بناء وإخلاء</t>
  </si>
  <si>
    <t>بناء</t>
  </si>
  <si>
    <t>تهدم بناء دون إصابات</t>
  </si>
  <si>
    <t>إخلاء 10 عوائل</t>
  </si>
  <si>
    <t>10 عوائل؛ لا إصابات</t>
  </si>
  <si>
    <t>تضرر طرق</t>
  </si>
  <si>
    <t>فتح 4 طرق رئيسية</t>
  </si>
  <si>
    <t>4 طرق</t>
  </si>
  <si>
    <t>طرق فرعية</t>
  </si>
  <si>
    <t>تراكم ترسبات</t>
  </si>
  <si>
    <t>ترسبات ناجمة عن مياه الأمطار</t>
  </si>
  <si>
    <t>فتح 6 طرق فرعية</t>
  </si>
  <si>
    <t>6 طرق</t>
  </si>
  <si>
    <t>الجينة</t>
  </si>
  <si>
    <t>قرية الجينة</t>
  </si>
  <si>
    <t>فتح 15 ممراً مائياً</t>
  </si>
  <si>
    <t>15 ممراً</t>
  </si>
  <si>
    <t>سيارة عالقة بسبب تجمع مياه الأمطار</t>
  </si>
  <si>
    <t>دابق</t>
  </si>
  <si>
    <t>مجرى نهر دابق</t>
  </si>
  <si>
    <t>ارتفاع منسوب نهر/غمر أراضٍ زراعية</t>
  </si>
  <si>
    <t>نهر/أراضٍ زراعية</t>
  </si>
  <si>
    <t>غمر الأراضي الزراعية بسبب ارتفاع منسوب المياه وضيق عبارة التصريف</t>
  </si>
  <si>
    <t>توسيع مجرى نهر دابق</t>
  </si>
  <si>
    <t>أراضٍ زراعية متضررة؛ المساحة غير محددة</t>
  </si>
  <si>
    <t>منزل مغمور</t>
  </si>
  <si>
    <t>غمر منزل بمياه الأمطار</t>
  </si>
  <si>
    <t>منزل مغمور بالمياه</t>
  </si>
  <si>
    <t>1 منزل</t>
  </si>
  <si>
    <t>موقع انهيار جدار</t>
  </si>
  <si>
    <t>سقوط جدار/عوائق</t>
  </si>
  <si>
    <t>مخلفات سقوط جدار بسبب الأمطار</t>
  </si>
  <si>
    <t>إزالة المخلفات</t>
  </si>
  <si>
    <t>مسكة</t>
  </si>
  <si>
    <t>قرية مسكة بريف عفرين</t>
  </si>
  <si>
    <t>غرق/وفاة</t>
  </si>
  <si>
    <t>منطقة مائية</t>
  </si>
  <si>
    <t>حالة غرق ووفاة</t>
  </si>
  <si>
    <t>انتشال الجثمان بواسطة فريق الغطس</t>
  </si>
  <si>
    <t>حي المحافظة</t>
  </si>
  <si>
    <t>N0151</t>
  </si>
  <si>
    <t>مدرسة بانياس</t>
  </si>
  <si>
    <t>غرق/تجمع مياه</t>
  </si>
  <si>
    <t>تجمع مياه داخل حرم المدرسة</t>
  </si>
  <si>
    <t>شفط المياه وفتح ممرات مائية وإعداد التقرير</t>
  </si>
  <si>
    <t>14/02/2026</t>
  </si>
  <si>
    <t>منخفض جوي</t>
  </si>
  <si>
    <t>سيول/إخلاء وقائي</t>
  </si>
  <si>
    <t>مخيمات مهددة بسبب السيول</t>
  </si>
  <si>
    <t>منزل متهدم</t>
  </si>
  <si>
    <t>تهدم منزل/بناء وإخلاء</t>
  </si>
  <si>
    <t>منزل/بناء متهدم</t>
  </si>
  <si>
    <t>10 عوائل</t>
  </si>
  <si>
    <t>تجمع مياه وترسبات</t>
  </si>
  <si>
    <t>فتح 35 طريقاً على مستوى الاستجابة</t>
  </si>
  <si>
    <t>35 طريقاً</t>
  </si>
  <si>
    <t>فتح 63 ممراً مائياً على مستوى الاستجابة</t>
  </si>
  <si>
    <t>63 ممراً</t>
  </si>
  <si>
    <t>منازل متضررة</t>
  </si>
  <si>
    <t>مياه أمطار داخل المنازل</t>
  </si>
  <si>
    <t>شفط المياه من 5 منازل على مستوى الاستجابة</t>
  </si>
  <si>
    <t>5 منازل</t>
  </si>
  <si>
    <t>تهدم منازل</t>
  </si>
  <si>
    <t>تهدم 3 منازل</t>
  </si>
  <si>
    <t>استجابة وتأمين المواقع</t>
  </si>
  <si>
    <t>3 منازل</t>
  </si>
  <si>
    <t>مركبة</t>
  </si>
  <si>
    <t>مركبة عالقة بسبب المياه</t>
  </si>
  <si>
    <t>سيارة داخل المدينة</t>
  </si>
  <si>
    <t>سقوط شجرة على سيارة</t>
  </si>
  <si>
    <t>شجرة سقطت على سيارة</t>
  </si>
  <si>
    <t>معالجة الحادث وإزالة الخطر</t>
  </si>
  <si>
    <t>1 سيارة</t>
  </si>
  <si>
    <t>ارتفاع منسوب النهر</t>
  </si>
  <si>
    <t>نهر</t>
  </si>
  <si>
    <t>خطر ارتفاع منسوب المياه</t>
  </si>
  <si>
    <t>توسيع مجرى النهر</t>
  </si>
  <si>
    <t>مواقع حساسة</t>
  </si>
  <si>
    <t>تغيير مجرى السيول</t>
  </si>
  <si>
    <t>مناطق سكنية/مخيمات</t>
  </si>
  <si>
    <t>خطر تجمع السيول</t>
  </si>
  <si>
    <t>رفع وتعديل سواتر ترابية</t>
  </si>
  <si>
    <t>طرق متضررة</t>
  </si>
  <si>
    <t>انهيار جدران/عوائق</t>
  </si>
  <si>
    <t>مخلفات انهيارات جدران</t>
  </si>
  <si>
    <t>إزالة المخلفات وفتح الطرق</t>
  </si>
  <si>
    <t>مواقع خطرة</t>
  </si>
  <si>
    <t>خطر على المارة والمركبات</t>
  </si>
  <si>
    <t>مواقع خطرة بسبب الحالة الجوية</t>
  </si>
  <si>
    <t>مخاطر ميدانية بسبب المنخفض</t>
  </si>
  <si>
    <t>مناطق/طرق</t>
  </si>
  <si>
    <t>مخاطر جوية وتجمع مياه</t>
  </si>
  <si>
    <t>جولات ميدانية شاملة</t>
  </si>
  <si>
    <t>موقع سيول</t>
  </si>
  <si>
    <t>انتشال غريق نتيجة السيول</t>
  </si>
  <si>
    <t>انتشال الجثمان</t>
  </si>
  <si>
    <t>فتح 3 طرق رئيسية</t>
  </si>
  <si>
    <t>3 طرق</t>
  </si>
  <si>
    <t>فتح 5 ممرات مائية</t>
  </si>
  <si>
    <t>5 ممرات</t>
  </si>
  <si>
    <t>طريق/سيارة</t>
  </si>
  <si>
    <t>أضرار مادية بالمركبة</t>
  </si>
  <si>
    <t>غرق منزلين</t>
  </si>
  <si>
    <t>منزلان</t>
  </si>
  <si>
    <t>غرق منزلين بمياه الأمطار</t>
  </si>
  <si>
    <t>اللاذقية وجبلة</t>
  </si>
  <si>
    <t>تجمع مياه بسبب غزارة الأمطار</t>
  </si>
  <si>
    <t>فتح 8 ممرات مائية وشفط المياه</t>
  </si>
  <si>
    <t>استجابة واسعة للمنخفض</t>
  </si>
  <si>
    <t>مناطق متضررة</t>
  </si>
  <si>
    <t>سيول وتجمعات مياه داخل المنازل والمخيمات وعلى الطرقات</t>
  </si>
  <si>
    <t>مشاركة أكثر من 38 عنصر عمليات و16 آلية</t>
  </si>
  <si>
    <t>أكثر من 38 عنصر؛ 16 آلية</t>
  </si>
  <si>
    <t>محافظة حماه</t>
  </si>
  <si>
    <t>استجابة للمنخفض</t>
  </si>
  <si>
    <t>طرق وممرات مائية</t>
  </si>
  <si>
    <t>تجمعات مائية وتأثر البنية الطرقية</t>
  </si>
  <si>
    <t>12 عنصر عمليات؛ آليات ثقيلة وخفيفة</t>
  </si>
  <si>
    <t>12 عنصر</t>
  </si>
  <si>
    <t>محافظة طرطوس</t>
  </si>
  <si>
    <t>مواقع متضررة</t>
  </si>
  <si>
    <t>تجمعات مياه</t>
  </si>
  <si>
    <t>مشاركة 8 عناصر ضمن الإجمالي</t>
  </si>
  <si>
    <t>8 عناصر</t>
  </si>
  <si>
    <t>هطولات غزيرة</t>
  </si>
  <si>
    <t>29 عنصر عمليات ضمن الإجمالي</t>
  </si>
  <si>
    <t>29 عنصر</t>
  </si>
  <si>
    <t>محافظة حلب</t>
  </si>
  <si>
    <t>27 عنصر عمليات ضمن الإجمالي</t>
  </si>
  <si>
    <t>27 عنصر</t>
  </si>
  <si>
    <t>نطاق الاستجابة</t>
  </si>
  <si>
    <t>استجابة عامة للمنخفض</t>
  </si>
  <si>
    <t>سيول وتجمعات مياه وانهيارات</t>
  </si>
  <si>
    <t>إجمالي 117 عنصر عمليات و53 آلية</t>
  </si>
  <si>
    <t>117 عنصر؛ 53 آلية</t>
  </si>
  <si>
    <t>تعبئة آليات</t>
  </si>
  <si>
    <t>الحاجة لآليات إنقاذ وشفط وأعمال ثقيلة</t>
  </si>
  <si>
    <t>استخدام 17 فان، 12 نغل، 11 بيك آب إنقاذ، 8 بوكات، 5 تركس</t>
  </si>
  <si>
    <t>53 آلية</t>
  </si>
  <si>
    <t>19/3/2026 - 27/3/2026</t>
  </si>
  <si>
    <t>أعزاز</t>
  </si>
  <si>
    <t>صوران</t>
  </si>
  <si>
    <t>المقبرة</t>
  </si>
  <si>
    <t>معالجة التجمع</t>
  </si>
  <si>
    <t>غير مذكور</t>
  </si>
  <si>
    <t>C1667</t>
  </si>
  <si>
    <t>كفر نوران</t>
  </si>
  <si>
    <t>غمر منزل</t>
  </si>
  <si>
    <t>منزل غارق</t>
  </si>
  <si>
    <t>C1041</t>
  </si>
  <si>
    <t>أبين</t>
  </si>
  <si>
    <t>غمر منزل/مسجد</t>
  </si>
  <si>
    <t>منزل ومسجد</t>
  </si>
  <si>
    <t>منزل غارق ومسجد امتلأ بالمياه</t>
  </si>
  <si>
    <t>السيحة</t>
  </si>
  <si>
    <t>فيضان/تجمع مياه</t>
  </si>
  <si>
    <t>تجمع مياه السيحة</t>
  </si>
  <si>
    <t>خطر انتشار الفيضان</t>
  </si>
  <si>
    <t>تقييم الأضرار وإنشاء ساتر ومتابعة الوضع</t>
  </si>
  <si>
    <t>طريق الجزيرة</t>
  </si>
  <si>
    <t>عائلة عالقة/غمر منزل</t>
  </si>
  <si>
    <t>عائلة عالقة ومنزل مهدد بالمياه</t>
  </si>
  <si>
    <t>إنقاذ وإخلاء العائلة</t>
  </si>
  <si>
    <t>الحمدانية</t>
  </si>
  <si>
    <t>مسجد الشاطبي</t>
  </si>
  <si>
    <t>طريق/مسجد</t>
  </si>
  <si>
    <t>شجرة سقطت وأغلقت الطريق</t>
  </si>
  <si>
    <t>انهيار عبارات</t>
  </si>
  <si>
    <t>عبارات مياه</t>
  </si>
  <si>
    <t>انهيارات جزئية</t>
  </si>
  <si>
    <t>معالجة الانهيار وفتح مجرى جانب الجسر</t>
  </si>
  <si>
    <t>معبر الحمام</t>
  </si>
  <si>
    <t>انهيار حائط</t>
  </si>
  <si>
    <t>انهيار حائط على الطريق</t>
  </si>
  <si>
    <t>معالجة الانهيار</t>
  </si>
  <si>
    <t>جسر الشهباء</t>
  </si>
  <si>
    <t>خطر على جسر</t>
  </si>
  <si>
    <t>جسر</t>
  </si>
  <si>
    <t>مخاطر محتملة على الجسر</t>
  </si>
  <si>
    <t>تدعيم الجسر وتقييم المخاطر</t>
  </si>
  <si>
    <t>مخيم الزيتونة</t>
  </si>
  <si>
    <t>المخيم</t>
  </si>
  <si>
    <t>جريان المياه باتجاه المخيم</t>
  </si>
  <si>
    <t>رفع ساتر وتنظيم تدفقات المياه</t>
  </si>
  <si>
    <t>مخيم الكمونة</t>
  </si>
  <si>
    <t>غمر خيمة</t>
  </si>
  <si>
    <t>خيمة</t>
  </si>
  <si>
    <t>تجمع مياه داخل خيمة</t>
  </si>
  <si>
    <t>مخيم الأمل</t>
  </si>
  <si>
    <t>تجمعات مياه وفيضان</t>
  </si>
  <si>
    <t>فتح مجاري مائية ومتابعة الفيضان</t>
  </si>
  <si>
    <t>عدة مناطق</t>
  </si>
  <si>
    <t>عدة مواقع</t>
  </si>
  <si>
    <t>فتح ممرات وتصريف سيول</t>
  </si>
  <si>
    <t>منازل ومخيمات وطرق</t>
  </si>
  <si>
    <t>تجمعات مائية وسيول</t>
  </si>
  <si>
    <t>فتح ممرات ومجاري تصريف</t>
  </si>
  <si>
    <t>غمر منازل وأقبية</t>
  </si>
  <si>
    <t>غمر بالمياه</t>
  </si>
  <si>
    <t>طرق حيوية</t>
  </si>
  <si>
    <t>أتربة وركام</t>
  </si>
  <si>
    <t>أتربة وركام تعيق الحركة</t>
  </si>
  <si>
    <t>إزالة الأتربة والركام</t>
  </si>
  <si>
    <t>جدار سقط على الطريق</t>
  </si>
  <si>
    <t>إزالة الجدار وفتح الطريق</t>
  </si>
  <si>
    <t>شجرة سقطت على الطريق</t>
  </si>
  <si>
    <t>جسر البرجان</t>
  </si>
  <si>
    <t>الجسر</t>
  </si>
  <si>
    <t>حادث سير دون إصابات</t>
  </si>
  <si>
    <t>إسعاف وتأمين الموقع</t>
  </si>
  <si>
    <t>0 إصابة</t>
  </si>
  <si>
    <t>C4837</t>
  </si>
  <si>
    <t>الشير خطاب</t>
  </si>
  <si>
    <t>الطريق</t>
  </si>
  <si>
    <t>انحراف مركبة</t>
  </si>
  <si>
    <t>سيارة خرجت عن مسارها</t>
  </si>
  <si>
    <t>حي مشاع الأربعين</t>
  </si>
  <si>
    <t>قبو مغمور بالمياه</t>
  </si>
  <si>
    <t>انهيار جرف صخري</t>
  </si>
  <si>
    <t>تهدم منزل دون أضرار بشرية</t>
  </si>
  <si>
    <t>معالجة الانهيار ومتابعة السلامة</t>
  </si>
  <si>
    <t>مورك</t>
  </si>
  <si>
    <t>فيضان وغمر منازل</t>
  </si>
  <si>
    <t>طريق ومنازل</t>
  </si>
  <si>
    <t>دخول المياه إلى المنازل</t>
  </si>
  <si>
    <t>تصريف المياه وفتح الطرق</t>
  </si>
  <si>
    <t>حي المحطة</t>
  </si>
  <si>
    <t>سقوط شجرة وقطع الطريق</t>
  </si>
  <si>
    <t>حمص-دمشق</t>
  </si>
  <si>
    <t>الأوتستراد</t>
  </si>
  <si>
    <t>عاصفة مطرية مع برد</t>
  </si>
  <si>
    <t>حادث سير متسلسل</t>
  </si>
  <si>
    <t>أوتستراد</t>
  </si>
  <si>
    <t>حادث سير متسلسل وإصابات</t>
  </si>
  <si>
    <t>إسعاف وإنقاذ وتأمين الموقع</t>
  </si>
  <si>
    <t>القريتين</t>
  </si>
  <si>
    <t>وادي درب الحصاص</t>
  </si>
  <si>
    <t>فيضان/إخلاء</t>
  </si>
  <si>
    <t>فيضان هدد 5 منازل</t>
  </si>
  <si>
    <t>فتح ممرات مائية وإخلاء</t>
  </si>
  <si>
    <t>نحو 30 شخصاً</t>
  </si>
  <si>
    <t>القريتين/تلدو/تدمر</t>
  </si>
  <si>
    <t>غمر وأضرار مادية</t>
  </si>
  <si>
    <t>الجنوبية</t>
  </si>
  <si>
    <t>القنيطرة</t>
  </si>
  <si>
    <t>تجمع مياه داخل مبنى</t>
  </si>
  <si>
    <t>مبنى</t>
  </si>
  <si>
    <t>درعا</t>
  </si>
  <si>
    <t>عتمان</t>
  </si>
  <si>
    <t>إغلاق طريق بالسيول</t>
  </si>
  <si>
    <t>طريق مغلق</t>
  </si>
  <si>
    <t>جباتا الخشب</t>
  </si>
  <si>
    <t>تضرر الطريق بفعل السيول</t>
  </si>
  <si>
    <t>فتح وإصلاح وتسوية الطريق</t>
  </si>
  <si>
    <t>أوفانيا</t>
  </si>
  <si>
    <t>ممرات مغلقة وتجمع مياه</t>
  </si>
  <si>
    <t>فتح الممرات وتصريف المياه</t>
  </si>
  <si>
    <t>بانياس-طرطوس</t>
  </si>
  <si>
    <t>إصابات ووفيات ضمن الحوادث المسجلة</t>
  </si>
  <si>
    <t>إسعاف وإخلاء وتأمين وفتح الطرق</t>
  </si>
  <si>
    <t>بانياس-اللاذقية</t>
  </si>
  <si>
    <t>انحراف مركبات</t>
  </si>
  <si>
    <t>انحراف بسبب الانزلاق/انجراف التربة</t>
  </si>
  <si>
    <t>إسعاف وتأمين وسحب المركبات</t>
  </si>
  <si>
    <t>طرطوس-اللاذقية</t>
  </si>
  <si>
    <t>انقلاب شاحنة</t>
  </si>
  <si>
    <t>انقلاب شاحنة دون إصابات</t>
  </si>
  <si>
    <t>تأمين وسحب المركبة</t>
  </si>
  <si>
    <t>طرطوس-حمص</t>
  </si>
  <si>
    <t>إصابة السائق</t>
  </si>
  <si>
    <t>سائق مصاب</t>
  </si>
  <si>
    <t>الحسكة</t>
  </si>
  <si>
    <t>تل حميس وريفها</t>
  </si>
  <si>
    <t>منازل وقرى</t>
  </si>
  <si>
    <t>فيضان/غمر منازل</t>
  </si>
  <si>
    <t>أكثر من 1700 منزل متضرر كلياً وجزئياً؛ وورد أيضاً أكثر من 1800 على مستوى المحافظة</t>
  </si>
  <si>
    <t>رفع سواتر وفتح قنوات وشفط وإخلاء</t>
  </si>
  <si>
    <t>1450 عائلة؛ وورد أيضاً أكثر من 1500</t>
  </si>
  <si>
    <t>تل حميس</t>
  </si>
  <si>
    <t>إخلاء بسبب الفيضان</t>
  </si>
  <si>
    <t>منازل ومناطق مهددة</t>
  </si>
  <si>
    <t>مناطق مهددة بالفيضان</t>
  </si>
  <si>
    <t>إخلاء ونقل</t>
  </si>
  <si>
    <t>120 عائلة</t>
  </si>
  <si>
    <t>تل الجاير</t>
  </si>
  <si>
    <t>انهيار جسر</t>
  </si>
  <si>
    <t>انهيار جسر البيروتي</t>
  </si>
  <si>
    <t>تأمين وفتح الطرق</t>
  </si>
  <si>
    <t>تضرر جسور</t>
  </si>
  <si>
    <t>جسور حيوية</t>
  </si>
  <si>
    <t>تضرر أكثر من 10 جسور</t>
  </si>
  <si>
    <t>أراضٍ زراعية</t>
  </si>
  <si>
    <t>غمر/جرف أراضٍ زراعية</t>
  </si>
  <si>
    <t>تضرر أكثر من 150 هكتاراً وجرف محاصيل ونفوق مواشٍ</t>
  </si>
  <si>
    <t>تصريف ورفع سواتر وفتح مجاري</t>
  </si>
  <si>
    <t>تضرر/انقطاع طرق</t>
  </si>
  <si>
    <t>أكثر من 10 طرق رئيسية متضررة واقتراب بعضها من الانقطاع حتى 10 كم</t>
  </si>
  <si>
    <t>فتح وتعزيل الطرق</t>
  </si>
  <si>
    <t>عدة قرى</t>
  </si>
  <si>
    <t>محور النهر</t>
  </si>
  <si>
    <t>خطر فيضان</t>
  </si>
  <si>
    <t>قرى ومنازل</t>
  </si>
  <si>
    <t>ارتفاع خطير في منسوب المياه</t>
  </si>
  <si>
    <t>رفع سواتر أكثر من 8.5 كم و500 متر إضافية</t>
  </si>
  <si>
    <t>البوثة</t>
  </si>
  <si>
    <t>مجرى النهر</t>
  </si>
  <si>
    <t>النهر/القرية</t>
  </si>
  <si>
    <t>خطر وصول المياه للقرية</t>
  </si>
  <si>
    <t>تعزيل وفتح مجرى النهر</t>
  </si>
  <si>
    <t>سيحة المجود</t>
  </si>
  <si>
    <t>عبارات المياه</t>
  </si>
  <si>
    <t>انسداد/تصريف مياه</t>
  </si>
  <si>
    <t>عبارات ومجاري</t>
  </si>
  <si>
    <t>فتح عبارات وإنشاء مجاري تصريف</t>
  </si>
  <si>
    <t>دير الزور</t>
  </si>
  <si>
    <t>البوكمال</t>
  </si>
  <si>
    <t>فيضان نهر</t>
  </si>
  <si>
    <t>مجرى نهر البوكمال</t>
  </si>
  <si>
    <t>ارتفاع منسوب المياه وحدوث فيضان</t>
  </si>
  <si>
    <t>رفع سواتر ومراقبة وتحذير السكان</t>
  </si>
  <si>
    <t>الصالحية</t>
  </si>
  <si>
    <t>تهدم جزئي لجسر</t>
  </si>
  <si>
    <t>تهدم جزئي للجسر</t>
  </si>
  <si>
    <t>إصلاح وتأمين وطرق بديلة</t>
  </si>
  <si>
    <t>تهدم جسر/عزل قرى</t>
  </si>
  <si>
    <t>تهدم الجسر وعزل ثلاث قرى</t>
  </si>
  <si>
    <t>خطر انهيار سد</t>
  </si>
  <si>
    <t>سد</t>
  </si>
  <si>
    <t>خطر انهيار محتمل</t>
  </si>
  <si>
    <t>تفقد ومراقبة المياه</t>
  </si>
  <si>
    <t>06/04/2026</t>
  </si>
  <si>
    <t>الشيخ نجار</t>
  </si>
  <si>
    <t>المدينة الصناعية</t>
  </si>
  <si>
    <t>عاصفة مطرية/طوفان</t>
  </si>
  <si>
    <t>فيضانات وتجمعات مائية</t>
  </si>
  <si>
    <t>منشآت صناعية ومحال</t>
  </si>
  <si>
    <t>غمر عدد من المنشآت الصناعية والمحال وتضرر محتوياتها؛ حالات غرق جزئي لآليات؛ تأثر الطرق والحركة المرورية.</t>
  </si>
  <si>
    <t>فتح نحو 25 ممراً مائياً لتصريف المياه؛ سحب آليات عالقة.</t>
  </si>
  <si>
    <t>تجمعات مائية وعرقلة طرق</t>
  </si>
  <si>
    <t>شبكة الطرق</t>
  </si>
  <si>
    <t>تجمعات مائية كبيرة أعاقت الحركة المرورية وتسببت بتوقف بعض الآليات.</t>
  </si>
  <si>
    <t>فتح ممرات وتصريف المياه وسحب آليات عالقة.</t>
  </si>
  <si>
    <t>دخول مياه إلى منشأة</t>
  </si>
  <si>
    <t>معمل ألبسة</t>
  </si>
  <si>
    <t>دخول المياه إلى داخل المعمل وتضرر الموقع ومحتوياته.</t>
  </si>
  <si>
    <t>سحب وتصريف المياه من داخل المنشأة.</t>
  </si>
  <si>
    <t>الإنذارات</t>
  </si>
  <si>
    <t>البريج/الشيخ نجار</t>
  </si>
  <si>
    <t>مسارات تصريف</t>
  </si>
  <si>
    <t>طريق الإنذارات–البريج–المدينة الصناعية</t>
  </si>
  <si>
    <t>تجمعات وسيول تهدد المناطق الصناعية والطرق.</t>
  </si>
  <si>
    <t>فتح مسارات تصريف ممتدة باتجاه البريج والمدينة الصناعية.</t>
  </si>
  <si>
    <t>الجامل</t>
  </si>
  <si>
    <t>عاصفة رعدية</t>
  </si>
  <si>
    <t>صاعقة رعدية</t>
  </si>
  <si>
    <t>قرية الجامل</t>
  </si>
  <si>
    <t>وفاة شاب عمره 22 عاماً (إبراهيم محمد حمد)؛ نفوق نحو 20 رأساً من الأغنام.</t>
  </si>
  <si>
    <t>التعامل مع الحادثة ونقل الضحية إلى المشفى من قبل المدنيين.</t>
  </si>
  <si>
    <t>1 وفاة + نحو 20 رأس غنم</t>
  </si>
  <si>
    <t>C2224</t>
  </si>
  <si>
    <t>09/04/2026</t>
  </si>
  <si>
    <t>مدينة دارة عزة</t>
  </si>
  <si>
    <t>تجمع مياه/خطر فيضان</t>
  </si>
  <si>
    <t>مدرسة علي بن أبي طالب</t>
  </si>
  <si>
    <t>احتمال تجمع مياه ضمن حرم المدرسة ومحيطها.</t>
  </si>
  <si>
    <t>فتح ممرات مائية لتصريف مياه الأمطار ومنع تجمعها.</t>
  </si>
  <si>
    <t>عندان</t>
  </si>
  <si>
    <t>حريتان</t>
  </si>
  <si>
    <t>طوفان منازل وأقبية</t>
  </si>
  <si>
    <t>طوفان منازل وأقبية بسبب انسداد مجرور رئيسي.</t>
  </si>
  <si>
    <t>معالجة الانسداد والحد من تجمع المياه داخل المنازل والأقبية.</t>
  </si>
  <si>
    <t>C1130</t>
  </si>
  <si>
    <t>مفرق الهراميس</t>
  </si>
  <si>
    <t>حلب لبيه</t>
  </si>
  <si>
    <t>مخيمات حلب لبيه</t>
  </si>
  <si>
    <t>منازل ضمن المخيم</t>
  </si>
  <si>
    <t>تجمع مياه داخل منازل متضررة.</t>
  </si>
  <si>
    <t>شفط وسحب المياه.</t>
  </si>
  <si>
    <t>منازل ومنشآت</t>
  </si>
  <si>
    <t>تجمع مياه في منازل ومنشآت.</t>
  </si>
  <si>
    <t>غمر منشأة</t>
  </si>
  <si>
    <t>ورشة خياطة</t>
  </si>
  <si>
    <t>تجمع مياه داخل ورشة الخياطة.</t>
  </si>
  <si>
    <t>انسداد مجرى مائي</t>
  </si>
  <si>
    <t>ممرات ومجاري مائية</t>
  </si>
  <si>
    <t>تجمع مياه نتيجة الحاجة لتصريفها.</t>
  </si>
  <si>
    <t>فتح وتسليك مجرى مائي.</t>
  </si>
  <si>
    <t>مخيم الساروت</t>
  </si>
  <si>
    <t>تجمع مياه في المخيم.</t>
  </si>
  <si>
    <t>فتح وتسليك ممر مائي.</t>
  </si>
  <si>
    <t>مخيمات مورك</t>
  </si>
  <si>
    <t>تجمع مياه في المخيمات.</t>
  </si>
  <si>
    <t>مخيم البشير</t>
  </si>
  <si>
    <t>خطر إنشائي</t>
  </si>
  <si>
    <t>سقوط جدار خيمة.</t>
  </si>
  <si>
    <t>تدخل وقائي واحترازي لمعالجة الموقع.</t>
  </si>
  <si>
    <t>مخيم حلب لبيه</t>
  </si>
  <si>
    <t>تجمع مياه داخل المخيم.</t>
  </si>
  <si>
    <t>مخيم الدانا</t>
  </si>
  <si>
    <t>خطر سيول</t>
  </si>
  <si>
    <t>احتمال تدفق مياه الأمطار نحو المخيم.</t>
  </si>
  <si>
    <t>رفع سواتر ترابية.</t>
  </si>
  <si>
    <t>تجمع مياه/مخاطر طرق</t>
  </si>
  <si>
    <t>طرق عامة ومخيمات</t>
  </si>
  <si>
    <t>تأثر الطرق والمخيمات بالأمطار.</t>
  </si>
  <si>
    <t>4 جولات تفقدية ومتابعة ميدانية.</t>
  </si>
  <si>
    <t>طريق عام</t>
  </si>
  <si>
    <t>مركبة انحرفت عن مسارها وتسببت بقطع الطريق.</t>
  </si>
  <si>
    <t>سحب المركبة وإعادة فتح الطريق.</t>
  </si>
  <si>
    <t>خطر صخري</t>
  </si>
  <si>
    <t>سقوط صخرة أعاق الحركة المرورية.</t>
  </si>
  <si>
    <t>تفقد الطريق والتدخل الوقائي.</t>
  </si>
  <si>
    <t>17-19/04/2026</t>
  </si>
  <si>
    <t>عاصفة مطرية ورياح</t>
  </si>
  <si>
    <t>فتح ممرات مائية وتصريف سيول</t>
  </si>
  <si>
    <t>طرق ومناطق متضررة</t>
  </si>
  <si>
    <t>سيول وتجمعات مائية واسعة.</t>
  </si>
  <si>
    <t>13 استجابة لفتح الممرات وتصريف السيول، شملت عبارات ومعالجة انسدادات.</t>
  </si>
  <si>
    <t>مخيمات ومناطق متضررة</t>
  </si>
  <si>
    <t>مخاطر متغيرة نتيجة استمرار الحالة الجوية.</t>
  </si>
  <si>
    <t>6 جولات تفقدية واستطلاعية.</t>
  </si>
  <si>
    <t>فيضانات وسيول</t>
  </si>
  <si>
    <t>تجمعات مياه وتهديد للمخيمات.</t>
  </si>
  <si>
    <t>6 استجابات للوقاية ومعالجة السيول ورفع السواتر.</t>
  </si>
  <si>
    <t>غمر/شفط مياه</t>
  </si>
  <si>
    <t>طوفان داخل منازل ومنشآت تعليمية وصناعية.</t>
  </si>
  <si>
    <t>3 عمليات سحب مياه.</t>
  </si>
  <si>
    <t>عوائق طرق</t>
  </si>
  <si>
    <t>أشجار/أعمدة</t>
  </si>
  <si>
    <t>أشجار ساقطة وعمود متضرر أعاقوا الطرق.</t>
  </si>
  <si>
    <t>3 استجابات لإزالة العوائق وإعادة فتح الطرق.</t>
  </si>
  <si>
    <t>طرق مغلقة</t>
  </si>
  <si>
    <t>إغلاق طرق نتيجة المياه والأضرار.</t>
  </si>
  <si>
    <t>2 استجابتان لفتح الطرق.</t>
  </si>
  <si>
    <t>آليات عالقة</t>
  </si>
  <si>
    <t>طرق مغمورة</t>
  </si>
  <si>
    <t>آليات عالقة بسبب الغمر المائي.</t>
  </si>
  <si>
    <t>2 استجابتان لسحب آليات عالقة.</t>
  </si>
  <si>
    <t>مواقع صرف صحي</t>
  </si>
  <si>
    <t>انسداد صرف صحي</t>
  </si>
  <si>
    <t>شبكات الصرف الصحي</t>
  </si>
  <si>
    <t>انسداد شبكات الصرف.</t>
  </si>
  <si>
    <t>2 استجابتان لفتح وتنظيف الشبكات.</t>
  </si>
  <si>
    <t>انهيار جزئي/خطر إنشائي</t>
  </si>
  <si>
    <t>شرفات مبنى سكني</t>
  </si>
  <si>
    <t>خطر انهيار أجزاء من المبنى؛ إخلاء عائلات؛ مصاب.</t>
  </si>
  <si>
    <t>تأمين الموقع وإزالة الأجزاء الخطرة وإخلاء عائلتين.</t>
  </si>
  <si>
    <t>9 أشخاص (8 تم إخلاؤهم + مصاب)</t>
  </si>
  <si>
    <t>مدن وبلدات</t>
  </si>
  <si>
    <t>سيول وتجمعات مياه.</t>
  </si>
  <si>
    <t>6 استجابات لفتح وتسليك العبارات والممرات.</t>
  </si>
  <si>
    <t>انهيار ساتر ترابي/فيضان</t>
  </si>
  <si>
    <t>مناطق سكنية</t>
  </si>
  <si>
    <t>فيضان واسع نتيجة انهيار ساتر ترابي.</t>
  </si>
  <si>
    <t>تدخل ميداني عاجل ومشترك لمعالجة تداعيات الانهيار.</t>
  </si>
  <si>
    <t>إخلاء مدنيين</t>
  </si>
  <si>
    <t>مناطق مهددة بالفيضانات</t>
  </si>
  <si>
    <t>تهديد مباشر للمدنيين بسبب الفيضانات.</t>
  </si>
  <si>
    <t>إخلاء عدة عائلات إلى مناطق آمنة.</t>
  </si>
  <si>
    <t>الوسيطة</t>
  </si>
  <si>
    <t>قرية الوسيطة</t>
  </si>
  <si>
    <t>فيضان</t>
  </si>
  <si>
    <t>غمر واسع للقرية نتيجة انهيار ساتر ترابي.</t>
  </si>
  <si>
    <t>استجابة للفيضانات وإخلاء عائلات.</t>
  </si>
  <si>
    <t>مواقع إنشائية</t>
  </si>
  <si>
    <t>سقف مستعار/منزل مهجور/حائط</t>
  </si>
  <si>
    <t>سقوط سقف مستعار وانهيار منزل مهجور وسقوط حائط.</t>
  </si>
  <si>
    <t>تأمين المواقع دون تسجيل إصابات.</t>
  </si>
  <si>
    <t>شجرة/طريق متضرر</t>
  </si>
  <si>
    <t>شجرة ساقطة على منزل وطريق متضرر.</t>
  </si>
  <si>
    <t>إزالة الشجرة وفرش الطريق.</t>
  </si>
  <si>
    <t>طرق/أوحال</t>
  </si>
  <si>
    <t>آلية عالقة</t>
  </si>
  <si>
    <t>حفارة</t>
  </si>
  <si>
    <t>حفارة عالقة بسبب الأوحال والسيول.</t>
  </si>
  <si>
    <t>سحب الحفارة.</t>
  </si>
  <si>
    <t>حفرة مائية</t>
  </si>
  <si>
    <t>إنقاذ حيوان</t>
  </si>
  <si>
    <t>بقرة</t>
  </si>
  <si>
    <t>سقوط بقرة في حفرة مائية.</t>
  </si>
  <si>
    <t>إنقاذ البقرة.</t>
  </si>
  <si>
    <t>طرق ومدن ومخيمات</t>
  </si>
  <si>
    <t>مخاطر متغيرة بسبب الحالة الجوية.</t>
  </si>
  <si>
    <t>4 جولات تفقدية واستطلاعية.</t>
  </si>
  <si>
    <t>مخيمات ومناطق منخفضة</t>
  </si>
  <si>
    <t>تهديد بالغمر.</t>
  </si>
  <si>
    <t>3 استجابات لإخلاء عدة عائلات.</t>
  </si>
  <si>
    <t>24/03/2026</t>
  </si>
  <si>
    <t>هطولات مطرية متفاوتة نتج عنها فيضانات موضعية وسيول وانهيارات جزئية؛ أكثر من 300 استجابة على مستوى المحافظات بسبب الأمطار.</t>
  </si>
  <si>
    <t>فتح أكثر من 15 ممر مائي؛ شفط مياه؛ إزالة عوائق؛ رفع سواتر؛ متابعة السدود والمجاري؛ تدخلات بالمخيمات.</t>
  </si>
  <si>
    <t>إدلب وريفها</t>
  </si>
  <si>
    <t>استجابات متنوعة</t>
  </si>
  <si>
    <t>طرق وسدود ومخيمات</t>
  </si>
  <si>
    <t>سيول وتجمعات مائية وحوادث مرورية.</t>
  </si>
  <si>
    <t>21 استجابة؛ 6 جولات؛ 4 سحب سيارات؛ 2 شفط مياه؛ 2 فتح طرق؛ 4 تسليك مجاري؛ حادث مروري واحد؛ نقطة استجابة متقدمة.</t>
  </si>
  <si>
    <t>عاصفة مطرية/فيضانات</t>
  </si>
  <si>
    <t>فيضان منازل</t>
  </si>
  <si>
    <t>منازل ومناطق سكنية</t>
  </si>
  <si>
    <t>تضرر أكثر من 480 منزلاً كلياً وجزئياً؛ تضرر 400 عائلة مباشرة؛ غمر منازل؛ أضرار بالبنية التحتية والزراعة.</t>
  </si>
  <si>
    <t>إخلاء 120 عائلة؛ رفع سواتر ترابية بطول يتجاوز 5 كم؛ فتح قنوات ومجاري وتعزيل مجرى النهر.</t>
  </si>
  <si>
    <t>120 عائلة تم إجلاؤها؛ 400 عائلة متضررة</t>
  </si>
  <si>
    <t>اليعربية</t>
  </si>
  <si>
    <t>غرق 70 منزلاً؛ تضرر عشرات الهكتارات؛ تضرر شبكات الصرف وخطوط المياه والطرق والجسور؛ تلوث زراعي بمخلفات نفطية.</t>
  </si>
  <si>
    <t>رفع سواتر؛ فتح قنوات؛ تعزيل وفتح مجرى النهر؛ فتح عبارات المياه؛ إنشاء مجاري تصريف في حي السكة.</t>
  </si>
  <si>
    <t>70 منزلاً مغموراً؛ ضمن 400 عائلة متضررة</t>
  </si>
  <si>
    <t>طريق صافيتا</t>
  </si>
  <si>
    <t>إصابتان نتيجة الحادث.</t>
  </si>
  <si>
    <t>استجابة للحادث وتأمين الموقع.</t>
  </si>
  <si>
    <t>2 مصابان</t>
  </si>
  <si>
    <t xml:space="preserve">طرطوس </t>
  </si>
  <si>
    <t>المعوانة</t>
  </si>
  <si>
    <t>طريق بانياس</t>
  </si>
  <si>
    <t>حادثا سير</t>
  </si>
  <si>
    <t>حادثان منفصلان نتج عنهما 4 إصابات و3 وفيات؛ السبب الانزلاق والانحراف عن المسار.</t>
  </si>
  <si>
    <t>استجابة للحوادث وتأمين المواقع.</t>
  </si>
  <si>
    <t>7 أشخاص (4 إصابات + 3 وفيات)</t>
  </si>
  <si>
    <t>جسر القوز</t>
  </si>
  <si>
    <t>إصابتان.</t>
  </si>
  <si>
    <t xml:space="preserve"> جسر القوز</t>
  </si>
  <si>
    <t>أضرار مادية فقط بسبب انجراف التربة الناتج عن الأمطار، دون إصابات.</t>
  </si>
  <si>
    <t>تأمين الموقع والتعامل مع الحادث.</t>
  </si>
  <si>
    <t>طريق طرطوس</t>
  </si>
  <si>
    <t>أضرار مادية فقط نتيجة الانزلاق.</t>
  </si>
  <si>
    <t>التعامل مع الحادث وتأمين الطريق.</t>
  </si>
  <si>
    <t>26/04/2026</t>
  </si>
  <si>
    <t>ريف حماة الشرقي</t>
  </si>
  <si>
    <t>غرق/وفاة بسبب السيول</t>
  </si>
  <si>
    <t>منطقة سيل/مراعي</t>
  </si>
  <si>
    <t>وفاة طفل أثناء محاولة إنقاذ قطيع أغنام جرفته السيول.</t>
  </si>
  <si>
    <t>استجابة للحالة والتعامل مع آثار السيول.</t>
  </si>
  <si>
    <t>تل الذبان</t>
  </si>
  <si>
    <t>انكسار ساتر ترابي</t>
  </si>
  <si>
    <t>ساتر تجمع مياه السيحة</t>
  </si>
  <si>
    <t>تسرب مياه وارتفاع خطر الفيضانات وتهديد المناطق السكنية المجاورة.</t>
  </si>
  <si>
    <t>تدعيم الساتر؛ وضع أكياس رمل وشوادر؛ دعم وحماية ميدانية؛ تنسيق مع الجهات الحكومية؛ مراقبة الموقع.</t>
  </si>
  <si>
    <t>قرية غرور</t>
  </si>
  <si>
    <t>أضرار منزلية وطوفان صرف صحي</t>
  </si>
  <si>
    <t>منزل واحد وشبكة الصرف</t>
  </si>
  <si>
    <t>أضرار مادية في منزل واحد؛ طوفان في شبكة الصرف الصحي بسبب ارتفاع منسوب المياه.</t>
  </si>
  <si>
    <t>كشف ميداني وتقييم أولي وتوثيق الحالة ومراقبة الصرف.</t>
  </si>
  <si>
    <t>أبو الظهور</t>
  </si>
  <si>
    <t>حميمات الداير</t>
  </si>
  <si>
    <t>طرق قرب السدود</t>
  </si>
  <si>
    <t>ارتفاع منسوب المياه وتهديد الطرق.</t>
  </si>
  <si>
    <t>إغلاق الطرق الخطرة ووضع إشارات تحذيرية ومراقبة مستوى المياه.</t>
  </si>
  <si>
    <t>C3900</t>
  </si>
  <si>
    <t>التويم</t>
  </si>
  <si>
    <t>سنجار</t>
  </si>
  <si>
    <t>البويدر</t>
  </si>
  <si>
    <t>تدفق سيول</t>
  </si>
  <si>
    <t>القرية ومحيط المنازل</t>
  </si>
  <si>
    <t>تدفق السيول نحو القرية.</t>
  </si>
  <si>
    <t>جولة ميدانية وتقييم واقع القرية والتأكد من سلامة السكان ومتابعة مسارات المياه.</t>
  </si>
  <si>
    <t>C5858</t>
  </si>
  <si>
    <t>المالحة</t>
  </si>
  <si>
    <t>طوفان منازل</t>
  </si>
  <si>
    <t>دخول المياه إلى منازل متضررة.</t>
  </si>
  <si>
    <t>تفقد المنازل وتقييم الحاجة للإخلاء والدعم وتأمين المنطقة.</t>
  </si>
  <si>
    <t>C3230</t>
  </si>
  <si>
    <t>إخلاء عائلات عالقة</t>
  </si>
  <si>
    <t>مركبة/منطقة متأثرة بالسيول</t>
  </si>
  <si>
    <t>عائلتان علقتا داخل سيارة نوع أنتر أثناء محاولة مغادرة المنطقة.</t>
  </si>
  <si>
    <t>دعم عمليات الإخلاء؛ إخراج أفراد العائلتين ونقلهما إلى منطقة آمنة.</t>
  </si>
  <si>
    <t>عائلتان</t>
  </si>
  <si>
    <t>C3891</t>
  </si>
  <si>
    <t>إغلاق طريق</t>
  </si>
  <si>
    <t>الطريق الرئيسي</t>
  </si>
  <si>
    <t>إغلاق الطريق بسبب السيول والترسبات.</t>
  </si>
  <si>
    <t>إزالة العوائق والترسبات وفتح الطريق وسحب السيارات العالقة وتأمين الموقع.</t>
  </si>
  <si>
    <t>مركبات عالقة</t>
  </si>
  <si>
    <t>تعثر/علق عدد من السيارات داخل الطريق المتضرر.</t>
  </si>
  <si>
    <t>سحب السيارات العالقة أثناء فتح الطريق.</t>
  </si>
  <si>
    <t>ارتفاع منسوب المياه</t>
  </si>
  <si>
    <t>ارتفاع منسوب المياه ووجود خطر ضغط على السد.</t>
  </si>
  <si>
    <t>شفط المياه من حفرة سكر السد لتمكين المختصين من تخفيف المنسوب والسيطرة على الوضع.</t>
  </si>
  <si>
    <t>الحضارة</t>
  </si>
  <si>
    <t>تجمع سيول</t>
  </si>
  <si>
    <t>مناطق تجمع السيول</t>
  </si>
  <si>
    <t>لم تسجل أضرار في منازل المدنيين أو البنية السكنية.</t>
  </si>
  <si>
    <t>كشف ميداني شامل وتوثيق الوضع والتأكد من الاستقرار.</t>
  </si>
  <si>
    <t>0</t>
  </si>
  <si>
    <t>خطر ارتفاع منسوب السيل</t>
  </si>
  <si>
    <t>منتزهات وطرق</t>
  </si>
  <si>
    <t>احتمال ارتفاع منسوب السيل وتهديد المنطقة.</t>
  </si>
  <si>
    <t>جولة تفقدية وإبلاغ أصحاب المنتزهات بالإخلاء الفوري كإجراء احترازي.</t>
  </si>
  <si>
    <t>طرق وجسور</t>
  </si>
  <si>
    <t>وجود طرق مغلقة بسبب مرور السيول.</t>
  </si>
  <si>
    <t>جولة تفقدية وتنبيه الأهالي ومستخدمي الطرق.</t>
  </si>
  <si>
    <t>الجسر العالي</t>
  </si>
  <si>
    <t>خطر مرتبط بارتفاع منسوب السيل.</t>
  </si>
  <si>
    <t>جسر السبلة</t>
  </si>
  <si>
    <t>منشأة/طريق</t>
  </si>
  <si>
    <t>احتمال تأثر الموقع بارتفاع منسوب السيل.</t>
  </si>
  <si>
    <t>جولة تفقدية وإجراءات احترازية.</t>
  </si>
  <si>
    <t>أثريا</t>
  </si>
  <si>
    <t>طريق أثريا–الرقة</t>
  </si>
  <si>
    <t>الطريق مقطوع/مغلق مؤقتاً بسبب ارتفاع منسوب المياه والسيول.</t>
  </si>
  <si>
    <t>فتح الطريق وإزالة آثار السيول وفق الاستجابة الميدانية.</t>
  </si>
  <si>
    <t>الرقة</t>
  </si>
  <si>
    <t>المعبطلي</t>
  </si>
  <si>
    <t>حجي حسنلي</t>
  </si>
  <si>
    <t>المزينة_أرندة</t>
  </si>
  <si>
    <t>درمش_درمشكانلي</t>
  </si>
  <si>
    <t>غزاوية عفرين</t>
  </si>
  <si>
    <t>المحببة_ناز أوشاغي</t>
  </si>
  <si>
    <t>المدللة عفرين_كوتانلي شرقي</t>
  </si>
  <si>
    <t>قسطل مقداد</t>
  </si>
  <si>
    <t>كفرروم</t>
  </si>
  <si>
    <t>حلوبي صغير</t>
  </si>
  <si>
    <t>شيركان_شيركانلي</t>
  </si>
  <si>
    <t>ياخور_أيكي أخور</t>
  </si>
  <si>
    <t>زعرية</t>
  </si>
  <si>
    <t xml:space="preserve"> بيكوباسي</t>
  </si>
  <si>
    <t>نيارة</t>
  </si>
  <si>
    <t>عاصمية</t>
  </si>
  <si>
    <t>خربة بشير</t>
  </si>
  <si>
    <t>تلمنس</t>
  </si>
  <si>
    <t>الحسانية_هتيا</t>
  </si>
  <si>
    <t>الكفر_كفريحمول</t>
  </si>
  <si>
    <t>راس البسيط</t>
  </si>
  <si>
    <t>أطمه</t>
  </si>
  <si>
    <t>حزرة_حرزي</t>
  </si>
  <si>
    <t>احسم</t>
  </si>
  <si>
    <t>بنابل</t>
  </si>
  <si>
    <t>كفر كفلدين</t>
  </si>
  <si>
    <t>كفرلاته</t>
  </si>
  <si>
    <t>الفوز_الزوف</t>
  </si>
  <si>
    <t>معر تمصرين</t>
  </si>
  <si>
    <t>بردقلي</t>
  </si>
  <si>
    <t>كفردريان</t>
  </si>
  <si>
    <t>المرج الأخضر</t>
  </si>
  <si>
    <t>زردنا_مشهد</t>
  </si>
  <si>
    <t>مرديخ</t>
  </si>
  <si>
    <t>الظهر</t>
  </si>
  <si>
    <t>مرعند</t>
  </si>
  <si>
    <t>فحيل جلاس</t>
  </si>
  <si>
    <t>ادلب</t>
  </si>
  <si>
    <t>معترم</t>
  </si>
  <si>
    <t>وسيطة</t>
  </si>
  <si>
    <t>ثليجة</t>
  </si>
  <si>
    <t>أورم الجوز</t>
  </si>
  <si>
    <t>حنبوشية</t>
  </si>
  <si>
    <t>الحنوة</t>
  </si>
  <si>
    <t>واوية</t>
  </si>
  <si>
    <t>خربة عمر</t>
  </si>
  <si>
    <t>عاكولة تل حميس</t>
  </si>
  <si>
    <t>رميلان</t>
  </si>
  <si>
    <t>الصنوبر</t>
  </si>
  <si>
    <t>صليب التركمان</t>
  </si>
  <si>
    <t>قميرة</t>
  </si>
  <si>
    <t>ازرع</t>
  </si>
  <si>
    <t>تمانعة الغاب</t>
  </si>
  <si>
    <t>طيبة الإمام</t>
  </si>
  <si>
    <t>قليدين</t>
  </si>
  <si>
    <t>البارد</t>
  </si>
  <si>
    <t>خطاب</t>
  </si>
  <si>
    <t>بغيديد</t>
  </si>
  <si>
    <t>الشيخ هلال</t>
  </si>
  <si>
    <t>شطحة التحتا</t>
  </si>
  <si>
    <t>اثريا</t>
  </si>
  <si>
    <t>طيبة الامام</t>
  </si>
  <si>
    <t>كفر نبودة</t>
  </si>
  <si>
    <t>العمقية تحتا</t>
  </si>
  <si>
    <t>دقماق</t>
  </si>
  <si>
    <t>محروسة</t>
  </si>
  <si>
    <t>قصر علي</t>
  </si>
  <si>
    <t>الجابرية</t>
  </si>
  <si>
    <t>جبين</t>
  </si>
  <si>
    <t>جواسية الجنوبية</t>
  </si>
  <si>
    <t>نهر البارد</t>
  </si>
  <si>
    <t>برشين</t>
  </si>
  <si>
    <t>عين حلاقيم</t>
  </si>
  <si>
    <t>دير بعلبة</t>
  </si>
  <si>
    <t>بياضة</t>
  </si>
  <si>
    <t>الزهرية</t>
  </si>
  <si>
    <t>حي كرم الزيتون - مركز حمص</t>
  </si>
  <si>
    <t>حازمية</t>
  </si>
  <si>
    <t>سكر السد</t>
  </si>
  <si>
    <t>المعمورة</t>
  </si>
  <si>
    <t>الربيعة</t>
  </si>
  <si>
    <t>أم الغيث</t>
  </si>
  <si>
    <t>جسرالدف</t>
  </si>
  <si>
    <t>كفرسوسة</t>
  </si>
  <si>
    <t>قابون</t>
  </si>
  <si>
    <t>معيزيلة</t>
  </si>
  <si>
    <t>السويعية</t>
  </si>
  <si>
    <t>حريصون_القاموع</t>
  </si>
  <si>
    <t>.</t>
  </si>
  <si>
    <t>بيت ياشوط_عين قيطة</t>
  </si>
  <si>
    <t>منطقة الصناعة</t>
  </si>
  <si>
    <t>البدروسية</t>
  </si>
  <si>
    <t>بحمرة</t>
  </si>
  <si>
    <t>برزة</t>
  </si>
  <si>
    <t>الكبينة</t>
  </si>
  <si>
    <t>السرايا</t>
  </si>
  <si>
    <t>سيحة</t>
  </si>
  <si>
    <t>N0264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</si>
</sst>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rial"/>
      <family val="2"/>
      <scheme val="minor"/>
    </font>
    <font>
      <b/>
      <sz val="11"/>
      <name val="Calibri"/>
    </font>
    <font>
      <sz val="10"/>
      <name val="Arial"/>
      <charset val="134"/>
    </font>
    <font>
      <b/>
      <sz val="11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0" fillId="0" borderId="0" xfId="0" applyAlignment="1">
      <alignment wrapText="1"/>
    </xf>
    <xf numFmtId="0" fontId="3" fillId="0" borderId="0" xfId="0" applyFont="1"/>
  </cellXfs>
  <cellStyles count="1">
    <cellStyle name="عادي" xfId="0" builtinId="0"/>
  </cellStyles>
  <dxfs count="3"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&#1605;&#1580;&#1604;&#1583;%20&#1580;&#1583;&#1610;&#1583;%20(2)/syr_admin_boundaries.xlsx" TargetMode="External"/><Relationship Id="rId2" Type="http://schemas.openxmlformats.org/officeDocument/2006/relationships/externalLinkPath" Target="file:///C:\Users\emad.k\Desktop\&#1605;&#1580;&#1604;&#1583;%20&#1580;&#1583;&#1610;&#1583;%20(2)\syr_admin_boundaries.xlsx" TargetMode="External"/><Relationship Id="rId1" Type="http://schemas.openxmlformats.org/officeDocument/2006/relationships/externalLinkPath" Target="/Users/emad.k/Desktop/&#1605;&#1580;&#1604;&#1583;%20&#1580;&#1583;&#1610;&#1583;%20(2)/syr_admin_boundaries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AppData/Local/Packages/5319275A.WhatsAppDesktop_cv1g1gvanyjgm/LocalState/sessions/86E6CAF231DEF36A89C08C7E948791AF7A2945E2/transfers/2026-37/&#1575;&#1604;&#1604;&#1575;&#1584;&#1602;&#1610;&#1577;-&#1581;&#1604;&#1576;.xlsx" TargetMode="External"/><Relationship Id="rId2" Type="http://schemas.openxmlformats.org/officeDocument/2006/relationships/externalLinkPath" Target="file:///C:\Users\emad.k\AppData\Local\Packages\5319275A.WhatsAppDesktop_cv1g1gvanyjgm\LocalState\sessions\86E6CAF231DEF36A89C08C7E948791AF7A2945E2\transfers\2026-37\&#1575;&#1604;&#1604;&#1575;&#1584;&#1602;&#1610;&#1577;-&#1581;&#1604;&#1576;.xlsx" TargetMode="External"/><Relationship Id="rId1" Type="http://schemas.openxmlformats.org/officeDocument/2006/relationships/externalLinkPath" Target="/Users/emad.k/AppData/Local/Packages/5319275A.WhatsAppDesktop_cv1g1gvanyjgm/LocalState/sessions/86E6CAF231DEF36A89C08C7E948791AF7A2945E2/transfers/2026-37/&#1575;&#1604;&#1604;&#1575;&#1584;&#1602;&#1610;&#1577;-&#1581;&#1604;&#1576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yr_admin0"/>
      <sheetName val="syr_admin1"/>
      <sheetName val="syr_admin2"/>
      <sheetName val="syr_admin3"/>
      <sheetName val="syr_admincapitals"/>
      <sheetName val="syr_adminlines"/>
      <sheetName val="syr_adminpoints"/>
      <sheetName val="syr_neighborhoods"/>
      <sheetName val="syr_populatedplac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">
          <cell r="B1" t="str">
            <v>neighborhoodname_ar</v>
          </cell>
          <cell r="C1" t="str">
            <v>neighborhoodpcode</v>
          </cell>
        </row>
        <row r="2">
          <cell r="B2" t="str">
            <v>أسد الدين</v>
          </cell>
          <cell r="C2" t="str">
            <v>N0006</v>
          </cell>
        </row>
        <row r="3">
          <cell r="B3" t="str">
            <v>النقشبندي</v>
          </cell>
          <cell r="C3" t="str">
            <v>N0009</v>
          </cell>
        </row>
        <row r="4">
          <cell r="B4" t="str">
            <v>الفيحاء</v>
          </cell>
          <cell r="C4" t="str">
            <v>N0016</v>
          </cell>
        </row>
        <row r="5">
          <cell r="B5" t="str">
            <v>الأيوبية</v>
          </cell>
          <cell r="C5" t="str">
            <v>N0013</v>
          </cell>
        </row>
        <row r="6">
          <cell r="B6" t="str">
            <v>الحبوبي</v>
          </cell>
          <cell r="C6" t="str">
            <v>N0037</v>
          </cell>
        </row>
        <row r="7">
          <cell r="B7" t="str">
            <v>الروضة</v>
          </cell>
          <cell r="C7" t="str">
            <v>N0031</v>
          </cell>
        </row>
        <row r="8">
          <cell r="B8" t="str">
            <v>شورى</v>
          </cell>
          <cell r="C8" t="str">
            <v>N0022</v>
          </cell>
        </row>
        <row r="9">
          <cell r="B9" t="str">
            <v>المصطبة</v>
          </cell>
          <cell r="C9" t="str">
            <v>N0023</v>
          </cell>
        </row>
        <row r="10">
          <cell r="B10" t="str">
            <v>المرابط</v>
          </cell>
          <cell r="C10" t="str">
            <v>N0027</v>
          </cell>
        </row>
        <row r="11">
          <cell r="B11" t="str">
            <v>المالكي</v>
          </cell>
          <cell r="C11" t="str">
            <v>N0036</v>
          </cell>
        </row>
        <row r="12">
          <cell r="B12" t="str">
            <v>أبو رمانة</v>
          </cell>
          <cell r="C12" t="str">
            <v>N0035</v>
          </cell>
        </row>
        <row r="13">
          <cell r="B13" t="str">
            <v>الربوة</v>
          </cell>
          <cell r="C13" t="str">
            <v>N0047</v>
          </cell>
        </row>
        <row r="14">
          <cell r="B14" t="str">
            <v>مزة 86</v>
          </cell>
          <cell r="C14" t="str">
            <v>N0053</v>
          </cell>
        </row>
        <row r="15">
          <cell r="B15" t="str">
            <v>فيلات شرقية</v>
          </cell>
          <cell r="C15" t="str">
            <v>N0086</v>
          </cell>
        </row>
        <row r="16">
          <cell r="B16" t="str">
            <v>المزة القديمة</v>
          </cell>
          <cell r="C16" t="str">
            <v>N0056</v>
          </cell>
        </row>
        <row r="17">
          <cell r="B17" t="str">
            <v>الجلاء</v>
          </cell>
          <cell r="C17" t="str">
            <v>N0071</v>
          </cell>
        </row>
        <row r="18">
          <cell r="B18" t="str">
            <v>مزة جبل</v>
          </cell>
          <cell r="C18" t="str">
            <v>N0064</v>
          </cell>
        </row>
        <row r="19">
          <cell r="B19" t="str">
            <v>فيلات غربية</v>
          </cell>
          <cell r="C19" t="str">
            <v>N0076</v>
          </cell>
        </row>
        <row r="20">
          <cell r="B20" t="str">
            <v>السومرية</v>
          </cell>
          <cell r="C20" t="str">
            <v>N0088</v>
          </cell>
        </row>
        <row r="21">
          <cell r="B21" t="str">
            <v>مساكن برزة</v>
          </cell>
          <cell r="C21" t="str">
            <v>N0008</v>
          </cell>
        </row>
        <row r="22">
          <cell r="B22" t="str">
            <v>العباس</v>
          </cell>
          <cell r="C22" t="str">
            <v>N0005</v>
          </cell>
        </row>
        <row r="23">
          <cell r="B23" t="str">
            <v>المنارة</v>
          </cell>
          <cell r="C23" t="str">
            <v>N0003</v>
          </cell>
        </row>
        <row r="24">
          <cell r="B24" t="str">
            <v>برزة البلد</v>
          </cell>
          <cell r="C24" t="str">
            <v>N0002</v>
          </cell>
        </row>
        <row r="25">
          <cell r="B25" t="str">
            <v>الحرية_ عش الورور</v>
          </cell>
          <cell r="C25" t="str">
            <v>N0001</v>
          </cell>
        </row>
        <row r="26">
          <cell r="B26" t="str">
            <v>النزهة</v>
          </cell>
          <cell r="C26" t="str">
            <v>N0015</v>
          </cell>
        </row>
        <row r="27">
          <cell r="B27" t="str">
            <v>المأمونية</v>
          </cell>
          <cell r="C27" t="str">
            <v>N0032</v>
          </cell>
        </row>
        <row r="28">
          <cell r="B28" t="str">
            <v>الاستقلال</v>
          </cell>
          <cell r="C28" t="str">
            <v>N0051</v>
          </cell>
        </row>
        <row r="29">
          <cell r="B29" t="str">
            <v>ساروجا</v>
          </cell>
          <cell r="C29" t="str">
            <v>N0040</v>
          </cell>
        </row>
        <row r="30">
          <cell r="B30" t="str">
            <v>العقيبة</v>
          </cell>
          <cell r="C30" t="str">
            <v>N0039</v>
          </cell>
        </row>
        <row r="31">
          <cell r="B31" t="str">
            <v>العدوي</v>
          </cell>
          <cell r="C31" t="str">
            <v>N0029</v>
          </cell>
        </row>
        <row r="32">
          <cell r="B32" t="str">
            <v>مسجد أقصاب</v>
          </cell>
          <cell r="C32" t="str">
            <v>N0038</v>
          </cell>
        </row>
        <row r="33">
          <cell r="B33" t="str">
            <v>القصاع</v>
          </cell>
          <cell r="C33" t="str">
            <v>N0034</v>
          </cell>
        </row>
        <row r="34">
          <cell r="B34" t="str">
            <v>الفالوجة</v>
          </cell>
          <cell r="C34" t="str">
            <v>N0111</v>
          </cell>
        </row>
        <row r="35">
          <cell r="B35" t="str">
            <v>الكرمل</v>
          </cell>
          <cell r="C35" t="str">
            <v>N0109</v>
          </cell>
        </row>
        <row r="36">
          <cell r="B36" t="str">
            <v>القصور</v>
          </cell>
          <cell r="C36" t="str">
            <v>N0026</v>
          </cell>
        </row>
        <row r="37">
          <cell r="B37" t="str">
            <v>فارس الخوري</v>
          </cell>
          <cell r="C37" t="str">
            <v>N0018</v>
          </cell>
        </row>
        <row r="38">
          <cell r="B38" t="str">
            <v>العمارة البرانية</v>
          </cell>
          <cell r="C38" t="str">
            <v>N0041</v>
          </cell>
        </row>
        <row r="39">
          <cell r="B39" t="str">
            <v>الحريقة</v>
          </cell>
          <cell r="C39" t="str">
            <v>N0050</v>
          </cell>
        </row>
        <row r="40">
          <cell r="B40" t="str">
            <v>شاغور جواني</v>
          </cell>
          <cell r="C40" t="str">
            <v>N0054</v>
          </cell>
        </row>
        <row r="41">
          <cell r="B41" t="str">
            <v>الحميدية</v>
          </cell>
          <cell r="C41" t="str">
            <v>N0045</v>
          </cell>
        </row>
        <row r="42">
          <cell r="B42" t="str">
            <v>مأذنة الشحم</v>
          </cell>
          <cell r="C42" t="str">
            <v>N0055</v>
          </cell>
        </row>
        <row r="43">
          <cell r="B43" t="str">
            <v>الأمين</v>
          </cell>
          <cell r="C43" t="str">
            <v>N0057</v>
          </cell>
        </row>
        <row r="44">
          <cell r="B44" t="str">
            <v>باب توما</v>
          </cell>
          <cell r="C44" t="str">
            <v>N0049</v>
          </cell>
        </row>
        <row r="45">
          <cell r="B45" t="str">
            <v>الجورة</v>
          </cell>
          <cell r="C45" t="str">
            <v>N0042</v>
          </cell>
        </row>
        <row r="46">
          <cell r="B46" t="str">
            <v>القيمرية</v>
          </cell>
          <cell r="C46" t="str">
            <v>N0048</v>
          </cell>
        </row>
        <row r="47">
          <cell r="B47" t="str">
            <v>العمارة الجوانية</v>
          </cell>
          <cell r="C47" t="str">
            <v>N0043</v>
          </cell>
        </row>
        <row r="48">
          <cell r="B48" t="str">
            <v>باب سريجة</v>
          </cell>
          <cell r="C48" t="str">
            <v>N0059</v>
          </cell>
        </row>
        <row r="49">
          <cell r="B49" t="str">
            <v>القنوات</v>
          </cell>
          <cell r="C49" t="str">
            <v>N0052</v>
          </cell>
        </row>
        <row r="50">
          <cell r="B50" t="str">
            <v>باب الجابية</v>
          </cell>
          <cell r="C50" t="str">
            <v>N0060</v>
          </cell>
        </row>
        <row r="51">
          <cell r="B51" t="str">
            <v>السويقة</v>
          </cell>
          <cell r="C51" t="str">
            <v>N0066</v>
          </cell>
        </row>
        <row r="52">
          <cell r="B52" t="str">
            <v>المجتهد</v>
          </cell>
          <cell r="C52" t="str">
            <v>N0069</v>
          </cell>
        </row>
        <row r="53">
          <cell r="B53" t="str">
            <v>قبر عاتكة</v>
          </cell>
          <cell r="C53" t="str">
            <v>N0065</v>
          </cell>
        </row>
        <row r="54">
          <cell r="B54" t="str">
            <v>الأنصاري</v>
          </cell>
          <cell r="C54" t="str">
            <v>N0062</v>
          </cell>
        </row>
        <row r="55">
          <cell r="B55" t="str">
            <v>البرامكة</v>
          </cell>
          <cell r="C55" t="str">
            <v>N0058</v>
          </cell>
        </row>
        <row r="56">
          <cell r="B56" t="str">
            <v>الحجاز</v>
          </cell>
          <cell r="C56" t="str">
            <v>N0046</v>
          </cell>
        </row>
        <row r="57">
          <cell r="B57" t="str">
            <v>الزاهرة</v>
          </cell>
          <cell r="C57" t="str">
            <v>N0080</v>
          </cell>
        </row>
        <row r="58">
          <cell r="B58" t="str">
            <v>القاعة</v>
          </cell>
          <cell r="C58" t="str">
            <v>N0089</v>
          </cell>
        </row>
        <row r="59">
          <cell r="B59" t="str">
            <v>الدقاق</v>
          </cell>
          <cell r="C59" t="str">
            <v>N0084</v>
          </cell>
        </row>
        <row r="60">
          <cell r="B60" t="str">
            <v>الحقلة</v>
          </cell>
          <cell r="C60" t="str">
            <v>N0081</v>
          </cell>
        </row>
        <row r="61">
          <cell r="B61" t="str">
            <v>باب مصر</v>
          </cell>
          <cell r="C61" t="str">
            <v>N0082</v>
          </cell>
        </row>
        <row r="62">
          <cell r="B62" t="str">
            <v>ميدان وسطاني</v>
          </cell>
          <cell r="C62" t="str">
            <v>N0078</v>
          </cell>
        </row>
        <row r="63">
          <cell r="B63" t="str">
            <v>شاغور براني</v>
          </cell>
          <cell r="C63" t="str">
            <v>N0063</v>
          </cell>
        </row>
        <row r="64">
          <cell r="B64" t="str">
            <v>ابن عساكر</v>
          </cell>
          <cell r="C64" t="str">
            <v>N0067</v>
          </cell>
        </row>
        <row r="65">
          <cell r="B65" t="str">
            <v>بلال</v>
          </cell>
          <cell r="C65" t="str">
            <v>N0075</v>
          </cell>
        </row>
        <row r="66">
          <cell r="B66" t="str">
            <v>روضة الميدان</v>
          </cell>
          <cell r="C66" t="str">
            <v>N0079</v>
          </cell>
        </row>
        <row r="67">
          <cell r="B67" t="str">
            <v>الزهور</v>
          </cell>
          <cell r="C67" t="str">
            <v>N0083</v>
          </cell>
        </row>
        <row r="68">
          <cell r="B68" t="str">
            <v>النضال</v>
          </cell>
          <cell r="C68" t="str">
            <v>N0068</v>
          </cell>
        </row>
        <row r="69">
          <cell r="B69" t="str">
            <v>باب شرقي</v>
          </cell>
          <cell r="C69" t="str">
            <v>N0061</v>
          </cell>
        </row>
        <row r="70">
          <cell r="B70" t="str">
            <v>الوحدة</v>
          </cell>
          <cell r="C70" t="str">
            <v>N0074</v>
          </cell>
        </row>
        <row r="71">
          <cell r="B71" t="str">
            <v>دمر الشرقية</v>
          </cell>
          <cell r="C71" t="str">
            <v>N0010</v>
          </cell>
        </row>
        <row r="72">
          <cell r="B72" t="str">
            <v>دمر الغربية</v>
          </cell>
          <cell r="C72" t="str">
            <v>N0044</v>
          </cell>
        </row>
        <row r="73">
          <cell r="B73" t="str">
            <v>ضاحية دمر</v>
          </cell>
          <cell r="C73" t="str">
            <v>N0024</v>
          </cell>
        </row>
        <row r="74">
          <cell r="B74" t="str">
            <v>العرين</v>
          </cell>
          <cell r="C74" t="str">
            <v>N0020</v>
          </cell>
        </row>
        <row r="75">
          <cell r="B75" t="str">
            <v>الورود</v>
          </cell>
          <cell r="C75" t="str">
            <v>N0012</v>
          </cell>
        </row>
        <row r="76">
          <cell r="B76" t="str">
            <v>السيدة عائشة</v>
          </cell>
          <cell r="C76" t="str">
            <v>N0085</v>
          </cell>
        </row>
        <row r="77">
          <cell r="B77" t="str">
            <v>الدحاديل</v>
          </cell>
          <cell r="C77" t="str">
            <v>N0091</v>
          </cell>
        </row>
        <row r="78">
          <cell r="B78" t="str">
            <v>المصطفى</v>
          </cell>
          <cell r="C78" t="str">
            <v>N0095</v>
          </cell>
        </row>
        <row r="79">
          <cell r="B79" t="str">
            <v>كفر سوسة البلد</v>
          </cell>
          <cell r="C79" t="str">
            <v>N0070</v>
          </cell>
        </row>
        <row r="80">
          <cell r="B80" t="str">
            <v>الواحة</v>
          </cell>
          <cell r="C80" t="str">
            <v>N0077</v>
          </cell>
        </row>
        <row r="81">
          <cell r="B81" t="str">
            <v>الفردوس</v>
          </cell>
          <cell r="C81" t="str">
            <v>N0087</v>
          </cell>
        </row>
        <row r="82">
          <cell r="B82" t="str">
            <v>اللوان</v>
          </cell>
          <cell r="C82" t="str">
            <v>N0090</v>
          </cell>
        </row>
        <row r="83">
          <cell r="B83" t="str">
            <v>الإخلاص</v>
          </cell>
          <cell r="C83" t="str">
            <v>N0072</v>
          </cell>
        </row>
        <row r="84">
          <cell r="B84" t="str">
            <v>مزة بساتين</v>
          </cell>
          <cell r="C84" t="str">
            <v>N0073</v>
          </cell>
        </row>
        <row r="85">
          <cell r="B85" t="str">
            <v>المصانع</v>
          </cell>
          <cell r="C85" t="str">
            <v>N0011</v>
          </cell>
        </row>
        <row r="86">
          <cell r="B86" t="str">
            <v>تشرين</v>
          </cell>
          <cell r="C86" t="str">
            <v>N0004</v>
          </cell>
        </row>
        <row r="87">
          <cell r="B87" t="str">
            <v>المزرعة</v>
          </cell>
          <cell r="C87" t="str">
            <v>N0028</v>
          </cell>
        </row>
        <row r="88">
          <cell r="B88" t="str">
            <v>قاسيون</v>
          </cell>
          <cell r="C88" t="str">
            <v>N0014</v>
          </cell>
        </row>
        <row r="89">
          <cell r="B89" t="str">
            <v>أبو جرش</v>
          </cell>
          <cell r="C89" t="str">
            <v>N0017</v>
          </cell>
        </row>
        <row r="90">
          <cell r="B90" t="str">
            <v>الشيخ محي الدين</v>
          </cell>
          <cell r="C90" t="str">
            <v>N0019</v>
          </cell>
        </row>
        <row r="91">
          <cell r="B91" t="str">
            <v>المدارس</v>
          </cell>
          <cell r="C91" t="str">
            <v>N0021</v>
          </cell>
        </row>
        <row r="92">
          <cell r="B92" t="str">
            <v>الشهداء</v>
          </cell>
          <cell r="C92" t="str">
            <v>N0033</v>
          </cell>
        </row>
        <row r="93">
          <cell r="B93" t="str">
            <v>العوينة</v>
          </cell>
          <cell r="C93" t="str">
            <v>N0339</v>
          </cell>
        </row>
        <row r="94">
          <cell r="B94" t="str">
            <v>القلعة</v>
          </cell>
          <cell r="C94" t="str">
            <v>N0341</v>
          </cell>
        </row>
        <row r="95">
          <cell r="B95" t="str">
            <v>جامعة تشرين</v>
          </cell>
          <cell r="C95" t="str">
            <v>N0340</v>
          </cell>
        </row>
        <row r="96">
          <cell r="B96" t="str">
            <v>الثورة</v>
          </cell>
          <cell r="C96" t="str">
            <v>N0333</v>
          </cell>
        </row>
        <row r="97">
          <cell r="B97" t="str">
            <v>خشمان</v>
          </cell>
          <cell r="C97" t="str">
            <v>N0371</v>
          </cell>
        </row>
        <row r="98">
          <cell r="B98" t="str">
            <v>مشيرفة</v>
          </cell>
          <cell r="C98" t="str">
            <v>N0370</v>
          </cell>
        </row>
        <row r="99">
          <cell r="B99" t="str">
            <v>المشتل</v>
          </cell>
          <cell r="C99" t="str">
            <v>N0372</v>
          </cell>
        </row>
        <row r="100">
          <cell r="B100" t="str">
            <v>المعيشية</v>
          </cell>
          <cell r="C100" t="str">
            <v>N0373</v>
          </cell>
        </row>
        <row r="101">
          <cell r="B101" t="str">
            <v>القصور</v>
          </cell>
          <cell r="C101" t="str">
            <v>N0378</v>
          </cell>
        </row>
        <row r="102">
          <cell r="B102" t="str">
            <v>البيطرة</v>
          </cell>
          <cell r="C102" t="str">
            <v>N0375</v>
          </cell>
        </row>
        <row r="103">
          <cell r="B103" t="str">
            <v>الكلاسة</v>
          </cell>
          <cell r="C103" t="str">
            <v>N0380</v>
          </cell>
        </row>
        <row r="104">
          <cell r="B104" t="str">
            <v>تل حجر</v>
          </cell>
          <cell r="C104" t="str">
            <v>N0376</v>
          </cell>
        </row>
        <row r="105">
          <cell r="B105" t="str">
            <v>الطلائع</v>
          </cell>
          <cell r="C105" t="str">
            <v>N0374</v>
          </cell>
        </row>
        <row r="106">
          <cell r="B106" t="str">
            <v>مخيم حندرات</v>
          </cell>
          <cell r="C106" t="str">
            <v>N0227</v>
          </cell>
        </row>
        <row r="107">
          <cell r="B107" t="str">
            <v>العسالي</v>
          </cell>
          <cell r="C107" t="str">
            <v>N0097</v>
          </cell>
        </row>
        <row r="108">
          <cell r="B108" t="str">
            <v>القدم الشرقي</v>
          </cell>
          <cell r="C108" t="str">
            <v>N0096</v>
          </cell>
        </row>
        <row r="109">
          <cell r="B109" t="str">
            <v>القدم</v>
          </cell>
          <cell r="C109" t="str">
            <v>N0094</v>
          </cell>
        </row>
        <row r="110">
          <cell r="B110" t="str">
            <v>جورة الشريباتي</v>
          </cell>
          <cell r="C110" t="str">
            <v>N0093</v>
          </cell>
        </row>
        <row r="111">
          <cell r="B111" t="str">
            <v>قلعة الشريف</v>
          </cell>
          <cell r="C111" t="str">
            <v>N0198</v>
          </cell>
        </row>
        <row r="112">
          <cell r="B112" t="str">
            <v>العجم</v>
          </cell>
          <cell r="C112" t="str">
            <v>N0190</v>
          </cell>
        </row>
        <row r="113">
          <cell r="B113" t="str">
            <v>أوغلو بك</v>
          </cell>
          <cell r="C113" t="str">
            <v>N0186</v>
          </cell>
        </row>
        <row r="114">
          <cell r="B114" t="str">
            <v>الأصيلة</v>
          </cell>
          <cell r="C114" t="str">
            <v>N0201</v>
          </cell>
        </row>
        <row r="115">
          <cell r="B115" t="str">
            <v>ساحة بزة</v>
          </cell>
          <cell r="C115" t="str">
            <v>N0199</v>
          </cell>
        </row>
        <row r="116">
          <cell r="B116" t="str">
            <v>الجلوم</v>
          </cell>
          <cell r="C116" t="str">
            <v>N0189</v>
          </cell>
        </row>
        <row r="117">
          <cell r="B117" t="str">
            <v>سوق المدينة القديم</v>
          </cell>
          <cell r="C117" t="str">
            <v>N0185</v>
          </cell>
        </row>
        <row r="118">
          <cell r="B118" t="str">
            <v>الفرافرة</v>
          </cell>
          <cell r="C118" t="str">
            <v>N0170</v>
          </cell>
        </row>
        <row r="119">
          <cell r="B119" t="str">
            <v>العقبة</v>
          </cell>
          <cell r="C119" t="str">
            <v>N0175</v>
          </cell>
        </row>
        <row r="120">
          <cell r="B120" t="str">
            <v>بياضة</v>
          </cell>
          <cell r="C120" t="str">
            <v>N0178</v>
          </cell>
        </row>
        <row r="121">
          <cell r="B121" t="str">
            <v>شيخ خضر</v>
          </cell>
          <cell r="C121" t="str">
            <v>N0134</v>
          </cell>
        </row>
        <row r="122">
          <cell r="B122" t="str">
            <v>تراب الحيلوك</v>
          </cell>
          <cell r="C122" t="str">
            <v>N0126</v>
          </cell>
        </row>
        <row r="123">
          <cell r="B123" t="str">
            <v>بعيدين</v>
          </cell>
          <cell r="C123" t="str">
            <v>N0125</v>
          </cell>
        </row>
        <row r="124">
          <cell r="B124" t="str">
            <v>حيدرية</v>
          </cell>
          <cell r="C124" t="str">
            <v>N0122</v>
          </cell>
        </row>
        <row r="125">
          <cell r="B125" t="str">
            <v>البياضة</v>
          </cell>
          <cell r="C125" t="str">
            <v>N0240</v>
          </cell>
        </row>
        <row r="126">
          <cell r="B126" t="str">
            <v>بابا عمرو</v>
          </cell>
          <cell r="C126" t="str">
            <v>N0268</v>
          </cell>
        </row>
        <row r="127">
          <cell r="B127" t="str">
            <v>ضاحية الوليد</v>
          </cell>
          <cell r="C127" t="str">
            <v>N0272</v>
          </cell>
        </row>
        <row r="128">
          <cell r="B128" t="str">
            <v>عكرمة</v>
          </cell>
          <cell r="C128" t="str">
            <v>N0267</v>
          </cell>
        </row>
        <row r="129">
          <cell r="B129" t="str">
            <v>كرم اللوز</v>
          </cell>
          <cell r="C129" t="str">
            <v>N0266</v>
          </cell>
        </row>
        <row r="130">
          <cell r="B130" t="str">
            <v>البعث</v>
          </cell>
          <cell r="C130" t="str">
            <v>N0335</v>
          </cell>
        </row>
        <row r="131">
          <cell r="B131" t="str">
            <v>السابع من نيسان</v>
          </cell>
          <cell r="C131" t="str">
            <v>N0337</v>
          </cell>
        </row>
        <row r="132">
          <cell r="B132" t="str">
            <v>تشرين</v>
          </cell>
          <cell r="C132" t="str">
            <v>N0334</v>
          </cell>
        </row>
        <row r="133">
          <cell r="B133" t="str">
            <v>أوغاريت</v>
          </cell>
          <cell r="C133" t="str">
            <v>N0330</v>
          </cell>
        </row>
        <row r="134">
          <cell r="B134" t="str">
            <v>بسنادا</v>
          </cell>
          <cell r="C134" t="str">
            <v>N0331</v>
          </cell>
        </row>
        <row r="135">
          <cell r="B135" t="str">
            <v>الشيخ ضاهر</v>
          </cell>
          <cell r="C135" t="str">
            <v>N0338</v>
          </cell>
        </row>
        <row r="136">
          <cell r="B136" t="str">
            <v>الصليبة</v>
          </cell>
          <cell r="C136" t="str">
            <v>N0344</v>
          </cell>
        </row>
        <row r="137">
          <cell r="B137" t="str">
            <v>الطابيات</v>
          </cell>
          <cell r="C137" t="str">
            <v>N0343</v>
          </cell>
        </row>
        <row r="138">
          <cell r="B138" t="str">
            <v>القدس</v>
          </cell>
          <cell r="C138" t="str">
            <v>N0342</v>
          </cell>
        </row>
        <row r="139">
          <cell r="B139" t="str">
            <v>الجمهورية</v>
          </cell>
          <cell r="C139" t="str">
            <v>N0336</v>
          </cell>
        </row>
        <row r="140">
          <cell r="B140" t="str">
            <v>الأسد</v>
          </cell>
          <cell r="C140" t="str">
            <v>N0328</v>
          </cell>
        </row>
        <row r="141">
          <cell r="B141" t="str">
            <v>سقوبين</v>
          </cell>
          <cell r="C141" t="str">
            <v>N0329</v>
          </cell>
        </row>
        <row r="142">
          <cell r="B142" t="str">
            <v>سنجوان</v>
          </cell>
          <cell r="C142" t="str">
            <v>N0332</v>
          </cell>
        </row>
        <row r="143">
          <cell r="B143" t="str">
            <v>الشرقي</v>
          </cell>
          <cell r="C143" t="str">
            <v>N0358</v>
          </cell>
        </row>
        <row r="144">
          <cell r="B144" t="str">
            <v>مركز المدينة</v>
          </cell>
          <cell r="C144" t="str">
            <v>N0356</v>
          </cell>
        </row>
        <row r="145">
          <cell r="B145" t="str">
            <v>الشمالي</v>
          </cell>
          <cell r="C145" t="str">
            <v>N0355</v>
          </cell>
        </row>
        <row r="146">
          <cell r="B146" t="str">
            <v>الغربي</v>
          </cell>
          <cell r="C146" t="str">
            <v>N0357</v>
          </cell>
        </row>
        <row r="147">
          <cell r="B147" t="str">
            <v>الجنوبي</v>
          </cell>
          <cell r="C147" t="str">
            <v>N0359</v>
          </cell>
        </row>
        <row r="148">
          <cell r="B148" t="str">
            <v>الشهداء</v>
          </cell>
          <cell r="C148" t="str">
            <v>N0502</v>
          </cell>
        </row>
        <row r="149">
          <cell r="B149" t="str">
            <v>الزهراء</v>
          </cell>
          <cell r="C149" t="str">
            <v>N0498</v>
          </cell>
        </row>
        <row r="150">
          <cell r="B150" t="str">
            <v>ميسلون</v>
          </cell>
          <cell r="C150" t="str">
            <v>N0497</v>
          </cell>
        </row>
        <row r="151">
          <cell r="B151" t="str">
            <v>حطين</v>
          </cell>
          <cell r="C151" t="str">
            <v>N0499</v>
          </cell>
        </row>
        <row r="152">
          <cell r="B152" t="str">
            <v>غرناطة</v>
          </cell>
          <cell r="C152" t="str">
            <v>N0504</v>
          </cell>
        </row>
        <row r="153">
          <cell r="B153" t="str">
            <v>القنيطرة</v>
          </cell>
          <cell r="C153" t="str">
            <v>N0503</v>
          </cell>
        </row>
        <row r="154">
          <cell r="B154" t="str">
            <v>المنطقة الصناعية</v>
          </cell>
          <cell r="C154" t="str">
            <v>N0500</v>
          </cell>
        </row>
        <row r="155">
          <cell r="B155" t="str">
            <v>السد</v>
          </cell>
          <cell r="C155" t="str">
            <v>N0508</v>
          </cell>
        </row>
        <row r="156">
          <cell r="B156" t="str">
            <v>الكرك</v>
          </cell>
          <cell r="C156" t="str">
            <v>N0505</v>
          </cell>
        </row>
        <row r="157">
          <cell r="B157" t="str">
            <v>اليرموك</v>
          </cell>
          <cell r="C157" t="str">
            <v>N0509</v>
          </cell>
        </row>
        <row r="158">
          <cell r="B158" t="str">
            <v>العباسية</v>
          </cell>
          <cell r="C158" t="str">
            <v>N0507</v>
          </cell>
        </row>
        <row r="159">
          <cell r="B159" t="str">
            <v>المنشية</v>
          </cell>
          <cell r="C159" t="str">
            <v>N0506</v>
          </cell>
        </row>
        <row r="160">
          <cell r="B160" t="str">
            <v>القادسية</v>
          </cell>
          <cell r="C160" t="str">
            <v>N0501</v>
          </cell>
        </row>
        <row r="161">
          <cell r="B161" t="str">
            <v>الأربعين</v>
          </cell>
          <cell r="C161" t="str">
            <v>N0510</v>
          </cell>
        </row>
        <row r="162">
          <cell r="B162" t="str">
            <v>البحار</v>
          </cell>
          <cell r="C162" t="str">
            <v>N0511</v>
          </cell>
        </row>
        <row r="163">
          <cell r="B163" t="str">
            <v>الأمويين</v>
          </cell>
          <cell r="C163" t="str">
            <v>N0496</v>
          </cell>
        </row>
        <row r="164">
          <cell r="B164" t="str">
            <v>البعث</v>
          </cell>
          <cell r="C164" t="str">
            <v>N0494</v>
          </cell>
        </row>
        <row r="165">
          <cell r="B165" t="str">
            <v>تشرين</v>
          </cell>
          <cell r="C165" t="str">
            <v>N0493</v>
          </cell>
        </row>
        <row r="166">
          <cell r="B166" t="str">
            <v>الثورة</v>
          </cell>
          <cell r="C166" t="str">
            <v>N0495</v>
          </cell>
        </row>
        <row r="167">
          <cell r="B167" t="str">
            <v>الشهيد باسل الأسد</v>
          </cell>
          <cell r="C167" t="str">
            <v>N0492</v>
          </cell>
        </row>
        <row r="168">
          <cell r="B168" t="str">
            <v>الضاهرية</v>
          </cell>
          <cell r="C168" t="str">
            <v>N0283</v>
          </cell>
        </row>
        <row r="169">
          <cell r="B169" t="str">
            <v>كازو</v>
          </cell>
          <cell r="C169" t="str">
            <v>N0289</v>
          </cell>
        </row>
        <row r="170">
          <cell r="B170" t="str">
            <v>البعث</v>
          </cell>
          <cell r="C170" t="str">
            <v>N0297</v>
          </cell>
        </row>
        <row r="171">
          <cell r="B171" t="str">
            <v>الأندلس</v>
          </cell>
          <cell r="C171" t="str">
            <v>N0308</v>
          </cell>
        </row>
        <row r="172">
          <cell r="B172" t="str">
            <v>الجلاء</v>
          </cell>
          <cell r="C172" t="str">
            <v>N0312</v>
          </cell>
        </row>
        <row r="173">
          <cell r="B173" t="str">
            <v>النصر</v>
          </cell>
          <cell r="C173" t="str">
            <v>N0316</v>
          </cell>
        </row>
        <row r="174">
          <cell r="B174" t="str">
            <v>أبي الفداء</v>
          </cell>
          <cell r="C174" t="str">
            <v>N0317</v>
          </cell>
        </row>
        <row r="175">
          <cell r="B175" t="str">
            <v>الرياضي</v>
          </cell>
          <cell r="C175" t="str">
            <v>N0314</v>
          </cell>
        </row>
        <row r="176">
          <cell r="B176" t="str">
            <v>الشريعة</v>
          </cell>
          <cell r="C176" t="str">
            <v>N0309</v>
          </cell>
        </row>
        <row r="177">
          <cell r="B177" t="str">
            <v>صابونية</v>
          </cell>
          <cell r="C177" t="str">
            <v>N0313</v>
          </cell>
        </row>
        <row r="178">
          <cell r="B178" t="str">
            <v>العليليات</v>
          </cell>
          <cell r="C178" t="str">
            <v>N0307</v>
          </cell>
        </row>
        <row r="179">
          <cell r="B179" t="str">
            <v>الفراية</v>
          </cell>
          <cell r="C179" t="str">
            <v>N0311</v>
          </cell>
        </row>
        <row r="180">
          <cell r="B180" t="str">
            <v>المحالبة</v>
          </cell>
          <cell r="C180" t="str">
            <v>N0310</v>
          </cell>
        </row>
        <row r="181">
          <cell r="B181" t="str">
            <v>الحوارنة</v>
          </cell>
          <cell r="C181" t="str">
            <v>N0305</v>
          </cell>
        </row>
        <row r="182">
          <cell r="B182" t="str">
            <v>الدباغة</v>
          </cell>
          <cell r="C182" t="str">
            <v>N0304</v>
          </cell>
        </row>
        <row r="183">
          <cell r="B183" t="str">
            <v>باب القبلي</v>
          </cell>
          <cell r="C183" t="str">
            <v>N0303</v>
          </cell>
        </row>
        <row r="184">
          <cell r="B184" t="str">
            <v>المدينة</v>
          </cell>
          <cell r="C184" t="str">
            <v>N0299</v>
          </cell>
        </row>
        <row r="185">
          <cell r="B185" t="str">
            <v>الزنبقي</v>
          </cell>
          <cell r="C185" t="str">
            <v>N0298</v>
          </cell>
        </row>
        <row r="186">
          <cell r="B186" t="str">
            <v>الشمالية</v>
          </cell>
          <cell r="C186" t="str">
            <v>N0294</v>
          </cell>
        </row>
        <row r="187">
          <cell r="B187" t="str">
            <v>البارودية</v>
          </cell>
          <cell r="C187" t="str">
            <v>N0301</v>
          </cell>
        </row>
        <row r="188">
          <cell r="B188" t="str">
            <v>الحميدية</v>
          </cell>
          <cell r="C188" t="str">
            <v>N0292</v>
          </cell>
        </row>
        <row r="189">
          <cell r="B189" t="str">
            <v>غرناطة</v>
          </cell>
          <cell r="C189" t="str">
            <v>N0291</v>
          </cell>
        </row>
        <row r="190">
          <cell r="B190" t="str">
            <v>الصناعة</v>
          </cell>
          <cell r="C190" t="str">
            <v>N0300</v>
          </cell>
        </row>
        <row r="191">
          <cell r="B191" t="str">
            <v>سوق الغنم</v>
          </cell>
          <cell r="C191" t="str">
            <v>N0286</v>
          </cell>
        </row>
        <row r="192">
          <cell r="B192" t="str">
            <v>الفيحاء</v>
          </cell>
          <cell r="C192" t="str">
            <v>N0287</v>
          </cell>
        </row>
        <row r="193">
          <cell r="B193" t="str">
            <v>السبيل</v>
          </cell>
          <cell r="C193" t="str">
            <v>N0285</v>
          </cell>
        </row>
        <row r="194">
          <cell r="B194" t="str">
            <v>العائدين</v>
          </cell>
          <cell r="C194" t="str">
            <v>N0290</v>
          </cell>
        </row>
        <row r="195">
          <cell r="B195" t="str">
            <v>الشهباء</v>
          </cell>
          <cell r="C195" t="str">
            <v>N0288</v>
          </cell>
        </row>
        <row r="196">
          <cell r="B196" t="str">
            <v>تشرين</v>
          </cell>
          <cell r="C196" t="str">
            <v>N0284</v>
          </cell>
        </row>
        <row r="197">
          <cell r="B197" t="str">
            <v>الجراجمة</v>
          </cell>
          <cell r="C197" t="str">
            <v>N0293</v>
          </cell>
        </row>
        <row r="198">
          <cell r="B198" t="str">
            <v>الحرية_ المحافظة</v>
          </cell>
          <cell r="C198" t="str">
            <v>N0295</v>
          </cell>
        </row>
        <row r="199">
          <cell r="B199" t="str">
            <v>عين اللوزة</v>
          </cell>
          <cell r="C199" t="str">
            <v>N0315</v>
          </cell>
        </row>
        <row r="200">
          <cell r="B200" t="str">
            <v>سوق الشجرة</v>
          </cell>
          <cell r="C200" t="str">
            <v>N0306</v>
          </cell>
        </row>
        <row r="201">
          <cell r="B201" t="str">
            <v>باب الجسر</v>
          </cell>
          <cell r="C201" t="str">
            <v>N0296</v>
          </cell>
        </row>
        <row r="202">
          <cell r="B202" t="str">
            <v>الباشورة</v>
          </cell>
          <cell r="C202" t="str">
            <v>N0302</v>
          </cell>
        </row>
        <row r="203">
          <cell r="B203" t="str">
            <v>الوحدة</v>
          </cell>
          <cell r="C203" t="str">
            <v>N0522</v>
          </cell>
        </row>
        <row r="204">
          <cell r="B204" t="str">
            <v>النهضة</v>
          </cell>
          <cell r="C204" t="str">
            <v>N0525</v>
          </cell>
        </row>
        <row r="205">
          <cell r="B205" t="str">
            <v>الشهداء</v>
          </cell>
          <cell r="C205" t="str">
            <v>N0528</v>
          </cell>
        </row>
        <row r="206">
          <cell r="B206" t="str">
            <v>الفرسان</v>
          </cell>
          <cell r="C206" t="str">
            <v>N0529</v>
          </cell>
        </row>
        <row r="207">
          <cell r="B207" t="str">
            <v>الاستقلال</v>
          </cell>
          <cell r="C207" t="str">
            <v>N0531</v>
          </cell>
        </row>
        <row r="208">
          <cell r="B208" t="str">
            <v>الثورة</v>
          </cell>
          <cell r="C208" t="str">
            <v>N0530</v>
          </cell>
        </row>
        <row r="209">
          <cell r="B209" t="str">
            <v>الجهاد</v>
          </cell>
          <cell r="C209" t="str">
            <v>N0527</v>
          </cell>
        </row>
        <row r="210">
          <cell r="B210" t="str">
            <v>الجولان</v>
          </cell>
          <cell r="C210" t="str">
            <v>N0526</v>
          </cell>
        </row>
        <row r="211">
          <cell r="B211" t="str">
            <v>المزرعة</v>
          </cell>
          <cell r="C211" t="str">
            <v>N0523</v>
          </cell>
        </row>
        <row r="212">
          <cell r="B212" t="str">
            <v>المينة</v>
          </cell>
          <cell r="C212" t="str">
            <v>N0442</v>
          </cell>
        </row>
        <row r="213">
          <cell r="B213" t="str">
            <v>الكرامة</v>
          </cell>
          <cell r="C213" t="str">
            <v>N0443</v>
          </cell>
        </row>
        <row r="214">
          <cell r="B214" t="str">
            <v>الرمال</v>
          </cell>
          <cell r="C214" t="str">
            <v>N0446</v>
          </cell>
        </row>
        <row r="215">
          <cell r="B215" t="str">
            <v>الغمقة</v>
          </cell>
          <cell r="C215" t="str">
            <v>N0447</v>
          </cell>
        </row>
        <row r="216">
          <cell r="B216" t="str">
            <v>الملعب</v>
          </cell>
          <cell r="C216" t="str">
            <v>N0441</v>
          </cell>
        </row>
        <row r="217">
          <cell r="B217" t="str">
            <v>الحمرات</v>
          </cell>
          <cell r="C217" t="str">
            <v>N0444</v>
          </cell>
        </row>
        <row r="218">
          <cell r="B218" t="str">
            <v>الرابية</v>
          </cell>
          <cell r="C218" t="str">
            <v>N0440</v>
          </cell>
        </row>
        <row r="219">
          <cell r="B219" t="str">
            <v>المحطة</v>
          </cell>
          <cell r="C219" t="str">
            <v>N0445</v>
          </cell>
        </row>
        <row r="220">
          <cell r="B220" t="str">
            <v>الجنوبي-الرادار</v>
          </cell>
          <cell r="C220" t="str">
            <v>N0448</v>
          </cell>
        </row>
        <row r="221">
          <cell r="B221" t="str">
            <v>حطين</v>
          </cell>
          <cell r="C221" t="str">
            <v>N0110</v>
          </cell>
        </row>
        <row r="222">
          <cell r="B222" t="str">
            <v>وادي الذهب</v>
          </cell>
          <cell r="C222" t="str">
            <v>N0271</v>
          </cell>
        </row>
        <row r="223">
          <cell r="B223" t="str">
            <v>كرم شمشم</v>
          </cell>
          <cell r="C223" t="str">
            <v>N0248</v>
          </cell>
        </row>
        <row r="224">
          <cell r="B224" t="str">
            <v>الزهراء</v>
          </cell>
          <cell r="C224" t="str">
            <v>N0253</v>
          </cell>
        </row>
        <row r="225">
          <cell r="B225" t="str">
            <v>العباسية-المهاجرين</v>
          </cell>
          <cell r="C225" t="str">
            <v>N0247</v>
          </cell>
        </row>
        <row r="226">
          <cell r="B226" t="str">
            <v>السبيل</v>
          </cell>
          <cell r="C226" t="str">
            <v>N0245</v>
          </cell>
        </row>
        <row r="227">
          <cell r="B227" t="str">
            <v>الأرمن</v>
          </cell>
          <cell r="C227" t="str">
            <v>N0269</v>
          </cell>
        </row>
        <row r="228">
          <cell r="B228" t="str">
            <v>الحميدية</v>
          </cell>
          <cell r="C228" t="str">
            <v>N0249</v>
          </cell>
        </row>
        <row r="229">
          <cell r="B229" t="str">
            <v>خالدية</v>
          </cell>
          <cell r="C229" t="str">
            <v>N0239</v>
          </cell>
        </row>
        <row r="230">
          <cell r="B230" t="str">
            <v>جورة الشياح</v>
          </cell>
          <cell r="C230" t="str">
            <v>N0244</v>
          </cell>
        </row>
        <row r="231">
          <cell r="B231" t="str">
            <v>القصور</v>
          </cell>
          <cell r="C231" t="str">
            <v>N0243</v>
          </cell>
        </row>
        <row r="232">
          <cell r="B232" t="str">
            <v>باب هود</v>
          </cell>
          <cell r="C232" t="str">
            <v>N0254</v>
          </cell>
        </row>
        <row r="233">
          <cell r="B233" t="str">
            <v>المحطة</v>
          </cell>
          <cell r="C233" t="str">
            <v>N0259</v>
          </cell>
        </row>
        <row r="234">
          <cell r="B234" t="str">
            <v>البغطاسية</v>
          </cell>
          <cell r="C234" t="str">
            <v>N0251</v>
          </cell>
        </row>
        <row r="235">
          <cell r="B235" t="str">
            <v>الغوطة</v>
          </cell>
          <cell r="C235" t="str">
            <v>N0250</v>
          </cell>
        </row>
        <row r="236">
          <cell r="B236" t="str">
            <v>الفردوس</v>
          </cell>
          <cell r="C236" t="str">
            <v>N0262</v>
          </cell>
        </row>
        <row r="237">
          <cell r="B237" t="str">
            <v>بني السباعي</v>
          </cell>
          <cell r="C237" t="str">
            <v>N0255</v>
          </cell>
        </row>
        <row r="238">
          <cell r="B238" t="str">
            <v>باب السباع</v>
          </cell>
          <cell r="C238" t="str">
            <v>N0260</v>
          </cell>
        </row>
        <row r="239">
          <cell r="B239" t="str">
            <v>الخضر</v>
          </cell>
          <cell r="C239" t="str">
            <v>N0263</v>
          </cell>
        </row>
        <row r="240">
          <cell r="B240" t="str">
            <v>كرم الشامي</v>
          </cell>
          <cell r="C240" t="str">
            <v>N0270</v>
          </cell>
        </row>
        <row r="241">
          <cell r="B241" t="str">
            <v>باب الدريب</v>
          </cell>
          <cell r="C241" t="str">
            <v>N0256</v>
          </cell>
        </row>
        <row r="242">
          <cell r="B242" t="str">
            <v>جمال الدين</v>
          </cell>
          <cell r="C242" t="str">
            <v>N0257</v>
          </cell>
        </row>
        <row r="243">
          <cell r="B243" t="str">
            <v>جب الجندلي</v>
          </cell>
          <cell r="C243" t="str">
            <v>N0258</v>
          </cell>
        </row>
        <row r="244">
          <cell r="B244" t="str">
            <v>المريجة</v>
          </cell>
          <cell r="C244" t="str">
            <v>N0261</v>
          </cell>
        </row>
        <row r="245">
          <cell r="B245" t="str">
            <v>النزهة</v>
          </cell>
          <cell r="C245" t="str">
            <v>N0265</v>
          </cell>
        </row>
        <row r="246">
          <cell r="B246" t="str">
            <v>كرم الزيتون</v>
          </cell>
          <cell r="C246" t="str">
            <v>N0264</v>
          </cell>
        </row>
        <row r="247">
          <cell r="B247" t="str">
            <v>باب تدمر</v>
          </cell>
          <cell r="C247" t="str">
            <v>N0252</v>
          </cell>
        </row>
        <row r="248">
          <cell r="B248" t="str">
            <v>الحصوية</v>
          </cell>
          <cell r="C248" t="str">
            <v>N0238</v>
          </cell>
        </row>
        <row r="249">
          <cell r="B249" t="str">
            <v>الميماس</v>
          </cell>
          <cell r="C249" t="str">
            <v>N0242</v>
          </cell>
        </row>
        <row r="250">
          <cell r="B250" t="str">
            <v>الوعر</v>
          </cell>
          <cell r="C250" t="str">
            <v>N0246</v>
          </cell>
        </row>
        <row r="251">
          <cell r="B251" t="str">
            <v>دير بعلبة الشمالي</v>
          </cell>
          <cell r="C251" t="str">
            <v>N0237</v>
          </cell>
        </row>
        <row r="252">
          <cell r="B252" t="str">
            <v>دير بعلبة الجنوبي</v>
          </cell>
          <cell r="C252" t="str">
            <v>N0241</v>
          </cell>
        </row>
        <row r="253">
          <cell r="B253" t="str">
            <v>عين التل</v>
          </cell>
          <cell r="C253" t="str">
            <v>N0120</v>
          </cell>
        </row>
        <row r="254">
          <cell r="B254" t="str">
            <v>هنانو</v>
          </cell>
          <cell r="C254" t="str">
            <v>N0129</v>
          </cell>
        </row>
        <row r="255">
          <cell r="B255" t="str">
            <v>جبل بدرو</v>
          </cell>
          <cell r="C255" t="str">
            <v>N0146</v>
          </cell>
        </row>
        <row r="256">
          <cell r="B256" t="str">
            <v>الباسل</v>
          </cell>
          <cell r="C256" t="str">
            <v>N0162</v>
          </cell>
        </row>
        <row r="257">
          <cell r="B257" t="str">
            <v>الصاخور</v>
          </cell>
          <cell r="C257" t="str">
            <v>N0139</v>
          </cell>
        </row>
        <row r="258">
          <cell r="B258" t="str">
            <v>باب قنيصرين</v>
          </cell>
          <cell r="C258" t="str">
            <v>N0200</v>
          </cell>
        </row>
        <row r="259">
          <cell r="B259" t="str">
            <v>التونبوغا</v>
          </cell>
          <cell r="C259" t="str">
            <v>N0192</v>
          </cell>
        </row>
        <row r="260">
          <cell r="B260" t="str">
            <v>كلاسة</v>
          </cell>
          <cell r="C260" t="str">
            <v>N0197</v>
          </cell>
        </row>
        <row r="261">
          <cell r="B261" t="str">
            <v>بستان القصر</v>
          </cell>
          <cell r="C261" t="str">
            <v>N0204</v>
          </cell>
        </row>
        <row r="262">
          <cell r="B262" t="str">
            <v>بستان الزهرة</v>
          </cell>
          <cell r="C262" t="str">
            <v>N0193</v>
          </cell>
        </row>
        <row r="263">
          <cell r="B263" t="str">
            <v>مشارقة</v>
          </cell>
          <cell r="C263" t="str">
            <v>N0182</v>
          </cell>
        </row>
        <row r="264">
          <cell r="B264" t="str">
            <v>جميلية</v>
          </cell>
          <cell r="C264" t="str">
            <v>N0161</v>
          </cell>
        </row>
        <row r="265">
          <cell r="B265" t="str">
            <v>الفيض</v>
          </cell>
          <cell r="C265" t="str">
            <v>N0173</v>
          </cell>
        </row>
        <row r="266">
          <cell r="B266" t="str">
            <v>العزيزية</v>
          </cell>
          <cell r="C266" t="str">
            <v>N0160</v>
          </cell>
        </row>
        <row r="267">
          <cell r="B267" t="str">
            <v>عروبة</v>
          </cell>
          <cell r="C267" t="str">
            <v>N0149</v>
          </cell>
        </row>
        <row r="268">
          <cell r="B268" t="str">
            <v>السليمانية</v>
          </cell>
          <cell r="C268" t="str">
            <v>N0140</v>
          </cell>
        </row>
        <row r="269">
          <cell r="B269" t="str">
            <v>بيت محب/ جديدة</v>
          </cell>
          <cell r="C269" t="str">
            <v>N0163</v>
          </cell>
        </row>
        <row r="270">
          <cell r="B270" t="str">
            <v>قصطل مشط</v>
          </cell>
          <cell r="C270" t="str">
            <v>N0165</v>
          </cell>
        </row>
        <row r="271">
          <cell r="B271" t="str">
            <v>الهزازة</v>
          </cell>
          <cell r="C271" t="str">
            <v>N0154</v>
          </cell>
        </row>
        <row r="272">
          <cell r="B272" t="str">
            <v>الحميدية</v>
          </cell>
          <cell r="C272" t="str">
            <v>N0150</v>
          </cell>
        </row>
        <row r="273">
          <cell r="B273" t="str">
            <v>الألمه جي</v>
          </cell>
          <cell r="C273" t="str">
            <v>N0158</v>
          </cell>
        </row>
        <row r="274">
          <cell r="B274" t="str">
            <v>جابرية</v>
          </cell>
          <cell r="C274" t="str">
            <v>N0145</v>
          </cell>
        </row>
        <row r="275">
          <cell r="B275" t="str">
            <v>شيخ أبو بكر</v>
          </cell>
          <cell r="C275" t="str">
            <v>N0147</v>
          </cell>
        </row>
        <row r="276">
          <cell r="B276" t="str">
            <v>الميدان</v>
          </cell>
          <cell r="C276" t="str">
            <v>N0138</v>
          </cell>
        </row>
        <row r="277">
          <cell r="B277" t="str">
            <v>العرقوب</v>
          </cell>
          <cell r="C277" t="str">
            <v>N0148</v>
          </cell>
        </row>
        <row r="278">
          <cell r="B278" t="str">
            <v>سليمان الحلبي</v>
          </cell>
          <cell r="C278" t="str">
            <v>N0142</v>
          </cell>
        </row>
        <row r="279">
          <cell r="B279" t="str">
            <v>بستان الباشا</v>
          </cell>
          <cell r="C279" t="str">
            <v>N0130</v>
          </cell>
        </row>
        <row r="280">
          <cell r="B280" t="str">
            <v>أغيول</v>
          </cell>
          <cell r="C280" t="str">
            <v>N0155</v>
          </cell>
        </row>
        <row r="281">
          <cell r="B281" t="str">
            <v>الضوضو</v>
          </cell>
          <cell r="C281" t="str">
            <v>N0188</v>
          </cell>
        </row>
        <row r="282">
          <cell r="B282" t="str">
            <v>البلاط</v>
          </cell>
          <cell r="C282" t="str">
            <v>N0191</v>
          </cell>
        </row>
        <row r="283">
          <cell r="B283" t="str">
            <v>أبراج</v>
          </cell>
          <cell r="C283" t="str">
            <v>N0171</v>
          </cell>
        </row>
        <row r="284">
          <cell r="B284" t="str">
            <v>صاجيليخان</v>
          </cell>
          <cell r="C284" t="str">
            <v>N0180</v>
          </cell>
        </row>
        <row r="285">
          <cell r="B285" t="str">
            <v>ابن يعقوب</v>
          </cell>
          <cell r="C285" t="str">
            <v>N0166</v>
          </cell>
        </row>
        <row r="286">
          <cell r="B286" t="str">
            <v>الدلالين
الدلالين
الدلالين</v>
          </cell>
          <cell r="C286" t="str">
            <v>N0164</v>
          </cell>
        </row>
        <row r="287">
          <cell r="B287" t="str">
            <v>تاترلار</v>
          </cell>
          <cell r="C287" t="str">
            <v>N0167</v>
          </cell>
        </row>
        <row r="288">
          <cell r="B288" t="str">
            <v>كرم القاطرجي</v>
          </cell>
          <cell r="C288" t="str">
            <v>N0177</v>
          </cell>
        </row>
        <row r="289">
          <cell r="B289" t="str">
            <v>كرم حومد</v>
          </cell>
          <cell r="C289" t="str">
            <v>N0196</v>
          </cell>
        </row>
        <row r="290">
          <cell r="B290" t="str">
            <v>الشعار</v>
          </cell>
          <cell r="C290" t="str">
            <v>N0156</v>
          </cell>
        </row>
        <row r="291">
          <cell r="B291" t="str">
            <v>جورة عواد</v>
          </cell>
          <cell r="C291" t="str">
            <v>N0168</v>
          </cell>
        </row>
        <row r="292">
          <cell r="B292" t="str">
            <v>قرلق</v>
          </cell>
          <cell r="C292" t="str">
            <v>N0159</v>
          </cell>
        </row>
        <row r="293">
          <cell r="B293" t="str">
            <v>كرم الجبل</v>
          </cell>
          <cell r="C293" t="str">
            <v>N0152</v>
          </cell>
        </row>
        <row r="294">
          <cell r="B294" t="str">
            <v>حلوانية</v>
          </cell>
          <cell r="C294" t="str">
            <v>N0157</v>
          </cell>
        </row>
        <row r="295">
          <cell r="B295" t="str">
            <v>ضهرة عواد</v>
          </cell>
          <cell r="C295" t="str">
            <v>N0179</v>
          </cell>
        </row>
        <row r="296">
          <cell r="B296" t="str">
            <v>كرم ميسر</v>
          </cell>
          <cell r="C296" t="str">
            <v>N0194</v>
          </cell>
        </row>
        <row r="297">
          <cell r="B297" t="str">
            <v>كرم الجزماتي</v>
          </cell>
          <cell r="C297" t="str">
            <v>N0187</v>
          </cell>
        </row>
        <row r="298">
          <cell r="B298" t="str">
            <v>سكن شبابي معصرانيه</v>
          </cell>
          <cell r="C298" t="str">
            <v>N0183</v>
          </cell>
        </row>
        <row r="299">
          <cell r="B299" t="str">
            <v>قاضي عسكر</v>
          </cell>
          <cell r="C299" t="str">
            <v>N0174</v>
          </cell>
        </row>
        <row r="300">
          <cell r="B300" t="str">
            <v>باب المقام</v>
          </cell>
          <cell r="C300" t="str">
            <v>N0207</v>
          </cell>
        </row>
        <row r="301">
          <cell r="B301" t="str">
            <v>كرم الدعدع</v>
          </cell>
          <cell r="C301" t="str">
            <v>N0217</v>
          </cell>
        </row>
        <row r="302">
          <cell r="B302" t="str">
            <v>فردوس</v>
          </cell>
          <cell r="C302" t="str">
            <v>N0209</v>
          </cell>
        </row>
        <row r="303">
          <cell r="B303" t="str">
            <v>مقر الأنبياء</v>
          </cell>
          <cell r="C303" t="str">
            <v>N0210</v>
          </cell>
        </row>
        <row r="304">
          <cell r="B304" t="str">
            <v>مرجة</v>
          </cell>
          <cell r="C304" t="str">
            <v>N0213</v>
          </cell>
        </row>
        <row r="305">
          <cell r="B305" t="str">
            <v>النيرب</v>
          </cell>
          <cell r="C305" t="str">
            <v>N0223</v>
          </cell>
        </row>
        <row r="306">
          <cell r="B306" t="str">
            <v>منطقة صناعية جبرين</v>
          </cell>
          <cell r="C306" t="str">
            <v>N0206</v>
          </cell>
        </row>
        <row r="307">
          <cell r="B307" t="str">
            <v>جبرين</v>
          </cell>
          <cell r="C307" t="str">
            <v>N0212</v>
          </cell>
        </row>
        <row r="308">
          <cell r="B308" t="str">
            <v>شيخ سعيد</v>
          </cell>
          <cell r="C308" t="str">
            <v>N0225</v>
          </cell>
        </row>
        <row r="309">
          <cell r="B309" t="str">
            <v>صالحين</v>
          </cell>
          <cell r="C309" t="str">
            <v>N0211</v>
          </cell>
        </row>
        <row r="310">
          <cell r="B310" t="str">
            <v>محمد بك</v>
          </cell>
          <cell r="C310" t="str">
            <v>N0205</v>
          </cell>
        </row>
        <row r="311">
          <cell r="B311" t="str">
            <v>الأنصاري</v>
          </cell>
          <cell r="C311" t="str">
            <v>N0195</v>
          </cell>
        </row>
        <row r="312">
          <cell r="B312" t="str">
            <v>الزبدية</v>
          </cell>
          <cell r="C312" t="str">
            <v>N0208</v>
          </cell>
        </row>
        <row r="313">
          <cell r="B313" t="str">
            <v>الأنصاري شرقي</v>
          </cell>
          <cell r="C313" t="str">
            <v>N0215</v>
          </cell>
        </row>
        <row r="314">
          <cell r="B314" t="str">
            <v>السكري</v>
          </cell>
          <cell r="C314" t="str">
            <v>N0219</v>
          </cell>
        </row>
        <row r="315">
          <cell r="B315" t="str">
            <v>الأنصاري مشهد</v>
          </cell>
          <cell r="C315" t="str">
            <v>N0218</v>
          </cell>
        </row>
        <row r="316">
          <cell r="B316" t="str">
            <v>تل الزرازير</v>
          </cell>
          <cell r="C316" t="str">
            <v>N0224</v>
          </cell>
        </row>
        <row r="317">
          <cell r="B317" t="str">
            <v>الأميرية</v>
          </cell>
          <cell r="C317" t="str">
            <v>N0222</v>
          </cell>
        </row>
        <row r="318">
          <cell r="B318" t="str">
            <v>أرض الصباغ</v>
          </cell>
          <cell r="C318" t="str">
            <v>N0220</v>
          </cell>
        </row>
        <row r="319">
          <cell r="B319" t="str">
            <v>صلاح الدين</v>
          </cell>
          <cell r="C319" t="str">
            <v>N0214</v>
          </cell>
        </row>
        <row r="320">
          <cell r="B320" t="str">
            <v>سيف الدولة</v>
          </cell>
          <cell r="C320" t="str">
            <v>N0203</v>
          </cell>
        </row>
        <row r="321">
          <cell r="B321" t="str">
            <v>الأعظمية</v>
          </cell>
          <cell r="C321" t="str">
            <v>N0202</v>
          </cell>
        </row>
        <row r="322">
          <cell r="B322" t="str">
            <v>الحمدانية</v>
          </cell>
          <cell r="C322" t="str">
            <v>N0216</v>
          </cell>
        </row>
        <row r="323">
          <cell r="B323" t="str">
            <v>تشرين</v>
          </cell>
          <cell r="C323" t="str">
            <v>N0221</v>
          </cell>
        </row>
        <row r="324">
          <cell r="B324" t="str">
            <v>الراموسة/ المنطقة الصناعية</v>
          </cell>
          <cell r="C324" t="str">
            <v>N0226</v>
          </cell>
        </row>
        <row r="325">
          <cell r="B325" t="str">
            <v>الكواكبي</v>
          </cell>
          <cell r="C325" t="str">
            <v>N0169</v>
          </cell>
        </row>
        <row r="326">
          <cell r="B326" t="str">
            <v>الفرقان</v>
          </cell>
          <cell r="C326" t="str">
            <v>N0176</v>
          </cell>
        </row>
        <row r="327">
          <cell r="B327" t="str">
            <v>الغزالي</v>
          </cell>
          <cell r="C327" t="str">
            <v>N0181</v>
          </cell>
        </row>
        <row r="328">
          <cell r="B328" t="str">
            <v>جامعة حلب</v>
          </cell>
          <cell r="C328" t="str">
            <v>N0153</v>
          </cell>
        </row>
        <row r="329">
          <cell r="B329" t="str">
            <v>المحافظة</v>
          </cell>
          <cell r="C329" t="str">
            <v>N0151</v>
          </cell>
        </row>
        <row r="330">
          <cell r="B330" t="str">
            <v>السبيل</v>
          </cell>
          <cell r="C330" t="str">
            <v>N0143</v>
          </cell>
        </row>
        <row r="331">
          <cell r="B331" t="str">
            <v>الشهباء</v>
          </cell>
          <cell r="C331" t="str">
            <v>N0144</v>
          </cell>
        </row>
        <row r="332">
          <cell r="B332" t="str">
            <v>الأندلس</v>
          </cell>
          <cell r="C332" t="str">
            <v>N0133</v>
          </cell>
        </row>
        <row r="333">
          <cell r="B333" t="str">
            <v>شارع النيل</v>
          </cell>
          <cell r="C333" t="str">
            <v>N0131</v>
          </cell>
        </row>
        <row r="334">
          <cell r="B334" t="str">
            <v>خالدية</v>
          </cell>
          <cell r="C334" t="str">
            <v>N0127</v>
          </cell>
        </row>
        <row r="335">
          <cell r="B335" t="str">
            <v>الزهراء</v>
          </cell>
          <cell r="C335" t="str">
            <v>N0135</v>
          </cell>
        </row>
        <row r="336">
          <cell r="B336" t="str">
            <v>حلب الجديدة</v>
          </cell>
          <cell r="C336" t="str">
            <v>N0184</v>
          </cell>
        </row>
        <row r="337">
          <cell r="B337" t="str">
            <v>الشهداء</v>
          </cell>
          <cell r="C337" t="str">
            <v>N0172</v>
          </cell>
        </row>
        <row r="338">
          <cell r="B338" t="str">
            <v>حي السريان</v>
          </cell>
          <cell r="C338" t="str">
            <v>N0141</v>
          </cell>
        </row>
        <row r="339">
          <cell r="B339" t="str">
            <v>طارق بن زياد</v>
          </cell>
          <cell r="C339" t="str">
            <v>N0136</v>
          </cell>
        </row>
        <row r="340">
          <cell r="B340" t="str">
            <v>الزهور</v>
          </cell>
          <cell r="C340" t="str">
            <v>N0137</v>
          </cell>
        </row>
        <row r="341">
          <cell r="B341" t="str">
            <v>الأشرفية</v>
          </cell>
          <cell r="C341" t="str">
            <v>N0128</v>
          </cell>
        </row>
        <row r="342">
          <cell r="B342" t="str">
            <v>رصافة</v>
          </cell>
          <cell r="C342" t="str">
            <v>N0124</v>
          </cell>
        </row>
        <row r="343">
          <cell r="B343" t="str">
            <v>السكن الشبابي</v>
          </cell>
          <cell r="C343" t="str">
            <v>N0119</v>
          </cell>
        </row>
        <row r="344">
          <cell r="B344" t="str">
            <v>الليرمون</v>
          </cell>
          <cell r="C344" t="str">
            <v>N0121</v>
          </cell>
        </row>
        <row r="345">
          <cell r="B345" t="str">
            <v>الشيخ مقصود</v>
          </cell>
          <cell r="C345" t="str">
            <v>N0123</v>
          </cell>
        </row>
        <row r="346">
          <cell r="B346" t="str">
            <v>شيخ فارس</v>
          </cell>
          <cell r="C346" t="str">
            <v>N0132</v>
          </cell>
        </row>
        <row r="347">
          <cell r="B347" t="str">
            <v>الغزل</v>
          </cell>
          <cell r="C347" t="str">
            <v>N0381</v>
          </cell>
        </row>
        <row r="348">
          <cell r="B348" t="str">
            <v>المشفى الوطني</v>
          </cell>
          <cell r="C348" t="str">
            <v>N0383</v>
          </cell>
        </row>
        <row r="349">
          <cell r="B349" t="str">
            <v>المطار الشمالي</v>
          </cell>
          <cell r="C349" t="str">
            <v>N0382</v>
          </cell>
        </row>
        <row r="350">
          <cell r="B350" t="str">
            <v>المطار الجنوبي</v>
          </cell>
          <cell r="C350" t="str">
            <v>N0388</v>
          </cell>
        </row>
        <row r="351">
          <cell r="B351" t="str">
            <v>العسكري</v>
          </cell>
          <cell r="C351" t="str">
            <v>N0387</v>
          </cell>
        </row>
        <row r="352">
          <cell r="B352" t="str">
            <v>الملعب البلدي</v>
          </cell>
          <cell r="C352" t="str">
            <v>N0385</v>
          </cell>
        </row>
        <row r="353">
          <cell r="B353" t="str">
            <v>الوسطي</v>
          </cell>
          <cell r="C353" t="str">
            <v>N0386</v>
          </cell>
        </row>
        <row r="354">
          <cell r="B354" t="str">
            <v>الثورة</v>
          </cell>
          <cell r="C354" t="str">
            <v>N0390</v>
          </cell>
        </row>
        <row r="355">
          <cell r="B355" t="str">
            <v>16 تشرين</v>
          </cell>
          <cell r="C355" t="str">
            <v>N0392</v>
          </cell>
        </row>
        <row r="356">
          <cell r="B356" t="str">
            <v>المدينة الرياضية</v>
          </cell>
          <cell r="C356" t="str">
            <v>N0394</v>
          </cell>
        </row>
        <row r="357">
          <cell r="B357" t="str">
            <v>التقدم</v>
          </cell>
          <cell r="C357" t="str">
            <v>N0397</v>
          </cell>
        </row>
        <row r="358">
          <cell r="B358" t="str">
            <v>الصناعي</v>
          </cell>
          <cell r="C358" t="str">
            <v>N0400</v>
          </cell>
        </row>
        <row r="359">
          <cell r="B359" t="str">
            <v>الليلية</v>
          </cell>
          <cell r="C359" t="str">
            <v>N0395</v>
          </cell>
        </row>
        <row r="360">
          <cell r="B360" t="str">
            <v>المساكن</v>
          </cell>
          <cell r="C360" t="str">
            <v>N0391</v>
          </cell>
        </row>
        <row r="361">
          <cell r="B361" t="str">
            <v>الخابور</v>
          </cell>
          <cell r="C361" t="str">
            <v>N0389</v>
          </cell>
        </row>
        <row r="362">
          <cell r="B362" t="str">
            <v>الرصافة</v>
          </cell>
          <cell r="C362" t="str">
            <v>N0396</v>
          </cell>
        </row>
        <row r="363">
          <cell r="B363" t="str">
            <v>الفيلات</v>
          </cell>
          <cell r="C363" t="str">
            <v>N0398</v>
          </cell>
        </row>
        <row r="364">
          <cell r="B364" t="str">
            <v>أبو عمشة</v>
          </cell>
          <cell r="C364" t="str">
            <v>N0384</v>
          </cell>
        </row>
        <row r="365">
          <cell r="B365" t="str">
            <v>أبو بكر</v>
          </cell>
          <cell r="C365" t="str">
            <v>N0393</v>
          </cell>
        </row>
        <row r="366">
          <cell r="B366" t="str">
            <v>الزهور</v>
          </cell>
          <cell r="C366" t="str">
            <v>N0399</v>
          </cell>
        </row>
        <row r="367">
          <cell r="B367" t="str">
            <v>الصالحية</v>
          </cell>
          <cell r="C367" t="str">
            <v>N0379</v>
          </cell>
        </row>
        <row r="368">
          <cell r="B368" t="str">
            <v>المفتي</v>
          </cell>
          <cell r="C368" t="str">
            <v>N0377</v>
          </cell>
        </row>
        <row r="369">
          <cell r="B369" t="str">
            <v>ميسلون</v>
          </cell>
          <cell r="C369" t="str">
            <v>N0428</v>
          </cell>
        </row>
        <row r="370">
          <cell r="B370" t="str">
            <v>حطين</v>
          </cell>
          <cell r="C370" t="str">
            <v>N0426</v>
          </cell>
        </row>
        <row r="371">
          <cell r="B371" t="str">
            <v>الحميدية</v>
          </cell>
          <cell r="C371" t="str">
            <v>N0425</v>
          </cell>
        </row>
        <row r="372">
          <cell r="B372" t="str">
            <v>الشهداء</v>
          </cell>
          <cell r="C372" t="str">
            <v>N0424</v>
          </cell>
        </row>
        <row r="373">
          <cell r="B373" t="str">
            <v>البعاجين</v>
          </cell>
          <cell r="C373" t="str">
            <v>N0421</v>
          </cell>
        </row>
        <row r="374">
          <cell r="B374" t="str">
            <v>علي بك وعبد العزيز</v>
          </cell>
          <cell r="C374" t="str">
            <v>N0423</v>
          </cell>
        </row>
        <row r="375">
          <cell r="B375" t="str">
            <v>الشيخ ياسين</v>
          </cell>
          <cell r="C375" t="str">
            <v>N0420</v>
          </cell>
        </row>
        <row r="376">
          <cell r="B376" t="str">
            <v>أبو عابد</v>
          </cell>
          <cell r="C376" t="str">
            <v>N0422</v>
          </cell>
        </row>
        <row r="377">
          <cell r="B377" t="str">
            <v>القصور</v>
          </cell>
          <cell r="C377" t="str">
            <v>N0419</v>
          </cell>
        </row>
        <row r="378">
          <cell r="B378" t="str">
            <v>الرشدية</v>
          </cell>
          <cell r="C378" t="str">
            <v>N0418</v>
          </cell>
        </row>
        <row r="379">
          <cell r="B379" t="str">
            <v>الثورة_ الجورة</v>
          </cell>
          <cell r="C379" t="str">
            <v>N0413</v>
          </cell>
        </row>
        <row r="380">
          <cell r="B380" t="str">
            <v>العثمانية</v>
          </cell>
          <cell r="C380" t="str">
            <v>N0415</v>
          </cell>
        </row>
        <row r="381">
          <cell r="B381" t="str">
            <v>المهاجرين</v>
          </cell>
          <cell r="C381" t="str">
            <v>N0414</v>
          </cell>
        </row>
        <row r="382">
          <cell r="B382" t="str">
            <v>البغيلية</v>
          </cell>
          <cell r="C382" t="str">
            <v>N0411</v>
          </cell>
        </row>
        <row r="383">
          <cell r="B383" t="str">
            <v>الجامع الكبير والوسط</v>
          </cell>
          <cell r="C383" t="str">
            <v>N0416</v>
          </cell>
        </row>
        <row r="384">
          <cell r="B384" t="str">
            <v>تشرين_ هرابش</v>
          </cell>
          <cell r="C384" t="str">
            <v>N0427</v>
          </cell>
        </row>
        <row r="385">
          <cell r="B385" t="str">
            <v>الجفرة</v>
          </cell>
          <cell r="C385" t="str">
            <v>N0429</v>
          </cell>
        </row>
        <row r="386">
          <cell r="B386" t="str">
            <v>حطلة</v>
          </cell>
          <cell r="C386" t="str">
            <v>N0417</v>
          </cell>
        </row>
        <row r="387">
          <cell r="B387" t="str">
            <v>الحسينية</v>
          </cell>
          <cell r="C387" t="str">
            <v>N0412</v>
          </cell>
        </row>
        <row r="388">
          <cell r="B388" t="str">
            <v>التضامن</v>
          </cell>
          <cell r="C388" t="str">
            <v>N0092</v>
          </cell>
        </row>
        <row r="389">
          <cell r="B389" t="str">
            <v>القابون</v>
          </cell>
          <cell r="C389" t="str">
            <v>N0007</v>
          </cell>
        </row>
        <row r="390">
          <cell r="B390" t="str">
            <v>جوبر الغربي</v>
          </cell>
          <cell r="C390" t="str">
            <v>N0030</v>
          </cell>
        </row>
        <row r="391">
          <cell r="B391" t="str">
            <v>جوبر الشرقي</v>
          </cell>
          <cell r="C391" t="str">
            <v>N0025</v>
          </cell>
        </row>
        <row r="392">
          <cell r="B392" t="str">
            <v>التصحيح</v>
          </cell>
          <cell r="C392" t="str">
            <v>N0474</v>
          </cell>
        </row>
        <row r="393">
          <cell r="B393" t="str">
            <v>النهضة</v>
          </cell>
          <cell r="C393" t="str">
            <v>N0468</v>
          </cell>
        </row>
        <row r="394">
          <cell r="B394" t="str">
            <v>الأمين</v>
          </cell>
          <cell r="C394" t="str">
            <v>N0472</v>
          </cell>
        </row>
        <row r="395">
          <cell r="B395" t="str">
            <v>الفرات</v>
          </cell>
          <cell r="C395" t="str">
            <v>N0481</v>
          </cell>
        </row>
        <row r="396">
          <cell r="B396" t="str">
            <v>الوحدة</v>
          </cell>
          <cell r="C396" t="str">
            <v>N0463</v>
          </cell>
        </row>
        <row r="397">
          <cell r="B397" t="str">
            <v>الحرية</v>
          </cell>
          <cell r="C397" t="str">
            <v>N0462</v>
          </cell>
        </row>
        <row r="398">
          <cell r="B398" t="str">
            <v>الأندلس</v>
          </cell>
          <cell r="C398" t="str">
            <v>N0460</v>
          </cell>
        </row>
        <row r="399">
          <cell r="B399" t="str">
            <v>تشرين</v>
          </cell>
          <cell r="C399" t="str">
            <v>N0464</v>
          </cell>
        </row>
        <row r="400">
          <cell r="B400" t="str">
            <v>الصالحية</v>
          </cell>
          <cell r="C400" t="str">
            <v>N0467</v>
          </cell>
        </row>
        <row r="401">
          <cell r="B401" t="str">
            <v>البعث</v>
          </cell>
          <cell r="C401" t="str">
            <v>N0459</v>
          </cell>
        </row>
        <row r="402">
          <cell r="B402" t="str">
            <v>الثورة</v>
          </cell>
          <cell r="C402" t="str">
            <v>N0461</v>
          </cell>
        </row>
        <row r="403">
          <cell r="B403" t="str">
            <v>المأمون</v>
          </cell>
          <cell r="C403" t="str">
            <v>N0478</v>
          </cell>
        </row>
        <row r="404">
          <cell r="B404" t="str">
            <v>البتاني</v>
          </cell>
          <cell r="C404" t="str">
            <v>N0471</v>
          </cell>
        </row>
        <row r="405">
          <cell r="B405" t="str">
            <v>عمار بن ياسر</v>
          </cell>
          <cell r="C405" t="str">
            <v>N0477</v>
          </cell>
        </row>
        <row r="406">
          <cell r="B406" t="str">
            <v>المهدي</v>
          </cell>
          <cell r="C406" t="str">
            <v>N0470</v>
          </cell>
        </row>
        <row r="407">
          <cell r="B407" t="str">
            <v>هشام بن عبد الملك</v>
          </cell>
          <cell r="C407" t="str">
            <v>N0479</v>
          </cell>
        </row>
        <row r="408">
          <cell r="B408" t="str">
            <v>الرافقة</v>
          </cell>
          <cell r="C408" t="str">
            <v>N0476</v>
          </cell>
        </row>
        <row r="409">
          <cell r="B409" t="str">
            <v>المنصور</v>
          </cell>
          <cell r="C409" t="str">
            <v>N0469</v>
          </cell>
        </row>
        <row r="410">
          <cell r="B410" t="str">
            <v>الرشيد</v>
          </cell>
          <cell r="C410" t="str">
            <v>N0475</v>
          </cell>
        </row>
        <row r="411">
          <cell r="B411" t="str">
            <v>حطين</v>
          </cell>
          <cell r="C411" t="str">
            <v>N0466</v>
          </cell>
        </row>
        <row r="412">
          <cell r="B412" t="str">
            <v>القادسية</v>
          </cell>
          <cell r="C412" t="str">
            <v>N0473</v>
          </cell>
        </row>
        <row r="413">
          <cell r="B413" t="str">
            <v>اليرموك</v>
          </cell>
          <cell r="C413" t="str">
            <v>N0480</v>
          </cell>
        </row>
        <row r="414">
          <cell r="B414" t="str">
            <v>الدرعية</v>
          </cell>
          <cell r="C414" t="str">
            <v>N0465</v>
          </cell>
        </row>
        <row r="415">
          <cell r="B415" t="str">
            <v>الحرية</v>
          </cell>
          <cell r="C415" t="str">
            <v>N0524</v>
          </cell>
        </row>
      </sheetData>
      <sheetData sheetId="8">
        <row r="1">
          <cell r="L1" t="str">
            <v>adm4_ar</v>
          </cell>
          <cell r="M1" t="str">
            <v>adm4_pcode</v>
          </cell>
          <cell r="AC1" t="str">
            <v>point_x</v>
          </cell>
          <cell r="AD1" t="str">
            <v>point_y</v>
          </cell>
        </row>
        <row r="2">
          <cell r="L2" t="str">
            <v>الكفير</v>
          </cell>
          <cell r="M2" t="str">
            <v>C8380</v>
          </cell>
          <cell r="AC2">
            <v>36.500305179999998</v>
          </cell>
          <cell r="AD2">
            <v>35.839904789999999</v>
          </cell>
        </row>
        <row r="3">
          <cell r="L3" t="str">
            <v>الملجأ</v>
          </cell>
          <cell r="M3" t="str">
            <v>C8381</v>
          </cell>
          <cell r="AC3">
            <v>36.602905270000001</v>
          </cell>
          <cell r="AD3">
            <v>35.776123050000002</v>
          </cell>
        </row>
        <row r="4">
          <cell r="L4" t="str">
            <v>سيغاتا</v>
          </cell>
          <cell r="M4" t="str">
            <v>C8382</v>
          </cell>
          <cell r="AC4">
            <v>36.648498539999999</v>
          </cell>
          <cell r="AD4">
            <v>35.730285649999999</v>
          </cell>
        </row>
        <row r="5">
          <cell r="L5" t="str">
            <v>القنفد</v>
          </cell>
          <cell r="M5" t="str">
            <v>C8383</v>
          </cell>
          <cell r="AC5">
            <v>36.417297359999999</v>
          </cell>
          <cell r="AD5">
            <v>35.798889160000002</v>
          </cell>
        </row>
        <row r="6">
          <cell r="L6" t="str">
            <v>سد حيلا</v>
          </cell>
          <cell r="M6" t="str">
            <v>C8384</v>
          </cell>
          <cell r="AC6">
            <v>36.495483399999998</v>
          </cell>
          <cell r="AD6">
            <v>35.85247803</v>
          </cell>
        </row>
        <row r="7">
          <cell r="L7" t="str">
            <v>الشيخ ابراهيم</v>
          </cell>
          <cell r="M7" t="str">
            <v>C8385</v>
          </cell>
          <cell r="AC7">
            <v>36.393127440000001</v>
          </cell>
          <cell r="AD7">
            <v>35.873901369999999</v>
          </cell>
        </row>
        <row r="8">
          <cell r="L8" t="str">
            <v>العنابيات</v>
          </cell>
          <cell r="M8" t="str">
            <v>C8386</v>
          </cell>
          <cell r="AC8">
            <v>36.378295899999998</v>
          </cell>
          <cell r="AD8">
            <v>35.885314940000001</v>
          </cell>
        </row>
        <row r="9">
          <cell r="L9" t="str">
            <v>المرج الأخضر</v>
          </cell>
          <cell r="M9" t="str">
            <v>C8387</v>
          </cell>
          <cell r="AC9">
            <v>36.302673339999998</v>
          </cell>
          <cell r="AD9">
            <v>35.777282720000002</v>
          </cell>
        </row>
        <row r="10">
          <cell r="L10" t="str">
            <v>عين الباردة</v>
          </cell>
          <cell r="M10" t="str">
            <v>C8388</v>
          </cell>
          <cell r="AC10">
            <v>36.338073729999998</v>
          </cell>
          <cell r="AD10">
            <v>35.817077640000001</v>
          </cell>
        </row>
        <row r="11">
          <cell r="L11" t="str">
            <v>مزرعة الباسل</v>
          </cell>
          <cell r="M11" t="str">
            <v>C8389</v>
          </cell>
          <cell r="AC11">
            <v>36.327514649999998</v>
          </cell>
          <cell r="AD11">
            <v>35.792480470000001</v>
          </cell>
        </row>
        <row r="12">
          <cell r="L12" t="str">
            <v>مزرعة الحمام</v>
          </cell>
          <cell r="M12" t="str">
            <v>C8390</v>
          </cell>
          <cell r="AC12">
            <v>36.413085940000002</v>
          </cell>
          <cell r="AD12">
            <v>35.816284179999997</v>
          </cell>
        </row>
        <row r="13">
          <cell r="L13" t="str">
            <v>مزرعة حاج حمود</v>
          </cell>
          <cell r="M13" t="str">
            <v>C8391</v>
          </cell>
          <cell r="AC13">
            <v>36.309875490000003</v>
          </cell>
          <cell r="AD13">
            <v>35.838073729999998</v>
          </cell>
        </row>
        <row r="14">
          <cell r="L14" t="str">
            <v>مزرعة قطرون</v>
          </cell>
          <cell r="M14" t="str">
            <v>C8392</v>
          </cell>
          <cell r="AC14">
            <v>36.303710940000002</v>
          </cell>
          <cell r="AD14">
            <v>35.830078129999997</v>
          </cell>
        </row>
        <row r="15">
          <cell r="L15" t="str">
            <v>الشغيب</v>
          </cell>
          <cell r="M15" t="str">
            <v>C8393</v>
          </cell>
          <cell r="AC15">
            <v>36.242126470000002</v>
          </cell>
          <cell r="AD15">
            <v>35.847473149999999</v>
          </cell>
        </row>
        <row r="16">
          <cell r="L16" t="str">
            <v>مشتى العتق</v>
          </cell>
          <cell r="M16" t="str">
            <v>C8394</v>
          </cell>
          <cell r="AC16">
            <v>36.364074709999997</v>
          </cell>
          <cell r="AD16">
            <v>35.883300779999999</v>
          </cell>
        </row>
        <row r="17">
          <cell r="L17" t="str">
            <v>البدرية</v>
          </cell>
          <cell r="M17" t="str">
            <v>C8395</v>
          </cell>
          <cell r="AC17">
            <v>36.19830322</v>
          </cell>
          <cell r="AD17">
            <v>35.83709717</v>
          </cell>
        </row>
        <row r="18">
          <cell r="L18" t="str">
            <v>السويدية</v>
          </cell>
          <cell r="M18" t="str">
            <v>C8396</v>
          </cell>
          <cell r="AC18">
            <v>36.21990967</v>
          </cell>
          <cell r="AD18">
            <v>35.770080569999998</v>
          </cell>
        </row>
        <row r="19">
          <cell r="L19" t="str">
            <v>بداما صغيرة</v>
          </cell>
          <cell r="M19" t="str">
            <v>C8398</v>
          </cell>
          <cell r="AC19">
            <v>36.213500979999999</v>
          </cell>
          <cell r="AD19">
            <v>35.819274900000003</v>
          </cell>
        </row>
        <row r="20">
          <cell r="L20" t="str">
            <v>بستان الحارة</v>
          </cell>
          <cell r="M20" t="str">
            <v>C8399</v>
          </cell>
          <cell r="AC20">
            <v>36.184875490000003</v>
          </cell>
          <cell r="AD20">
            <v>35.902709960000003</v>
          </cell>
        </row>
        <row r="21">
          <cell r="L21" t="str">
            <v>عين الحور</v>
          </cell>
          <cell r="M21" t="str">
            <v>C8401</v>
          </cell>
          <cell r="AC21">
            <v>36.183471679999997</v>
          </cell>
          <cell r="AD21">
            <v>35.837707520000002</v>
          </cell>
        </row>
        <row r="22">
          <cell r="L22" t="str">
            <v>عين قواق</v>
          </cell>
          <cell r="M22" t="str">
            <v>C8402</v>
          </cell>
          <cell r="AC22">
            <v>36.179504399999999</v>
          </cell>
          <cell r="AD22">
            <v>35.9083252</v>
          </cell>
        </row>
        <row r="23">
          <cell r="L23" t="str">
            <v>مزرعة بيت صوفات</v>
          </cell>
          <cell r="M23" t="str">
            <v>C8403</v>
          </cell>
          <cell r="AC23">
            <v>36.185729979999998</v>
          </cell>
          <cell r="AD23">
            <v>35.915527339999997</v>
          </cell>
        </row>
        <row r="24">
          <cell r="L24" t="str">
            <v>التنارية</v>
          </cell>
          <cell r="M24" t="str">
            <v>C8404</v>
          </cell>
          <cell r="AC24">
            <v>36.436096190000001</v>
          </cell>
          <cell r="AD24">
            <v>35.954528809999999</v>
          </cell>
        </row>
        <row r="25">
          <cell r="L25" t="str">
            <v>الدويسات</v>
          </cell>
          <cell r="M25" t="str">
            <v>C8405</v>
          </cell>
          <cell r="AC25">
            <v>36.379089360000002</v>
          </cell>
          <cell r="AD25">
            <v>35.988708500000001</v>
          </cell>
        </row>
        <row r="26">
          <cell r="L26" t="str">
            <v>الرسم</v>
          </cell>
          <cell r="M26" t="str">
            <v>C8406</v>
          </cell>
          <cell r="AC26">
            <v>36.42028809</v>
          </cell>
          <cell r="AD26">
            <v>35.908081060000001</v>
          </cell>
        </row>
        <row r="27">
          <cell r="L27" t="str">
            <v>المشيرفة</v>
          </cell>
          <cell r="M27" t="str">
            <v>C8407</v>
          </cell>
          <cell r="AC27">
            <v>36.426879880000001</v>
          </cell>
          <cell r="AD27">
            <v>35.929504399999999</v>
          </cell>
        </row>
        <row r="28">
          <cell r="L28" t="str">
            <v>المنصورة</v>
          </cell>
          <cell r="M28" t="str">
            <v>C8408</v>
          </cell>
          <cell r="AC28">
            <v>36.423889160000002</v>
          </cell>
          <cell r="AD28">
            <v>35.96392822</v>
          </cell>
        </row>
        <row r="29">
          <cell r="L29" t="str">
            <v>طيبة الاسم</v>
          </cell>
          <cell r="M29" t="str">
            <v>C8409</v>
          </cell>
          <cell r="AC29">
            <v>36.427124020000001</v>
          </cell>
          <cell r="AD29">
            <v>35.921691899999999</v>
          </cell>
        </row>
        <row r="30">
          <cell r="L30" t="str">
            <v>معراتة</v>
          </cell>
          <cell r="M30" t="str">
            <v>C8410</v>
          </cell>
          <cell r="AC30">
            <v>36.418273929999998</v>
          </cell>
          <cell r="AD30">
            <v>36.027709960000003</v>
          </cell>
        </row>
        <row r="31">
          <cell r="L31" t="str">
            <v>مغارة البيضا</v>
          </cell>
          <cell r="M31" t="str">
            <v>C8411</v>
          </cell>
          <cell r="AC31">
            <v>36.427917479999998</v>
          </cell>
          <cell r="AD31">
            <v>35.976928710000003</v>
          </cell>
        </row>
        <row r="32">
          <cell r="L32" t="str">
            <v>السحاقية</v>
          </cell>
          <cell r="M32" t="str">
            <v>C8412</v>
          </cell>
          <cell r="AC32">
            <v>36.305297850000002</v>
          </cell>
          <cell r="AD32">
            <v>35.903076169999999</v>
          </cell>
        </row>
        <row r="33">
          <cell r="L33" t="str">
            <v>سعد سعود فوقاني</v>
          </cell>
          <cell r="M33" t="str">
            <v>C8415</v>
          </cell>
          <cell r="AC33">
            <v>36.300903320000003</v>
          </cell>
          <cell r="AD33">
            <v>35.951721190000001</v>
          </cell>
        </row>
        <row r="34">
          <cell r="L34" t="str">
            <v>سعد مسعود تحتاني</v>
          </cell>
          <cell r="M34" t="str">
            <v>C8416</v>
          </cell>
          <cell r="AC34">
            <v>36.312072749999999</v>
          </cell>
          <cell r="AD34">
            <v>35.964294430000002</v>
          </cell>
        </row>
        <row r="35">
          <cell r="L35" t="str">
            <v>مزارع القادرية</v>
          </cell>
          <cell r="M35" t="str">
            <v>C8418</v>
          </cell>
          <cell r="AC35">
            <v>36.319274900000003</v>
          </cell>
          <cell r="AD35">
            <v>35.892517089999998</v>
          </cell>
        </row>
        <row r="36">
          <cell r="L36" t="str">
            <v>مزرعة حاج خليل</v>
          </cell>
          <cell r="M36" t="str">
            <v>C8419</v>
          </cell>
          <cell r="AC36">
            <v>36.304077149999998</v>
          </cell>
          <cell r="AD36">
            <v>35.89611816</v>
          </cell>
        </row>
        <row r="37">
          <cell r="L37" t="str">
            <v>الخالدية</v>
          </cell>
          <cell r="M37" t="str">
            <v>C8420</v>
          </cell>
          <cell r="AC37">
            <v>36.716308589999997</v>
          </cell>
          <cell r="AD37">
            <v>36.248291020000003</v>
          </cell>
        </row>
        <row r="38">
          <cell r="L38" t="str">
            <v>قيلا</v>
          </cell>
          <cell r="M38" t="str">
            <v>C8421</v>
          </cell>
          <cell r="AC38">
            <v>36.748474119999997</v>
          </cell>
          <cell r="AD38">
            <v>36.334716800000002</v>
          </cell>
        </row>
        <row r="39">
          <cell r="L39" t="str">
            <v>الاشرفية / المدلوسة</v>
          </cell>
          <cell r="M39" t="str">
            <v>C8423</v>
          </cell>
          <cell r="AC39">
            <v>36.39752197</v>
          </cell>
          <cell r="AD39">
            <v>36.208129880000001</v>
          </cell>
        </row>
        <row r="40">
          <cell r="L40" t="str">
            <v>البلاط</v>
          </cell>
          <cell r="M40" t="str">
            <v>C8424</v>
          </cell>
          <cell r="AC40">
            <v>36.429504399999999</v>
          </cell>
          <cell r="AD40">
            <v>36.036499020000001</v>
          </cell>
        </row>
        <row r="41">
          <cell r="L41" t="str">
            <v>القامشلية</v>
          </cell>
          <cell r="M41" t="str">
            <v>C8425</v>
          </cell>
          <cell r="AC41">
            <v>36.41247559</v>
          </cell>
          <cell r="AD41">
            <v>36.202697749999999</v>
          </cell>
        </row>
        <row r="42">
          <cell r="L42" t="str">
            <v>المغارة</v>
          </cell>
          <cell r="M42" t="str">
            <v>C8426</v>
          </cell>
          <cell r="AC42">
            <v>36.404296879999997</v>
          </cell>
          <cell r="AD42">
            <v>36.16888428</v>
          </cell>
        </row>
        <row r="43">
          <cell r="L43" t="str">
            <v>مغارة هوري</v>
          </cell>
          <cell r="M43" t="str">
            <v>C8427</v>
          </cell>
          <cell r="AC43">
            <v>36.420471190000001</v>
          </cell>
          <cell r="AD43">
            <v>36.032287599999997</v>
          </cell>
        </row>
        <row r="44">
          <cell r="L44" t="str">
            <v>المزوق</v>
          </cell>
          <cell r="M44" t="str">
            <v>C8428</v>
          </cell>
          <cell r="AC44">
            <v>36.5703125</v>
          </cell>
          <cell r="AD44">
            <v>36.226684570000003</v>
          </cell>
        </row>
        <row r="45">
          <cell r="L45" t="str">
            <v>خربة حسن</v>
          </cell>
          <cell r="M45" t="str">
            <v>C8429</v>
          </cell>
          <cell r="AC45">
            <v>36.617675779999999</v>
          </cell>
          <cell r="AD45">
            <v>36.19049072</v>
          </cell>
        </row>
        <row r="46">
          <cell r="L46" t="str">
            <v>تل الدوير</v>
          </cell>
          <cell r="M46" t="str">
            <v>C8431</v>
          </cell>
          <cell r="AC46">
            <v>36.52850342</v>
          </cell>
          <cell r="AD46">
            <v>36.040710449999999</v>
          </cell>
        </row>
        <row r="47">
          <cell r="L47" t="str">
            <v>الةسطانيه</v>
          </cell>
          <cell r="M47" t="str">
            <v>C8432</v>
          </cell>
          <cell r="AC47">
            <v>36.449279789999999</v>
          </cell>
          <cell r="AD47">
            <v>35.947509770000003</v>
          </cell>
        </row>
        <row r="48">
          <cell r="L48" t="str">
            <v>الضاهرية</v>
          </cell>
          <cell r="M48" t="str">
            <v>C8433</v>
          </cell>
          <cell r="AC48">
            <v>36.867919919999999</v>
          </cell>
          <cell r="AD48">
            <v>35.928283690000001</v>
          </cell>
        </row>
        <row r="49">
          <cell r="L49" t="str">
            <v>قمحانة</v>
          </cell>
          <cell r="M49" t="str">
            <v>C8434</v>
          </cell>
          <cell r="AC49">
            <v>36.800720220000002</v>
          </cell>
          <cell r="AD49">
            <v>35.774719240000003</v>
          </cell>
        </row>
        <row r="50">
          <cell r="L50" t="str">
            <v>معربونة</v>
          </cell>
          <cell r="M50" t="str">
            <v>C8435</v>
          </cell>
          <cell r="AC50">
            <v>36.622924810000001</v>
          </cell>
          <cell r="AD50">
            <v>36.058105470000001</v>
          </cell>
        </row>
        <row r="51">
          <cell r="L51" t="str">
            <v>السنامه</v>
          </cell>
          <cell r="M51" t="str">
            <v>C8436</v>
          </cell>
          <cell r="AC51">
            <v>36.624877929999997</v>
          </cell>
          <cell r="AD51">
            <v>35.99908447</v>
          </cell>
        </row>
        <row r="52">
          <cell r="L52" t="str">
            <v>ارشين</v>
          </cell>
          <cell r="M52" t="str">
            <v>C8437</v>
          </cell>
          <cell r="AC52">
            <v>36.614074709999997</v>
          </cell>
          <cell r="AD52">
            <v>36.069519040000003</v>
          </cell>
        </row>
        <row r="53">
          <cell r="L53" t="str">
            <v>بيرالطيب</v>
          </cell>
          <cell r="M53" t="str">
            <v>C8438</v>
          </cell>
          <cell r="AC53">
            <v>36.569885249999999</v>
          </cell>
          <cell r="AD53">
            <v>36.0098877</v>
          </cell>
        </row>
        <row r="54">
          <cell r="L54" t="str">
            <v>الصالحية</v>
          </cell>
          <cell r="M54" t="str">
            <v>C8439</v>
          </cell>
          <cell r="AC54">
            <v>36.777709960000003</v>
          </cell>
          <cell r="AD54">
            <v>35.902893069999998</v>
          </cell>
        </row>
        <row r="55">
          <cell r="L55" t="str">
            <v>معارة عليا</v>
          </cell>
          <cell r="M55" t="str">
            <v>C8440</v>
          </cell>
          <cell r="AC55">
            <v>36.753723149999999</v>
          </cell>
          <cell r="AD55">
            <v>35.885498050000002</v>
          </cell>
        </row>
        <row r="56">
          <cell r="L56" t="str">
            <v>الصوامع</v>
          </cell>
          <cell r="M56" t="str">
            <v>C8441</v>
          </cell>
          <cell r="AC56">
            <v>36.759277339999997</v>
          </cell>
          <cell r="AD56">
            <v>35.707519529999999</v>
          </cell>
        </row>
        <row r="57">
          <cell r="L57" t="str">
            <v>ام الهلاهيل</v>
          </cell>
          <cell r="M57" t="str">
            <v>C8442</v>
          </cell>
          <cell r="AC57">
            <v>36.96252441</v>
          </cell>
          <cell r="AD57">
            <v>35.575317380000001</v>
          </cell>
        </row>
        <row r="58">
          <cell r="L58" t="str">
            <v>ام خشوف</v>
          </cell>
          <cell r="M58" t="str">
            <v>C8443</v>
          </cell>
          <cell r="AC58">
            <v>37.13647461</v>
          </cell>
          <cell r="AD58">
            <v>35.56848145</v>
          </cell>
        </row>
        <row r="59">
          <cell r="L59" t="str">
            <v>ام مويلات شمالية</v>
          </cell>
          <cell r="M59" t="str">
            <v>C8444</v>
          </cell>
          <cell r="AC59">
            <v>36.99609375</v>
          </cell>
          <cell r="AD59">
            <v>35.668518069999998</v>
          </cell>
        </row>
        <row r="60">
          <cell r="L60" t="str">
            <v>الزنكار</v>
          </cell>
          <cell r="M60" t="str">
            <v>C8445</v>
          </cell>
          <cell r="AC60">
            <v>36.430297850000002</v>
          </cell>
          <cell r="AD60">
            <v>35.548095699999998</v>
          </cell>
        </row>
        <row r="61">
          <cell r="L61" t="str">
            <v>حسانة</v>
          </cell>
          <cell r="M61" t="str">
            <v>C8446</v>
          </cell>
          <cell r="AC61">
            <v>36.487670899999998</v>
          </cell>
          <cell r="AD61">
            <v>35.543090820000003</v>
          </cell>
        </row>
        <row r="62">
          <cell r="L62" t="str">
            <v>ديرونة</v>
          </cell>
          <cell r="M62" t="str">
            <v>C8447</v>
          </cell>
          <cell r="AC62">
            <v>36.402709960000003</v>
          </cell>
          <cell r="AD62">
            <v>35.550292970000001</v>
          </cell>
        </row>
        <row r="63">
          <cell r="L63" t="str">
            <v>سطوح الدير</v>
          </cell>
          <cell r="M63" t="str">
            <v>C8448</v>
          </cell>
          <cell r="AC63">
            <v>36.498901369999999</v>
          </cell>
          <cell r="AD63">
            <v>35.491516109999999</v>
          </cell>
        </row>
        <row r="64">
          <cell r="L64" t="str">
            <v>معرتموخص</v>
          </cell>
          <cell r="M64" t="str">
            <v>C8449</v>
          </cell>
          <cell r="AC64">
            <v>36.521484379999997</v>
          </cell>
          <cell r="AD64">
            <v>35.631713869999999</v>
          </cell>
        </row>
        <row r="65">
          <cell r="L65" t="str">
            <v>الفطاطره</v>
          </cell>
          <cell r="M65" t="str">
            <v>C8450</v>
          </cell>
          <cell r="AC65">
            <v>36.404907229999999</v>
          </cell>
          <cell r="AD65">
            <v>35.589477539999997</v>
          </cell>
        </row>
        <row r="66">
          <cell r="L66" t="str">
            <v>التضامن</v>
          </cell>
          <cell r="M66" t="str">
            <v>C8451</v>
          </cell>
          <cell r="AC66">
            <v>36.778076169999999</v>
          </cell>
          <cell r="AD66">
            <v>35.490478520000003</v>
          </cell>
        </row>
        <row r="67">
          <cell r="L67" t="str">
            <v>تل خزنة</v>
          </cell>
          <cell r="M67" t="str">
            <v>C8452</v>
          </cell>
          <cell r="AC67">
            <v>36.919494630000003</v>
          </cell>
          <cell r="AD67">
            <v>35.547912599999997</v>
          </cell>
        </row>
        <row r="68">
          <cell r="L68" t="str">
            <v>الحديثة</v>
          </cell>
          <cell r="M68" t="str">
            <v>C8453</v>
          </cell>
          <cell r="AC68">
            <v>36.711730959999997</v>
          </cell>
          <cell r="AD68">
            <v>35.570129399999999</v>
          </cell>
        </row>
        <row r="69">
          <cell r="L69" t="str">
            <v>الصالحية</v>
          </cell>
          <cell r="M69" t="str">
            <v>C8454</v>
          </cell>
          <cell r="AC69">
            <v>36.684875490000003</v>
          </cell>
          <cell r="AD69">
            <v>35.548706060000001</v>
          </cell>
        </row>
        <row r="70">
          <cell r="L70" t="str">
            <v>جبالا الشرقية</v>
          </cell>
          <cell r="M70" t="str">
            <v>C8455</v>
          </cell>
          <cell r="AC70">
            <v>36.646911619999997</v>
          </cell>
          <cell r="AD70">
            <v>35.509521479999997</v>
          </cell>
        </row>
        <row r="71">
          <cell r="L71" t="str">
            <v>كفرمزدا</v>
          </cell>
          <cell r="M71" t="str">
            <v>C8456</v>
          </cell>
          <cell r="AC71">
            <v>36.629699709999997</v>
          </cell>
          <cell r="AD71">
            <v>35.516296390000001</v>
          </cell>
        </row>
        <row r="72">
          <cell r="L72" t="str">
            <v>مزرعة غنوم</v>
          </cell>
          <cell r="M72" t="str">
            <v>C8457</v>
          </cell>
          <cell r="AC72">
            <v>36.67071533</v>
          </cell>
          <cell r="AD72">
            <v>35.560729979999998</v>
          </cell>
        </row>
        <row r="73">
          <cell r="L73" t="str">
            <v>نعماتية</v>
          </cell>
          <cell r="M73" t="str">
            <v>C8458</v>
          </cell>
          <cell r="AC73">
            <v>41.321105959999997</v>
          </cell>
          <cell r="AD73">
            <v>37.050109859999999</v>
          </cell>
        </row>
        <row r="74">
          <cell r="L74" t="str">
            <v>تل سطيح</v>
          </cell>
          <cell r="M74" t="str">
            <v>C8459</v>
          </cell>
          <cell r="AC74">
            <v>41.251708979999997</v>
          </cell>
          <cell r="AD74">
            <v>36.867675779999999</v>
          </cell>
        </row>
        <row r="75">
          <cell r="L75" t="str">
            <v>جلبرات فوقاني</v>
          </cell>
          <cell r="M75" t="str">
            <v>C8460</v>
          </cell>
          <cell r="AC75">
            <v>41.223327640000001</v>
          </cell>
          <cell r="AD75">
            <v>36.883483890000001</v>
          </cell>
        </row>
        <row r="76">
          <cell r="L76" t="str">
            <v>تل ذهب</v>
          </cell>
          <cell r="M76" t="str">
            <v>C8461</v>
          </cell>
          <cell r="AC76">
            <v>41.152282720000002</v>
          </cell>
          <cell r="AD76">
            <v>36.867492679999998</v>
          </cell>
        </row>
        <row r="77">
          <cell r="L77" t="str">
            <v>بركو تحتاني</v>
          </cell>
          <cell r="M77" t="str">
            <v>C8462</v>
          </cell>
          <cell r="AC77">
            <v>41.116699220000001</v>
          </cell>
          <cell r="AD77">
            <v>36.885070800000001</v>
          </cell>
        </row>
        <row r="78">
          <cell r="L78" t="str">
            <v>البجرية</v>
          </cell>
          <cell r="M78" t="str">
            <v>C8463</v>
          </cell>
          <cell r="AC78">
            <v>41.291076660000002</v>
          </cell>
          <cell r="AD78">
            <v>36.95471191</v>
          </cell>
        </row>
        <row r="79">
          <cell r="L79" t="str">
            <v>خربة جمو</v>
          </cell>
          <cell r="M79" t="str">
            <v>C8464</v>
          </cell>
          <cell r="AC79">
            <v>41.232910160000003</v>
          </cell>
          <cell r="AD79">
            <v>36.923706060000001</v>
          </cell>
        </row>
        <row r="80">
          <cell r="L80" t="str">
            <v>تل محمد</v>
          </cell>
          <cell r="M80" t="str">
            <v>C8465</v>
          </cell>
          <cell r="AC80">
            <v>41.179504399999999</v>
          </cell>
          <cell r="AD80">
            <v>36.913513180000002</v>
          </cell>
        </row>
        <row r="81">
          <cell r="L81" t="str">
            <v>الشماسية</v>
          </cell>
          <cell r="M81" t="str">
            <v>C8466</v>
          </cell>
          <cell r="AC81">
            <v>41.205078129999997</v>
          </cell>
          <cell r="AD81">
            <v>36.854675290000003</v>
          </cell>
        </row>
        <row r="82">
          <cell r="L82" t="str">
            <v>خربة نورة</v>
          </cell>
          <cell r="M82" t="str">
            <v>C8467</v>
          </cell>
          <cell r="AC82">
            <v>41.399291990000002</v>
          </cell>
          <cell r="AD82">
            <v>36.684082029999999</v>
          </cell>
        </row>
        <row r="83">
          <cell r="L83" t="str">
            <v>خربة الناقة</v>
          </cell>
          <cell r="M83" t="str">
            <v>C8468</v>
          </cell>
          <cell r="AC83">
            <v>41.329895020000002</v>
          </cell>
          <cell r="AD83">
            <v>36.675109859999999</v>
          </cell>
        </row>
        <row r="84">
          <cell r="L84" t="str">
            <v>مجدرة</v>
          </cell>
          <cell r="M84" t="str">
            <v>C8469</v>
          </cell>
          <cell r="AC84">
            <v>41.341308589999997</v>
          </cell>
          <cell r="AD84">
            <v>36.681518560000001</v>
          </cell>
        </row>
        <row r="85">
          <cell r="L85" t="str">
            <v>الهمانيات</v>
          </cell>
          <cell r="M85" t="str">
            <v>C8470</v>
          </cell>
          <cell r="AC85">
            <v>41.27368164</v>
          </cell>
          <cell r="AD85">
            <v>36.73071289</v>
          </cell>
        </row>
        <row r="86">
          <cell r="L86" t="str">
            <v>تل اللحم</v>
          </cell>
          <cell r="M86" t="str">
            <v>C8471</v>
          </cell>
          <cell r="AC86">
            <v>41.225280759999997</v>
          </cell>
          <cell r="AD86">
            <v>36.746521000000001</v>
          </cell>
        </row>
        <row r="87">
          <cell r="L87" t="str">
            <v>تل الباردة</v>
          </cell>
          <cell r="M87" t="str">
            <v>C8472</v>
          </cell>
          <cell r="AC87">
            <v>41.245483399999998</v>
          </cell>
          <cell r="AD87">
            <v>36.76171875</v>
          </cell>
        </row>
        <row r="88">
          <cell r="L88" t="str">
            <v>ادريسيات</v>
          </cell>
          <cell r="M88" t="str">
            <v>C8473</v>
          </cell>
          <cell r="AC88">
            <v>41.280883789999997</v>
          </cell>
          <cell r="AD88">
            <v>36.765502929999997</v>
          </cell>
        </row>
        <row r="89">
          <cell r="L89" t="str">
            <v>الحنوة</v>
          </cell>
          <cell r="M89" t="str">
            <v>C8474</v>
          </cell>
          <cell r="AC89">
            <v>41.401489259999998</v>
          </cell>
          <cell r="AD89">
            <v>36.735900880000003</v>
          </cell>
        </row>
        <row r="90">
          <cell r="L90" t="str">
            <v>صالحيات حرب</v>
          </cell>
          <cell r="M90" t="str">
            <v>C8475</v>
          </cell>
          <cell r="AC90">
            <v>41.335327149999998</v>
          </cell>
          <cell r="AD90">
            <v>36.768127440000001</v>
          </cell>
        </row>
        <row r="91">
          <cell r="L91" t="str">
            <v>حلوة</v>
          </cell>
          <cell r="M91" t="str">
            <v>C8476</v>
          </cell>
          <cell r="AC91">
            <v>41.343688970000002</v>
          </cell>
          <cell r="AD91">
            <v>36.780517580000001</v>
          </cell>
        </row>
        <row r="92">
          <cell r="L92" t="str">
            <v>طويل</v>
          </cell>
          <cell r="M92" t="str">
            <v>C8477</v>
          </cell>
          <cell r="AC92">
            <v>41.297729490000002</v>
          </cell>
          <cell r="AD92">
            <v>36.890686039999999</v>
          </cell>
        </row>
        <row r="93">
          <cell r="L93" t="str">
            <v>كبيبة</v>
          </cell>
          <cell r="M93" t="str">
            <v>C8478</v>
          </cell>
          <cell r="AC93">
            <v>41.386108399999998</v>
          </cell>
          <cell r="AD93">
            <v>36.894897460000003</v>
          </cell>
        </row>
        <row r="94">
          <cell r="L94" t="str">
            <v>ارزانا</v>
          </cell>
          <cell r="M94" t="str">
            <v>C8479</v>
          </cell>
          <cell r="AC94">
            <v>41.465271000000001</v>
          </cell>
          <cell r="AD94">
            <v>36.887084960000003</v>
          </cell>
        </row>
        <row r="95">
          <cell r="L95" t="str">
            <v>خربة الديب</v>
          </cell>
          <cell r="M95" t="str">
            <v>C8480</v>
          </cell>
          <cell r="AC95">
            <v>41.465881349999997</v>
          </cell>
          <cell r="AD95">
            <v>36.740295410000002</v>
          </cell>
        </row>
        <row r="96">
          <cell r="L96" t="str">
            <v>سلطان التلول</v>
          </cell>
          <cell r="M96" t="str">
            <v>C8481</v>
          </cell>
          <cell r="AC96">
            <v>41.581298830000001</v>
          </cell>
          <cell r="AD96">
            <v>36.690917970000001</v>
          </cell>
        </row>
        <row r="97">
          <cell r="L97" t="str">
            <v>غرناطة غربية</v>
          </cell>
          <cell r="M97" t="str">
            <v>C8482</v>
          </cell>
          <cell r="AC97">
            <v>41.520324709999997</v>
          </cell>
          <cell r="AD97">
            <v>36.606689449999998</v>
          </cell>
        </row>
        <row r="98">
          <cell r="L98" t="str">
            <v>قرطبة غربية</v>
          </cell>
          <cell r="M98" t="str">
            <v>C8483</v>
          </cell>
          <cell r="AC98">
            <v>41.582702640000001</v>
          </cell>
          <cell r="AD98">
            <v>36.604492190000002</v>
          </cell>
        </row>
        <row r="99">
          <cell r="L99" t="str">
            <v>رابية</v>
          </cell>
          <cell r="M99" t="str">
            <v>C8484</v>
          </cell>
          <cell r="AC99">
            <v>41.475891109999999</v>
          </cell>
          <cell r="AD99">
            <v>36.551086429999998</v>
          </cell>
        </row>
        <row r="100">
          <cell r="L100" t="str">
            <v>توبز</v>
          </cell>
          <cell r="M100" t="str">
            <v>C8486</v>
          </cell>
          <cell r="AC100">
            <v>41.039672850000002</v>
          </cell>
          <cell r="AD100">
            <v>37.035278320000003</v>
          </cell>
        </row>
        <row r="101">
          <cell r="L101" t="str">
            <v>غزاليك</v>
          </cell>
          <cell r="M101" t="str">
            <v>C8487</v>
          </cell>
          <cell r="AC101">
            <v>40.990478520000003</v>
          </cell>
          <cell r="AD101">
            <v>37.08087158</v>
          </cell>
        </row>
        <row r="102">
          <cell r="L102" t="str">
            <v>قولية</v>
          </cell>
          <cell r="M102" t="str">
            <v>C8488</v>
          </cell>
          <cell r="AC102">
            <v>40.77709961</v>
          </cell>
          <cell r="AD102">
            <v>36.968078609999999</v>
          </cell>
        </row>
        <row r="103">
          <cell r="L103" t="str">
            <v>خربة عزي</v>
          </cell>
          <cell r="M103" t="str">
            <v>C8489</v>
          </cell>
          <cell r="AC103">
            <v>40.777282720000002</v>
          </cell>
          <cell r="AD103">
            <v>37.018310550000002</v>
          </cell>
        </row>
        <row r="104">
          <cell r="L104" t="str">
            <v>حسواسو</v>
          </cell>
          <cell r="M104" t="str">
            <v>C8490</v>
          </cell>
          <cell r="AC104">
            <v>40.805480959999997</v>
          </cell>
          <cell r="AD104">
            <v>36.80627441</v>
          </cell>
        </row>
        <row r="105">
          <cell r="L105" t="str">
            <v>جوركة داقورية</v>
          </cell>
          <cell r="M105" t="str">
            <v>C8491</v>
          </cell>
          <cell r="AC105">
            <v>40.83410645</v>
          </cell>
          <cell r="AD105">
            <v>36.834472660000003</v>
          </cell>
        </row>
        <row r="106">
          <cell r="L106" t="str">
            <v>شولما تحتاني</v>
          </cell>
          <cell r="M106" t="str">
            <v>C8492</v>
          </cell>
          <cell r="AC106">
            <v>40.788330080000001</v>
          </cell>
          <cell r="AD106">
            <v>36.822509770000003</v>
          </cell>
        </row>
        <row r="107">
          <cell r="L107" t="str">
            <v>سلندر</v>
          </cell>
          <cell r="M107" t="str">
            <v>C8493</v>
          </cell>
          <cell r="AC107">
            <v>40.802490229999997</v>
          </cell>
          <cell r="AD107">
            <v>36.862670899999998</v>
          </cell>
        </row>
        <row r="108">
          <cell r="L108" t="str">
            <v>تل جولمة فوقاني</v>
          </cell>
          <cell r="M108" t="str">
            <v>C8494</v>
          </cell>
          <cell r="AC108">
            <v>40.741516109999999</v>
          </cell>
          <cell r="AD108">
            <v>36.880310059999999</v>
          </cell>
        </row>
        <row r="109">
          <cell r="L109" t="str">
            <v>كويتة</v>
          </cell>
          <cell r="M109" t="str">
            <v>C8495</v>
          </cell>
          <cell r="AC109">
            <v>40.866516109999999</v>
          </cell>
          <cell r="AD109">
            <v>36.857910160000003</v>
          </cell>
        </row>
        <row r="110">
          <cell r="L110" t="str">
            <v>كير ماهر</v>
          </cell>
          <cell r="M110" t="str">
            <v>C8496</v>
          </cell>
          <cell r="AC110">
            <v>40.856079100000002</v>
          </cell>
          <cell r="AD110">
            <v>36.870910649999999</v>
          </cell>
        </row>
        <row r="111">
          <cell r="L111" t="str">
            <v>حرم راش</v>
          </cell>
          <cell r="M111" t="str">
            <v>C8497</v>
          </cell>
          <cell r="AC111">
            <v>40.862915039999997</v>
          </cell>
          <cell r="AD111">
            <v>36.891479490000002</v>
          </cell>
        </row>
        <row r="112">
          <cell r="L112" t="str">
            <v>تل حصار</v>
          </cell>
          <cell r="M112" t="str">
            <v>C8498</v>
          </cell>
          <cell r="AC112">
            <v>40.882690429999997</v>
          </cell>
          <cell r="AD112">
            <v>36.938903809999999</v>
          </cell>
        </row>
        <row r="113">
          <cell r="L113" t="str">
            <v>طوبو</v>
          </cell>
          <cell r="M113" t="str">
            <v>C8499</v>
          </cell>
          <cell r="AC113">
            <v>40.823486330000001</v>
          </cell>
          <cell r="AD113">
            <v>36.975708009999998</v>
          </cell>
        </row>
        <row r="114">
          <cell r="L114" t="str">
            <v>تل الشيخ كني</v>
          </cell>
          <cell r="M114" t="str">
            <v>C8500</v>
          </cell>
          <cell r="AC114">
            <v>40.86212158</v>
          </cell>
          <cell r="AD114">
            <v>36.98413086</v>
          </cell>
        </row>
        <row r="115">
          <cell r="L115" t="str">
            <v>بكمزلو</v>
          </cell>
          <cell r="M115" t="str">
            <v>C8501</v>
          </cell>
          <cell r="AC115">
            <v>40.797729490000002</v>
          </cell>
          <cell r="AD115">
            <v>37.050109859999999</v>
          </cell>
        </row>
        <row r="116">
          <cell r="L116" t="str">
            <v>عين القرد</v>
          </cell>
          <cell r="M116" t="str">
            <v>C8502</v>
          </cell>
          <cell r="AC116">
            <v>40.775878910000003</v>
          </cell>
          <cell r="AD116">
            <v>37.102111819999998</v>
          </cell>
        </row>
        <row r="117">
          <cell r="L117" t="str">
            <v>خرزة التحتانية</v>
          </cell>
          <cell r="M117" t="str">
            <v>C8503</v>
          </cell>
          <cell r="AC117">
            <v>40.812072749999999</v>
          </cell>
          <cell r="AD117">
            <v>37.108703609999999</v>
          </cell>
        </row>
        <row r="118">
          <cell r="L118" t="str">
            <v>سيميتك</v>
          </cell>
          <cell r="M118" t="str">
            <v>C8504</v>
          </cell>
          <cell r="AC118">
            <v>40.976501470000002</v>
          </cell>
          <cell r="AD118">
            <v>37.018493650000003</v>
          </cell>
        </row>
        <row r="119">
          <cell r="L119" t="str">
            <v>كوتيان</v>
          </cell>
          <cell r="M119" t="str">
            <v>C8505</v>
          </cell>
          <cell r="AC119">
            <v>41.04571533</v>
          </cell>
          <cell r="AD119">
            <v>36.985107419999999</v>
          </cell>
        </row>
        <row r="120">
          <cell r="L120" t="str">
            <v>محيركة</v>
          </cell>
          <cell r="M120" t="str">
            <v>C8506</v>
          </cell>
          <cell r="AC120">
            <v>40.949707029999999</v>
          </cell>
          <cell r="AD120">
            <v>36.927673339999998</v>
          </cell>
        </row>
        <row r="121">
          <cell r="L121" t="str">
            <v>سلمان باغ</v>
          </cell>
          <cell r="M121" t="str">
            <v>C8507</v>
          </cell>
          <cell r="AC121">
            <v>40.920471190000001</v>
          </cell>
          <cell r="AD121">
            <v>36.92071533</v>
          </cell>
        </row>
        <row r="122">
          <cell r="L122" t="str">
            <v>خربة جحاش</v>
          </cell>
          <cell r="M122" t="str">
            <v>C8508</v>
          </cell>
          <cell r="AC122">
            <v>41.075073240000002</v>
          </cell>
          <cell r="AD122">
            <v>36.850708009999998</v>
          </cell>
        </row>
        <row r="123">
          <cell r="L123" t="str">
            <v>كبكة</v>
          </cell>
          <cell r="M123" t="str">
            <v>C8509</v>
          </cell>
          <cell r="AC123">
            <v>40.96850586</v>
          </cell>
          <cell r="AD123">
            <v>36.807128910000003</v>
          </cell>
        </row>
        <row r="124">
          <cell r="L124" t="str">
            <v>خربة غزال</v>
          </cell>
          <cell r="M124" t="str">
            <v>C8510</v>
          </cell>
          <cell r="AC124">
            <v>40.97747803</v>
          </cell>
          <cell r="AD124">
            <v>36.839477539999997</v>
          </cell>
        </row>
        <row r="125">
          <cell r="L125" t="str">
            <v>سيسدة الفوقانية</v>
          </cell>
          <cell r="M125" t="str">
            <v>C8511</v>
          </cell>
          <cell r="AC125">
            <v>40.907714839999997</v>
          </cell>
          <cell r="AD125">
            <v>36.791076660000002</v>
          </cell>
        </row>
        <row r="126">
          <cell r="L126" t="str">
            <v>داوودية</v>
          </cell>
          <cell r="M126" t="str">
            <v>C8512</v>
          </cell>
          <cell r="AC126">
            <v>40.93267822</v>
          </cell>
          <cell r="AD126">
            <v>36.843322749999999</v>
          </cell>
        </row>
        <row r="127">
          <cell r="L127" t="str">
            <v>سيميتك فوقاني</v>
          </cell>
          <cell r="M127" t="str">
            <v>C8513</v>
          </cell>
          <cell r="AC127">
            <v>40.983886720000001</v>
          </cell>
          <cell r="AD127">
            <v>37.035095220000002</v>
          </cell>
        </row>
        <row r="128">
          <cell r="L128" t="str">
            <v>الدكشورية</v>
          </cell>
          <cell r="M128" t="str">
            <v>C8514</v>
          </cell>
          <cell r="AC128">
            <v>41.389282229999999</v>
          </cell>
          <cell r="AD128">
            <v>37.03930664</v>
          </cell>
        </row>
        <row r="129">
          <cell r="L129" t="str">
            <v>حلوة الغمر</v>
          </cell>
          <cell r="M129" t="str">
            <v>C8515</v>
          </cell>
          <cell r="AC129">
            <v>41.458129880000001</v>
          </cell>
          <cell r="AD129">
            <v>37.031311039999999</v>
          </cell>
        </row>
        <row r="130">
          <cell r="L130" t="str">
            <v>العريشة</v>
          </cell>
          <cell r="M130" t="str">
            <v>C8516</v>
          </cell>
          <cell r="AC130">
            <v>41.652893069999998</v>
          </cell>
          <cell r="AD130">
            <v>37.077697749999999</v>
          </cell>
        </row>
        <row r="131">
          <cell r="L131" t="str">
            <v>نصران</v>
          </cell>
          <cell r="M131" t="str">
            <v>C8517</v>
          </cell>
          <cell r="AC131">
            <v>41.489929199999999</v>
          </cell>
          <cell r="AD131">
            <v>37.01287842</v>
          </cell>
        </row>
        <row r="132">
          <cell r="L132" t="str">
            <v>خزنة صغيرة</v>
          </cell>
          <cell r="M132" t="str">
            <v>C8518</v>
          </cell>
          <cell r="AC132">
            <v>41.395507809999998</v>
          </cell>
          <cell r="AD132">
            <v>37.009277339999997</v>
          </cell>
        </row>
        <row r="133">
          <cell r="L133" t="str">
            <v>خريجكة</v>
          </cell>
          <cell r="M133" t="str">
            <v>C8519</v>
          </cell>
          <cell r="AC133">
            <v>41.42071533</v>
          </cell>
          <cell r="AD133">
            <v>36.992309570000003</v>
          </cell>
        </row>
        <row r="134">
          <cell r="L134" t="str">
            <v>فارقين</v>
          </cell>
          <cell r="M134" t="str">
            <v>C8520</v>
          </cell>
          <cell r="AC134">
            <v>41.379699709999997</v>
          </cell>
          <cell r="AD134">
            <v>36.973327640000001</v>
          </cell>
        </row>
        <row r="135">
          <cell r="L135" t="str">
            <v>خربة جحاش</v>
          </cell>
          <cell r="M135" t="str">
            <v>C8521</v>
          </cell>
          <cell r="AC135">
            <v>41.540100099999997</v>
          </cell>
          <cell r="AD135">
            <v>36.86352539</v>
          </cell>
        </row>
        <row r="136">
          <cell r="L136" t="str">
            <v>مشيرفة الجراح</v>
          </cell>
          <cell r="M136" t="str">
            <v>C8522</v>
          </cell>
          <cell r="AC136">
            <v>41.566284179999997</v>
          </cell>
          <cell r="AD136">
            <v>36.822692869999997</v>
          </cell>
        </row>
        <row r="137">
          <cell r="L137" t="str">
            <v>خزامى</v>
          </cell>
          <cell r="M137" t="str">
            <v>C8523</v>
          </cell>
          <cell r="AC137">
            <v>41.507507320000002</v>
          </cell>
          <cell r="AD137">
            <v>36.808715820000003</v>
          </cell>
        </row>
        <row r="138">
          <cell r="L138" t="str">
            <v>حلوة البرية</v>
          </cell>
          <cell r="M138" t="str">
            <v>C8524</v>
          </cell>
          <cell r="AC138">
            <v>41.567504880000001</v>
          </cell>
          <cell r="AD138">
            <v>36.80767822</v>
          </cell>
        </row>
        <row r="139">
          <cell r="L139" t="str">
            <v>ابطخ تحتاني</v>
          </cell>
          <cell r="M139" t="str">
            <v>C8525</v>
          </cell>
          <cell r="AC139">
            <v>41.523498539999999</v>
          </cell>
          <cell r="AD139">
            <v>36.792480470000001</v>
          </cell>
        </row>
        <row r="140">
          <cell r="L140" t="str">
            <v>تل سعدون</v>
          </cell>
          <cell r="M140" t="str">
            <v>C8526</v>
          </cell>
          <cell r="AC140">
            <v>41.651306150000003</v>
          </cell>
          <cell r="AD140">
            <v>36.81549072</v>
          </cell>
        </row>
        <row r="141">
          <cell r="L141" t="str">
            <v>ريحانية</v>
          </cell>
          <cell r="M141" t="str">
            <v>C8527</v>
          </cell>
          <cell r="AC141">
            <v>41.589904789999999</v>
          </cell>
          <cell r="AD141">
            <v>36.829101559999998</v>
          </cell>
        </row>
        <row r="142">
          <cell r="L142" t="str">
            <v>جلبارات صغيرة</v>
          </cell>
          <cell r="M142" t="str">
            <v>C8528</v>
          </cell>
          <cell r="AC142">
            <v>41.681701660000002</v>
          </cell>
          <cell r="AD142">
            <v>36.818298339999998</v>
          </cell>
        </row>
        <row r="143">
          <cell r="L143" t="str">
            <v>جلبارات كبيرة</v>
          </cell>
          <cell r="M143" t="str">
            <v>C8529</v>
          </cell>
          <cell r="AC143">
            <v>41.692077640000001</v>
          </cell>
          <cell r="AD143">
            <v>36.826904300000002</v>
          </cell>
        </row>
        <row r="144">
          <cell r="L144" t="str">
            <v>خربة البغل</v>
          </cell>
          <cell r="M144" t="str">
            <v>C8530</v>
          </cell>
          <cell r="AC144">
            <v>41.645874020000001</v>
          </cell>
          <cell r="AD144">
            <v>36.835083009999998</v>
          </cell>
        </row>
        <row r="145">
          <cell r="L145" t="str">
            <v>خويتلة شويتيين</v>
          </cell>
          <cell r="M145" t="str">
            <v>C8531</v>
          </cell>
          <cell r="AC145">
            <v>41.650878910000003</v>
          </cell>
          <cell r="AD145">
            <v>36.87591553</v>
          </cell>
        </row>
        <row r="146">
          <cell r="L146" t="str">
            <v>بزونة</v>
          </cell>
          <cell r="M146" t="str">
            <v>C8532</v>
          </cell>
          <cell r="AC146">
            <v>41.590271000000001</v>
          </cell>
          <cell r="AD146">
            <v>36.893676759999998</v>
          </cell>
        </row>
        <row r="147">
          <cell r="L147" t="str">
            <v>قصروك</v>
          </cell>
          <cell r="M147" t="str">
            <v>C8533</v>
          </cell>
          <cell r="AC147">
            <v>41.695495610000002</v>
          </cell>
          <cell r="AD147">
            <v>36.916503910000003</v>
          </cell>
        </row>
        <row r="148">
          <cell r="L148" t="str">
            <v>الاحساء</v>
          </cell>
          <cell r="M148" t="str">
            <v>C8534</v>
          </cell>
          <cell r="AC148">
            <v>41.670471190000001</v>
          </cell>
          <cell r="AD148">
            <v>36.938110350000002</v>
          </cell>
        </row>
        <row r="149">
          <cell r="L149" t="str">
            <v>السويدية</v>
          </cell>
          <cell r="M149" t="str">
            <v>C8535</v>
          </cell>
          <cell r="AC149">
            <v>42.021728520000003</v>
          </cell>
          <cell r="AD149">
            <v>37.172729490000002</v>
          </cell>
        </row>
        <row r="150">
          <cell r="L150" t="str">
            <v>حب الهواء</v>
          </cell>
          <cell r="M150" t="str">
            <v>C8536</v>
          </cell>
          <cell r="AC150">
            <v>42.146728520000003</v>
          </cell>
          <cell r="AD150">
            <v>37.247070309999998</v>
          </cell>
        </row>
        <row r="151">
          <cell r="L151" t="str">
            <v>خان يونس</v>
          </cell>
          <cell r="M151" t="str">
            <v>C8537</v>
          </cell>
          <cell r="AC151">
            <v>42.163696289999997</v>
          </cell>
          <cell r="AD151">
            <v>37.240112310000001</v>
          </cell>
        </row>
        <row r="152">
          <cell r="L152" t="str">
            <v>جلو</v>
          </cell>
          <cell r="M152" t="str">
            <v>C8538</v>
          </cell>
          <cell r="AC152">
            <v>42.089904789999999</v>
          </cell>
          <cell r="AD152">
            <v>37.098083500000001</v>
          </cell>
        </row>
        <row r="153">
          <cell r="L153" t="str">
            <v>بستا سويس</v>
          </cell>
          <cell r="M153" t="str">
            <v>C8541</v>
          </cell>
          <cell r="AC153">
            <v>42.14868164</v>
          </cell>
          <cell r="AD153">
            <v>37.046081540000003</v>
          </cell>
        </row>
        <row r="154">
          <cell r="L154" t="str">
            <v>عين طويل</v>
          </cell>
          <cell r="M154" t="str">
            <v>C8542</v>
          </cell>
          <cell r="AC154">
            <v>42.198730470000001</v>
          </cell>
          <cell r="AD154">
            <v>37.067504880000001</v>
          </cell>
        </row>
        <row r="155">
          <cell r="L155" t="str">
            <v>خربة عمر</v>
          </cell>
          <cell r="M155" t="str">
            <v>C8543</v>
          </cell>
          <cell r="AC155">
            <v>42.3125</v>
          </cell>
          <cell r="AD155">
            <v>37.18591309</v>
          </cell>
        </row>
        <row r="156">
          <cell r="L156" t="str">
            <v>تل ذهب</v>
          </cell>
          <cell r="M156" t="str">
            <v>C8544</v>
          </cell>
          <cell r="AC156">
            <v>42.302673339999998</v>
          </cell>
          <cell r="AD156">
            <v>37.199523929999998</v>
          </cell>
        </row>
        <row r="157">
          <cell r="L157" t="str">
            <v>سنان</v>
          </cell>
          <cell r="M157" t="str">
            <v>C8545</v>
          </cell>
          <cell r="AC157">
            <v>41.758117679999998</v>
          </cell>
          <cell r="AD157">
            <v>36.986328129999997</v>
          </cell>
        </row>
        <row r="158">
          <cell r="L158" t="str">
            <v>قيرو</v>
          </cell>
          <cell r="M158" t="str">
            <v>C8546</v>
          </cell>
          <cell r="AC158">
            <v>41.8848877</v>
          </cell>
          <cell r="AD158">
            <v>36.960876470000002</v>
          </cell>
        </row>
        <row r="159">
          <cell r="L159" t="str">
            <v>النبي صادق</v>
          </cell>
          <cell r="M159" t="str">
            <v>C8547</v>
          </cell>
          <cell r="AC159">
            <v>41.819885249999999</v>
          </cell>
          <cell r="AD159">
            <v>37.052917479999998</v>
          </cell>
        </row>
        <row r="160">
          <cell r="L160" t="str">
            <v>باترزان</v>
          </cell>
          <cell r="M160" t="str">
            <v>C8548</v>
          </cell>
          <cell r="AC160">
            <v>41.836486819999998</v>
          </cell>
          <cell r="AD160">
            <v>37.12731934</v>
          </cell>
        </row>
        <row r="161">
          <cell r="L161" t="str">
            <v>بابسية</v>
          </cell>
          <cell r="M161" t="str">
            <v>C8549</v>
          </cell>
          <cell r="AC161">
            <v>41.720886229999998</v>
          </cell>
          <cell r="AD161">
            <v>37.080688479999999</v>
          </cell>
        </row>
        <row r="162">
          <cell r="L162" t="str">
            <v>عربشاه</v>
          </cell>
          <cell r="M162" t="str">
            <v>C8550</v>
          </cell>
          <cell r="AC162">
            <v>41.71508789</v>
          </cell>
          <cell r="AD162">
            <v>37.040283199999998</v>
          </cell>
        </row>
        <row r="163">
          <cell r="L163" t="str">
            <v>بير الحلو</v>
          </cell>
          <cell r="M163" t="str">
            <v>C8553</v>
          </cell>
          <cell r="AC163">
            <v>41.978515629999997</v>
          </cell>
          <cell r="AD163">
            <v>36.721923830000001</v>
          </cell>
        </row>
        <row r="164">
          <cell r="L164" t="str">
            <v>الهادي</v>
          </cell>
          <cell r="M164" t="str">
            <v>C8555</v>
          </cell>
          <cell r="AC164">
            <v>41.867675779999999</v>
          </cell>
          <cell r="AD164">
            <v>36.871521000000001</v>
          </cell>
        </row>
        <row r="165">
          <cell r="L165" t="str">
            <v>غزيلة</v>
          </cell>
          <cell r="M165" t="str">
            <v>C8556</v>
          </cell>
          <cell r="AC165">
            <v>41.712890629999997</v>
          </cell>
          <cell r="AD165">
            <v>36.836730959999997</v>
          </cell>
        </row>
        <row r="166">
          <cell r="L166" t="str">
            <v>كوز شرقي</v>
          </cell>
          <cell r="M166" t="str">
            <v>C8557</v>
          </cell>
          <cell r="AC166">
            <v>41.777526860000002</v>
          </cell>
          <cell r="AD166">
            <v>36.809875490000003</v>
          </cell>
        </row>
        <row r="167">
          <cell r="L167" t="str">
            <v>حرملة</v>
          </cell>
          <cell r="M167" t="str">
            <v>C8558</v>
          </cell>
          <cell r="AC167">
            <v>41.707885740000002</v>
          </cell>
          <cell r="AD167">
            <v>36.795104979999998</v>
          </cell>
        </row>
        <row r="168">
          <cell r="L168" t="str">
            <v>أبو مناصب جنوبي</v>
          </cell>
          <cell r="M168" t="str">
            <v>C8559</v>
          </cell>
          <cell r="AC168">
            <v>41.771728520000003</v>
          </cell>
          <cell r="AD168">
            <v>36.739501949999998</v>
          </cell>
        </row>
        <row r="169">
          <cell r="L169" t="str">
            <v>الطاش الغربي</v>
          </cell>
          <cell r="M169" t="str">
            <v>C8561</v>
          </cell>
          <cell r="AC169">
            <v>41.848510740000002</v>
          </cell>
          <cell r="AD169">
            <v>36.809326169999999</v>
          </cell>
        </row>
        <row r="170">
          <cell r="L170" t="str">
            <v>العلكانة</v>
          </cell>
          <cell r="M170" t="str">
            <v>C8562</v>
          </cell>
          <cell r="AC170">
            <v>41.955322270000003</v>
          </cell>
          <cell r="AD170">
            <v>36.879272460000003</v>
          </cell>
        </row>
        <row r="171">
          <cell r="L171" t="str">
            <v>المستريحة</v>
          </cell>
          <cell r="M171" t="str">
            <v>C8563</v>
          </cell>
          <cell r="AC171">
            <v>41.983093259999997</v>
          </cell>
          <cell r="AD171">
            <v>36.854919430000002</v>
          </cell>
        </row>
        <row r="172">
          <cell r="L172" t="str">
            <v>الاباضية</v>
          </cell>
          <cell r="M172" t="str">
            <v>C8564</v>
          </cell>
          <cell r="AC172">
            <v>41.996276860000002</v>
          </cell>
          <cell r="AD172">
            <v>36.846679690000002</v>
          </cell>
        </row>
        <row r="173">
          <cell r="L173" t="str">
            <v>المحمودية</v>
          </cell>
          <cell r="M173" t="str">
            <v>C8565</v>
          </cell>
          <cell r="AC173">
            <v>42.07788086</v>
          </cell>
          <cell r="AD173">
            <v>36.828674319999998</v>
          </cell>
        </row>
        <row r="174">
          <cell r="L174" t="str">
            <v>الصهريج الغربي</v>
          </cell>
          <cell r="M174" t="str">
            <v>C8566</v>
          </cell>
          <cell r="AC174">
            <v>42.063476559999998</v>
          </cell>
          <cell r="AD174">
            <v>36.924926759999998</v>
          </cell>
        </row>
        <row r="175">
          <cell r="L175" t="str">
            <v>الوريده</v>
          </cell>
          <cell r="M175" t="str">
            <v>C8567</v>
          </cell>
          <cell r="AC175">
            <v>42.058105470000001</v>
          </cell>
          <cell r="AD175">
            <v>36.849670410000002</v>
          </cell>
        </row>
        <row r="176">
          <cell r="L176" t="str">
            <v>بئر شامو</v>
          </cell>
          <cell r="M176" t="str">
            <v>C8569</v>
          </cell>
          <cell r="AC176">
            <v>39.708496089999997</v>
          </cell>
          <cell r="AD176">
            <v>36.735107419999999</v>
          </cell>
        </row>
        <row r="177">
          <cell r="L177" t="str">
            <v>الصالحية</v>
          </cell>
          <cell r="M177" t="str">
            <v>C8570</v>
          </cell>
          <cell r="AC177">
            <v>40.093322749999999</v>
          </cell>
          <cell r="AD177">
            <v>36.601074220000001</v>
          </cell>
        </row>
        <row r="178">
          <cell r="L178" t="str">
            <v>كدكان</v>
          </cell>
          <cell r="M178" t="str">
            <v>C8571</v>
          </cell>
          <cell r="AC178">
            <v>39.951904300000002</v>
          </cell>
          <cell r="AD178">
            <v>36.712707520000002</v>
          </cell>
        </row>
        <row r="179">
          <cell r="L179" t="str">
            <v>عرنان شمالي</v>
          </cell>
          <cell r="M179" t="str">
            <v>C8572</v>
          </cell>
          <cell r="AC179">
            <v>40.007873539999999</v>
          </cell>
          <cell r="AD179">
            <v>36.76928711</v>
          </cell>
        </row>
        <row r="180">
          <cell r="L180" t="str">
            <v>الدهيبة</v>
          </cell>
          <cell r="M180" t="str">
            <v>C8573</v>
          </cell>
          <cell r="AC180">
            <v>40.010681150000003</v>
          </cell>
          <cell r="AD180">
            <v>36.716674810000001</v>
          </cell>
        </row>
        <row r="181">
          <cell r="L181" t="str">
            <v>الجهفة</v>
          </cell>
          <cell r="M181" t="str">
            <v>C8574</v>
          </cell>
          <cell r="AC181">
            <v>40.020080569999998</v>
          </cell>
          <cell r="AD181">
            <v>36.703125</v>
          </cell>
        </row>
        <row r="182">
          <cell r="L182" t="str">
            <v>الناصرية</v>
          </cell>
          <cell r="M182" t="str">
            <v>C8575</v>
          </cell>
          <cell r="AC182">
            <v>40.046081540000003</v>
          </cell>
          <cell r="AD182">
            <v>36.813476559999998</v>
          </cell>
        </row>
        <row r="183">
          <cell r="L183" t="str">
            <v>الجفا</v>
          </cell>
          <cell r="M183" t="str">
            <v>C8576</v>
          </cell>
          <cell r="AC183">
            <v>40.14569092</v>
          </cell>
          <cell r="AD183">
            <v>36.841674810000001</v>
          </cell>
        </row>
        <row r="184">
          <cell r="L184" t="str">
            <v>بصيص</v>
          </cell>
          <cell r="M184" t="str">
            <v>C8577</v>
          </cell>
          <cell r="AC184">
            <v>40.350097660000003</v>
          </cell>
          <cell r="AD184">
            <v>36.890075680000002</v>
          </cell>
        </row>
        <row r="185">
          <cell r="L185" t="str">
            <v>بصيص تحتاني</v>
          </cell>
          <cell r="M185" t="str">
            <v>C8578</v>
          </cell>
          <cell r="AC185">
            <v>40.336914059999998</v>
          </cell>
          <cell r="AD185">
            <v>36.883483890000001</v>
          </cell>
        </row>
        <row r="186">
          <cell r="L186" t="str">
            <v>أم حرملة</v>
          </cell>
          <cell r="M186" t="str">
            <v>C8579</v>
          </cell>
          <cell r="AC186">
            <v>40.330322270000003</v>
          </cell>
          <cell r="AD186">
            <v>36.873107910000002</v>
          </cell>
        </row>
        <row r="187">
          <cell r="L187" t="str">
            <v>تل قرطال</v>
          </cell>
          <cell r="M187" t="str">
            <v>C8580</v>
          </cell>
          <cell r="AC187">
            <v>40.23828125</v>
          </cell>
          <cell r="AD187">
            <v>36.831481930000002</v>
          </cell>
        </row>
        <row r="188">
          <cell r="L188" t="str">
            <v>سودا</v>
          </cell>
          <cell r="M188" t="str">
            <v>C8582</v>
          </cell>
          <cell r="AC188">
            <v>40.212890629999997</v>
          </cell>
          <cell r="AD188">
            <v>36.709289550000001</v>
          </cell>
        </row>
        <row r="189">
          <cell r="L189" t="str">
            <v>شاموقة قابلية</v>
          </cell>
          <cell r="M189" t="str">
            <v>C8583</v>
          </cell>
          <cell r="AC189">
            <v>40.703674319999998</v>
          </cell>
          <cell r="AD189">
            <v>36.808471679999997</v>
          </cell>
        </row>
        <row r="190">
          <cell r="L190" t="str">
            <v>تل حمار</v>
          </cell>
          <cell r="M190" t="str">
            <v>C8584</v>
          </cell>
          <cell r="AC190">
            <v>40.740112310000001</v>
          </cell>
          <cell r="AD190">
            <v>36.789672850000002</v>
          </cell>
        </row>
        <row r="191">
          <cell r="L191" t="str">
            <v>تل صخر</v>
          </cell>
          <cell r="M191" t="str">
            <v>C8585</v>
          </cell>
          <cell r="AC191">
            <v>40.596679690000002</v>
          </cell>
          <cell r="AD191">
            <v>36.827270509999998</v>
          </cell>
        </row>
        <row r="192">
          <cell r="L192" t="str">
            <v>مزيرعة</v>
          </cell>
          <cell r="M192" t="str">
            <v>C8586</v>
          </cell>
          <cell r="AC192">
            <v>40.702270509999998</v>
          </cell>
          <cell r="AD192">
            <v>36.861877440000001</v>
          </cell>
        </row>
        <row r="193">
          <cell r="L193" t="str">
            <v>تل نبهان</v>
          </cell>
          <cell r="M193" t="str">
            <v>C8587</v>
          </cell>
          <cell r="AC193">
            <v>40.602294919999999</v>
          </cell>
          <cell r="AD193">
            <v>36.875488279999999</v>
          </cell>
        </row>
        <row r="194">
          <cell r="L194" t="str">
            <v>خويتلة</v>
          </cell>
          <cell r="M194" t="str">
            <v>C8588</v>
          </cell>
          <cell r="AC194">
            <v>40.6427002</v>
          </cell>
          <cell r="AD194">
            <v>36.907287599999997</v>
          </cell>
        </row>
        <row r="195">
          <cell r="L195" t="str">
            <v>مشيرفة</v>
          </cell>
          <cell r="M195" t="str">
            <v>C8589</v>
          </cell>
          <cell r="AC195">
            <v>40.661926270000002</v>
          </cell>
          <cell r="AD195">
            <v>36.9453125</v>
          </cell>
        </row>
        <row r="196">
          <cell r="L196" t="str">
            <v>قرة كوي</v>
          </cell>
          <cell r="M196" t="str">
            <v>C8590</v>
          </cell>
          <cell r="AC196">
            <v>40.612670899999998</v>
          </cell>
          <cell r="AD196">
            <v>36.939697270000003</v>
          </cell>
        </row>
        <row r="197">
          <cell r="L197" t="str">
            <v>عمر زوباشي</v>
          </cell>
          <cell r="M197" t="str">
            <v>C8591</v>
          </cell>
          <cell r="AC197">
            <v>40.758300779999999</v>
          </cell>
          <cell r="AD197">
            <v>36.973510740000002</v>
          </cell>
        </row>
        <row r="198">
          <cell r="L198" t="str">
            <v>كربطلي</v>
          </cell>
          <cell r="M198" t="str">
            <v>C8592</v>
          </cell>
          <cell r="AC198">
            <v>40.648498539999999</v>
          </cell>
          <cell r="AD198">
            <v>37.042114259999998</v>
          </cell>
        </row>
        <row r="199">
          <cell r="L199" t="str">
            <v>غنامية</v>
          </cell>
          <cell r="M199" t="str">
            <v>C8593</v>
          </cell>
          <cell r="AC199">
            <v>40.63647461</v>
          </cell>
          <cell r="AD199">
            <v>37.033874509999997</v>
          </cell>
        </row>
        <row r="200">
          <cell r="L200" t="str">
            <v>تل كديش</v>
          </cell>
          <cell r="M200" t="str">
            <v>C8594</v>
          </cell>
          <cell r="AC200">
            <v>40.617309570000003</v>
          </cell>
          <cell r="AD200">
            <v>37.02850342</v>
          </cell>
        </row>
        <row r="201">
          <cell r="L201" t="str">
            <v>خاصكي</v>
          </cell>
          <cell r="M201" t="str">
            <v>C8595</v>
          </cell>
          <cell r="AC201">
            <v>40.759277339999997</v>
          </cell>
          <cell r="AD201">
            <v>37.091308589999997</v>
          </cell>
        </row>
        <row r="202">
          <cell r="L202" t="str">
            <v>مالك</v>
          </cell>
          <cell r="M202" t="str">
            <v>C8596</v>
          </cell>
          <cell r="AC202">
            <v>40.562927250000001</v>
          </cell>
          <cell r="AD202">
            <v>37.00689697</v>
          </cell>
        </row>
        <row r="203">
          <cell r="L203" t="str">
            <v>كركند</v>
          </cell>
          <cell r="M203" t="str">
            <v>C8597</v>
          </cell>
          <cell r="AC203">
            <v>40.55352783</v>
          </cell>
          <cell r="AD203">
            <v>36.980529789999999</v>
          </cell>
        </row>
        <row r="204">
          <cell r="L204" t="str">
            <v>بئر خنيس</v>
          </cell>
          <cell r="M204" t="str">
            <v>C8598</v>
          </cell>
          <cell r="AC204">
            <v>40.499877929999997</v>
          </cell>
          <cell r="AD204">
            <v>36.999328609999999</v>
          </cell>
        </row>
        <row r="205">
          <cell r="L205" t="str">
            <v>دحيلة</v>
          </cell>
          <cell r="M205" t="str">
            <v>C8599</v>
          </cell>
          <cell r="AC205">
            <v>40.508300779999999</v>
          </cell>
          <cell r="AD205">
            <v>36.97888184</v>
          </cell>
        </row>
        <row r="206">
          <cell r="L206" t="str">
            <v>تورات الجنوبية</v>
          </cell>
          <cell r="M206" t="str">
            <v>C8600</v>
          </cell>
          <cell r="AC206">
            <v>40.48828125</v>
          </cell>
          <cell r="AD206">
            <v>36.95129395</v>
          </cell>
        </row>
        <row r="207">
          <cell r="L207" t="str">
            <v>أم عظام</v>
          </cell>
          <cell r="M207" t="str">
            <v>C8601</v>
          </cell>
          <cell r="AC207">
            <v>40.525878910000003</v>
          </cell>
          <cell r="AD207">
            <v>36.915527339999997</v>
          </cell>
        </row>
        <row r="208">
          <cell r="L208" t="str">
            <v>قولان</v>
          </cell>
          <cell r="M208" t="str">
            <v>C8602</v>
          </cell>
          <cell r="AC208">
            <v>40.549682619999999</v>
          </cell>
          <cell r="AD208">
            <v>36.907897949999999</v>
          </cell>
        </row>
        <row r="209">
          <cell r="L209" t="str">
            <v>المعشوق</v>
          </cell>
          <cell r="M209" t="str">
            <v>C8603</v>
          </cell>
          <cell r="AC209">
            <v>40.539672850000002</v>
          </cell>
          <cell r="AD209">
            <v>36.890930179999998</v>
          </cell>
        </row>
        <row r="210">
          <cell r="L210" t="str">
            <v>سيحة</v>
          </cell>
          <cell r="M210" t="str">
            <v>C8604</v>
          </cell>
          <cell r="AC210">
            <v>40.414489750000001</v>
          </cell>
          <cell r="AD210">
            <v>36.920471190000001</v>
          </cell>
        </row>
        <row r="211">
          <cell r="L211" t="str">
            <v>تل الشور الشرقي</v>
          </cell>
          <cell r="M211" t="str">
            <v>C8605</v>
          </cell>
          <cell r="AC211">
            <v>40.48529053</v>
          </cell>
          <cell r="AD211">
            <v>36.858703609999999</v>
          </cell>
        </row>
        <row r="212">
          <cell r="L212" t="str">
            <v>فرحية</v>
          </cell>
          <cell r="M212" t="str">
            <v>C8606</v>
          </cell>
          <cell r="AC212">
            <v>40.504516600000002</v>
          </cell>
          <cell r="AD212">
            <v>36.870483399999998</v>
          </cell>
        </row>
        <row r="213">
          <cell r="L213" t="str">
            <v>تل الشور الغربي</v>
          </cell>
          <cell r="M213" t="str">
            <v>C8607</v>
          </cell>
          <cell r="AC213">
            <v>40.455505369999997</v>
          </cell>
          <cell r="AD213">
            <v>36.848327640000001</v>
          </cell>
        </row>
        <row r="214">
          <cell r="L214" t="str">
            <v>سمادة</v>
          </cell>
          <cell r="M214" t="str">
            <v>C8608</v>
          </cell>
          <cell r="AC214">
            <v>40.555297850000002</v>
          </cell>
          <cell r="AD214">
            <v>36.78790283</v>
          </cell>
        </row>
        <row r="215">
          <cell r="L215" t="str">
            <v>عاصي</v>
          </cell>
          <cell r="M215" t="str">
            <v>C8609</v>
          </cell>
          <cell r="AC215">
            <v>40.455688479999999</v>
          </cell>
          <cell r="AD215">
            <v>36.763122559999999</v>
          </cell>
        </row>
        <row r="216">
          <cell r="L216" t="str">
            <v>مضيق</v>
          </cell>
          <cell r="M216" t="str">
            <v>C8610</v>
          </cell>
          <cell r="AC216">
            <v>40.452697749999999</v>
          </cell>
          <cell r="AD216">
            <v>36.77368164</v>
          </cell>
        </row>
        <row r="217">
          <cell r="L217" t="str">
            <v>تل غزال تحتاني</v>
          </cell>
          <cell r="M217" t="str">
            <v>C8611</v>
          </cell>
          <cell r="AC217">
            <v>40.491882320000002</v>
          </cell>
          <cell r="AD217">
            <v>36.765686039999999</v>
          </cell>
        </row>
        <row r="218">
          <cell r="L218" t="str">
            <v>تابان</v>
          </cell>
          <cell r="M218" t="str">
            <v>C8613</v>
          </cell>
          <cell r="AC218">
            <v>40.71252441</v>
          </cell>
          <cell r="AD218">
            <v>36.279724119999997</v>
          </cell>
        </row>
        <row r="219">
          <cell r="L219" t="str">
            <v>الحمر</v>
          </cell>
          <cell r="M219" t="str">
            <v>C8614</v>
          </cell>
          <cell r="AC219">
            <v>40.806091309999999</v>
          </cell>
          <cell r="AD219">
            <v>36.501708979999997</v>
          </cell>
        </row>
        <row r="220">
          <cell r="L220" t="str">
            <v>الهارب</v>
          </cell>
          <cell r="M220" t="str">
            <v>C8615</v>
          </cell>
          <cell r="AC220">
            <v>40.898315429999997</v>
          </cell>
          <cell r="AD220">
            <v>36.437072749999999</v>
          </cell>
        </row>
        <row r="221">
          <cell r="L221" t="str">
            <v>الناصري</v>
          </cell>
          <cell r="M221" t="str">
            <v>C8616</v>
          </cell>
          <cell r="AC221">
            <v>40.492309570000003</v>
          </cell>
          <cell r="AD221">
            <v>36.319274900000003</v>
          </cell>
        </row>
        <row r="222">
          <cell r="L222" t="str">
            <v>تل توينة</v>
          </cell>
          <cell r="M222" t="str">
            <v>C8617</v>
          </cell>
          <cell r="AC222">
            <v>40.484497070000003</v>
          </cell>
          <cell r="AD222">
            <v>36.303283690000001</v>
          </cell>
        </row>
        <row r="223">
          <cell r="L223" t="str">
            <v>تل رجمان</v>
          </cell>
          <cell r="M223" t="str">
            <v>C8618</v>
          </cell>
          <cell r="AC223">
            <v>40.806091309999999</v>
          </cell>
          <cell r="AD223">
            <v>36.492309570000003</v>
          </cell>
        </row>
        <row r="224">
          <cell r="L224" t="str">
            <v>العزيزية</v>
          </cell>
          <cell r="M224" t="str">
            <v>C8619</v>
          </cell>
          <cell r="AC224">
            <v>40.885314940000001</v>
          </cell>
          <cell r="AD224">
            <v>36.552917479999998</v>
          </cell>
        </row>
        <row r="225">
          <cell r="L225" t="str">
            <v>المجيبرة</v>
          </cell>
          <cell r="M225" t="str">
            <v>C8620</v>
          </cell>
          <cell r="AC225">
            <v>40.892272949999999</v>
          </cell>
          <cell r="AD225">
            <v>36.515930179999998</v>
          </cell>
        </row>
        <row r="226">
          <cell r="L226" t="str">
            <v>سيسدة التحتانية</v>
          </cell>
          <cell r="M226" t="str">
            <v>C8623</v>
          </cell>
          <cell r="AC226">
            <v>40.904724119999997</v>
          </cell>
          <cell r="AD226">
            <v>36.756103520000003</v>
          </cell>
        </row>
        <row r="227">
          <cell r="L227" t="str">
            <v>تل الشيخ أمين</v>
          </cell>
          <cell r="M227" t="str">
            <v>C8624</v>
          </cell>
          <cell r="AC227">
            <v>40.725891109999999</v>
          </cell>
          <cell r="AD227">
            <v>36.76171875</v>
          </cell>
        </row>
        <row r="228">
          <cell r="L228" t="str">
            <v>عزيم</v>
          </cell>
          <cell r="M228" t="str">
            <v>C8625</v>
          </cell>
          <cell r="AC228">
            <v>40.74768066</v>
          </cell>
          <cell r="AD228">
            <v>36.717529300000002</v>
          </cell>
        </row>
        <row r="229">
          <cell r="L229" t="str">
            <v>أم جهف</v>
          </cell>
          <cell r="M229" t="str">
            <v>C8626</v>
          </cell>
          <cell r="AC229">
            <v>40.596679690000002</v>
          </cell>
          <cell r="AD229">
            <v>36.755676270000002</v>
          </cell>
        </row>
        <row r="230">
          <cell r="L230" t="str">
            <v>ضبعة</v>
          </cell>
          <cell r="M230" t="str">
            <v>C8627</v>
          </cell>
          <cell r="AC230">
            <v>40.56872559</v>
          </cell>
          <cell r="AD230">
            <v>36.682922359999999</v>
          </cell>
        </row>
        <row r="231">
          <cell r="L231" t="str">
            <v>أم المسامير</v>
          </cell>
          <cell r="M231" t="str">
            <v>C8628</v>
          </cell>
          <cell r="AC231">
            <v>40.58111572</v>
          </cell>
          <cell r="AD231">
            <v>36.663513180000002</v>
          </cell>
        </row>
        <row r="232">
          <cell r="L232" t="str">
            <v>المشرفة</v>
          </cell>
          <cell r="M232" t="str">
            <v>C8629</v>
          </cell>
          <cell r="AC232">
            <v>40.598510740000002</v>
          </cell>
          <cell r="AD232">
            <v>36.6270752</v>
          </cell>
        </row>
        <row r="233">
          <cell r="L233" t="str">
            <v>تل المجرجع</v>
          </cell>
          <cell r="M233" t="str">
            <v>C8630</v>
          </cell>
          <cell r="AC233">
            <v>40.701477050000001</v>
          </cell>
          <cell r="AD233">
            <v>36.52111816</v>
          </cell>
        </row>
        <row r="234">
          <cell r="L234" t="str">
            <v>خربة جاموس</v>
          </cell>
          <cell r="M234" t="str">
            <v>C8631</v>
          </cell>
          <cell r="AC234">
            <v>40.786499020000001</v>
          </cell>
          <cell r="AD234">
            <v>36.537719729999999</v>
          </cell>
        </row>
        <row r="235">
          <cell r="L235" t="str">
            <v>تل فويضات</v>
          </cell>
          <cell r="M235" t="str">
            <v>C8633</v>
          </cell>
          <cell r="AC235">
            <v>40.416076660000002</v>
          </cell>
          <cell r="AD235">
            <v>36.584899900000003</v>
          </cell>
        </row>
        <row r="236">
          <cell r="L236" t="str">
            <v>أم الخير</v>
          </cell>
          <cell r="M236" t="str">
            <v>C8634</v>
          </cell>
          <cell r="AC236">
            <v>40.256286619999997</v>
          </cell>
          <cell r="AD236">
            <v>36.632080080000001</v>
          </cell>
        </row>
        <row r="237">
          <cell r="L237" t="str">
            <v>الداوودية</v>
          </cell>
          <cell r="M237" t="str">
            <v>C8635</v>
          </cell>
          <cell r="AC237">
            <v>40.274291990000002</v>
          </cell>
          <cell r="AD237">
            <v>36.693115229999997</v>
          </cell>
        </row>
        <row r="238">
          <cell r="L238" t="str">
            <v>تل عراضة</v>
          </cell>
          <cell r="M238" t="str">
            <v>C8636</v>
          </cell>
          <cell r="AC238">
            <v>40.257080080000001</v>
          </cell>
          <cell r="AD238">
            <v>36.716308589999997</v>
          </cell>
        </row>
        <row r="239">
          <cell r="L239" t="str">
            <v>الرشيدية</v>
          </cell>
          <cell r="M239" t="str">
            <v>C8637</v>
          </cell>
          <cell r="AC239">
            <v>40.36352539</v>
          </cell>
          <cell r="AD239">
            <v>36.707702640000001</v>
          </cell>
        </row>
        <row r="240">
          <cell r="L240" t="str">
            <v>باب الخير</v>
          </cell>
          <cell r="M240" t="str">
            <v>C8638</v>
          </cell>
          <cell r="AC240">
            <v>40.378723149999999</v>
          </cell>
          <cell r="AD240">
            <v>36.76470947</v>
          </cell>
        </row>
        <row r="241">
          <cell r="L241" t="str">
            <v>بوغاز</v>
          </cell>
          <cell r="M241" t="str">
            <v>C8639</v>
          </cell>
          <cell r="AC241">
            <v>40.431884770000003</v>
          </cell>
          <cell r="AD241">
            <v>36.751708979999997</v>
          </cell>
        </row>
        <row r="242">
          <cell r="L242" t="str">
            <v>رجم الحرباوي</v>
          </cell>
          <cell r="M242" t="str">
            <v>C8641</v>
          </cell>
          <cell r="AC242">
            <v>40.497497559999999</v>
          </cell>
          <cell r="AD242">
            <v>36.614685059999999</v>
          </cell>
        </row>
        <row r="243">
          <cell r="L243" t="str">
            <v>السراب</v>
          </cell>
          <cell r="M243" t="str">
            <v>C8642</v>
          </cell>
          <cell r="AC243">
            <v>40.739685059999999</v>
          </cell>
          <cell r="AD243">
            <v>36.07928467</v>
          </cell>
        </row>
        <row r="244">
          <cell r="L244" t="str">
            <v>الرشيدية</v>
          </cell>
          <cell r="M244" t="str">
            <v>C8643</v>
          </cell>
          <cell r="AC244">
            <v>40.684692380000001</v>
          </cell>
          <cell r="AD244">
            <v>36.13189697</v>
          </cell>
        </row>
        <row r="245">
          <cell r="L245" t="str">
            <v>جرناز</v>
          </cell>
          <cell r="M245" t="str">
            <v>C8644</v>
          </cell>
          <cell r="AC245">
            <v>40.767517089999998</v>
          </cell>
          <cell r="AD245">
            <v>35.983276369999999</v>
          </cell>
        </row>
        <row r="246">
          <cell r="L246" t="str">
            <v>فنلة</v>
          </cell>
          <cell r="M246" t="str">
            <v>C8645</v>
          </cell>
          <cell r="AC246">
            <v>40.589721679999997</v>
          </cell>
          <cell r="AD246">
            <v>36.188720699999998</v>
          </cell>
        </row>
        <row r="247">
          <cell r="L247" t="str">
            <v>العلات الغربية</v>
          </cell>
          <cell r="M247" t="str">
            <v>C8646</v>
          </cell>
          <cell r="AC247">
            <v>40.772888180000002</v>
          </cell>
          <cell r="AD247">
            <v>35.973693849999997</v>
          </cell>
        </row>
        <row r="248">
          <cell r="L248" t="str">
            <v>الصفا</v>
          </cell>
          <cell r="M248" t="str">
            <v>C8647</v>
          </cell>
          <cell r="AC248">
            <v>40.757324220000001</v>
          </cell>
          <cell r="AD248">
            <v>35.705078129999997</v>
          </cell>
        </row>
        <row r="249">
          <cell r="L249" t="str">
            <v>غريبة الشرقبة</v>
          </cell>
          <cell r="M249" t="str">
            <v>C8648</v>
          </cell>
          <cell r="AC249">
            <v>40.766723630000001</v>
          </cell>
          <cell r="AD249">
            <v>35.626525880000003</v>
          </cell>
        </row>
        <row r="250">
          <cell r="L250" t="str">
            <v>المفرودة</v>
          </cell>
          <cell r="M250" t="str">
            <v>C8649</v>
          </cell>
          <cell r="AC250">
            <v>40.717712400000003</v>
          </cell>
          <cell r="AD250">
            <v>35.674316410000003</v>
          </cell>
        </row>
        <row r="251">
          <cell r="L251" t="str">
            <v>القويلة</v>
          </cell>
          <cell r="M251" t="str">
            <v>C8650</v>
          </cell>
          <cell r="AC251">
            <v>40.744873050000002</v>
          </cell>
          <cell r="AD251">
            <v>35.685485839999998</v>
          </cell>
        </row>
        <row r="252">
          <cell r="L252" t="str">
            <v>بلوكي</v>
          </cell>
          <cell r="M252" t="str">
            <v>C8651</v>
          </cell>
          <cell r="AC252">
            <v>40.736083979999997</v>
          </cell>
          <cell r="AD252">
            <v>35.724670410000002</v>
          </cell>
        </row>
        <row r="253">
          <cell r="L253" t="str">
            <v>المريقب</v>
          </cell>
          <cell r="M253" t="str">
            <v>C8652</v>
          </cell>
          <cell r="AC253">
            <v>40.746276860000002</v>
          </cell>
          <cell r="AD253">
            <v>35.740295410000002</v>
          </cell>
        </row>
        <row r="254">
          <cell r="L254" t="str">
            <v>المباركة</v>
          </cell>
          <cell r="M254" t="str">
            <v>C8653</v>
          </cell>
          <cell r="AC254">
            <v>40.847473149999999</v>
          </cell>
          <cell r="AD254">
            <v>35.761108399999998</v>
          </cell>
        </row>
        <row r="255">
          <cell r="L255" t="str">
            <v>التمينة</v>
          </cell>
          <cell r="M255" t="str">
            <v>C8654</v>
          </cell>
          <cell r="AC255">
            <v>40.838317869999997</v>
          </cell>
          <cell r="AD255">
            <v>35.828308110000002</v>
          </cell>
        </row>
        <row r="256">
          <cell r="L256" t="str">
            <v>أم العويص</v>
          </cell>
          <cell r="M256" t="str">
            <v>C8655</v>
          </cell>
          <cell r="AC256">
            <v>40.84649658</v>
          </cell>
          <cell r="AD256">
            <v>35.847106930000002</v>
          </cell>
        </row>
        <row r="257">
          <cell r="L257" t="str">
            <v>رجلة الحمزة</v>
          </cell>
          <cell r="M257" t="str">
            <v>C8658</v>
          </cell>
          <cell r="AC257">
            <v>41.059875490000003</v>
          </cell>
          <cell r="AD257">
            <v>36.016723630000001</v>
          </cell>
        </row>
        <row r="258">
          <cell r="L258" t="str">
            <v>خاشوقة</v>
          </cell>
          <cell r="M258" t="str">
            <v>C8662</v>
          </cell>
          <cell r="AC258">
            <v>40.88830566</v>
          </cell>
          <cell r="AD258">
            <v>36.581909179999997</v>
          </cell>
        </row>
        <row r="259">
          <cell r="L259" t="str">
            <v>خويلد التحتاني</v>
          </cell>
          <cell r="M259" t="str">
            <v>C8663</v>
          </cell>
          <cell r="AC259">
            <v>40.926086429999998</v>
          </cell>
          <cell r="AD259">
            <v>36.601074220000001</v>
          </cell>
        </row>
        <row r="260">
          <cell r="L260" t="str">
            <v>خربة الشيخ أحمد</v>
          </cell>
          <cell r="M260" t="str">
            <v>C8665</v>
          </cell>
          <cell r="AC260">
            <v>41.029479979999998</v>
          </cell>
          <cell r="AD260">
            <v>36.774291990000002</v>
          </cell>
        </row>
        <row r="261">
          <cell r="L261" t="str">
            <v>نستل</v>
          </cell>
          <cell r="M261" t="str">
            <v>C8666</v>
          </cell>
          <cell r="AC261">
            <v>41.119323729999998</v>
          </cell>
          <cell r="AD261">
            <v>36.763122559999999</v>
          </cell>
        </row>
        <row r="262">
          <cell r="L262" t="str">
            <v>سيحا</v>
          </cell>
          <cell r="M262" t="str">
            <v>C8667</v>
          </cell>
          <cell r="AC262">
            <v>41.123718259999997</v>
          </cell>
          <cell r="AD262">
            <v>36.805114750000001</v>
          </cell>
        </row>
        <row r="263">
          <cell r="L263" t="str">
            <v>نجمة</v>
          </cell>
          <cell r="M263" t="str">
            <v>C8668</v>
          </cell>
          <cell r="AC263">
            <v>41.113708500000001</v>
          </cell>
          <cell r="AD263">
            <v>36.619689940000001</v>
          </cell>
        </row>
        <row r="264">
          <cell r="L264" t="str">
            <v>العلقانة</v>
          </cell>
          <cell r="M264" t="str">
            <v>C8669</v>
          </cell>
          <cell r="AC264">
            <v>41.093688970000002</v>
          </cell>
          <cell r="AD264">
            <v>36.607910160000003</v>
          </cell>
        </row>
        <row r="265">
          <cell r="L265" t="str">
            <v>حلوة سميحان</v>
          </cell>
          <cell r="M265" t="str">
            <v>C8671</v>
          </cell>
          <cell r="AC265">
            <v>41.127929690000002</v>
          </cell>
          <cell r="AD265">
            <v>36.712890629999997</v>
          </cell>
        </row>
        <row r="266">
          <cell r="L266" t="str">
            <v>سميحان الشرقي</v>
          </cell>
          <cell r="M266" t="str">
            <v>C8672</v>
          </cell>
          <cell r="AC266">
            <v>41.132690429999997</v>
          </cell>
          <cell r="AD266">
            <v>36.699523929999998</v>
          </cell>
        </row>
        <row r="267">
          <cell r="L267" t="str">
            <v>تل عززانة</v>
          </cell>
          <cell r="M267" t="str">
            <v>C8673</v>
          </cell>
          <cell r="AC267">
            <v>41.092895509999998</v>
          </cell>
          <cell r="AD267">
            <v>36.72149658</v>
          </cell>
        </row>
        <row r="268">
          <cell r="L268" t="str">
            <v>أبو حجيرة</v>
          </cell>
          <cell r="M268" t="str">
            <v>C8674</v>
          </cell>
          <cell r="AC268">
            <v>41.183898929999998</v>
          </cell>
          <cell r="AD268">
            <v>36.752502440000001</v>
          </cell>
        </row>
        <row r="269">
          <cell r="L269" t="str">
            <v>الهيمص</v>
          </cell>
          <cell r="M269" t="str">
            <v>C8675</v>
          </cell>
          <cell r="AC269">
            <v>41.187072749999999</v>
          </cell>
          <cell r="AD269">
            <v>36.798889160000002</v>
          </cell>
        </row>
        <row r="270">
          <cell r="L270" t="str">
            <v>الحمدي</v>
          </cell>
          <cell r="M270" t="str">
            <v>C8676</v>
          </cell>
          <cell r="AC270">
            <v>41.165527339999997</v>
          </cell>
          <cell r="AD270">
            <v>36.805297850000002</v>
          </cell>
        </row>
        <row r="271">
          <cell r="L271" t="str">
            <v>لزاقة</v>
          </cell>
          <cell r="M271" t="str">
            <v>C8677</v>
          </cell>
          <cell r="AC271">
            <v>41.160522460000003</v>
          </cell>
          <cell r="AD271">
            <v>36.825500490000003</v>
          </cell>
        </row>
        <row r="272">
          <cell r="L272" t="str">
            <v>تل عضام</v>
          </cell>
          <cell r="M272" t="str">
            <v>C8678</v>
          </cell>
          <cell r="AC272">
            <v>41.20129395</v>
          </cell>
          <cell r="AD272">
            <v>36.73828125</v>
          </cell>
        </row>
        <row r="273">
          <cell r="L273" t="str">
            <v>رميلان</v>
          </cell>
          <cell r="M273" t="str">
            <v>C8680</v>
          </cell>
          <cell r="AC273">
            <v>40.478088380000003</v>
          </cell>
          <cell r="AD273">
            <v>36.16772461</v>
          </cell>
        </row>
        <row r="274">
          <cell r="L274" t="str">
            <v>زهراوية</v>
          </cell>
          <cell r="M274" t="str">
            <v>C8681</v>
          </cell>
          <cell r="AC274">
            <v>40.470275880000003</v>
          </cell>
          <cell r="AD274">
            <v>36.161499020000001</v>
          </cell>
        </row>
        <row r="275">
          <cell r="L275" t="str">
            <v>صويان</v>
          </cell>
          <cell r="M275" t="str">
            <v>C8682</v>
          </cell>
          <cell r="AC275">
            <v>40.490905759999997</v>
          </cell>
          <cell r="AD275">
            <v>36.165283199999998</v>
          </cell>
        </row>
        <row r="276">
          <cell r="L276" t="str">
            <v>غزيلان الشرقية</v>
          </cell>
          <cell r="M276" t="str">
            <v>C8683</v>
          </cell>
          <cell r="AC276">
            <v>40.424682619999999</v>
          </cell>
          <cell r="AD276">
            <v>36.240722660000003</v>
          </cell>
        </row>
        <row r="277">
          <cell r="L277" t="str">
            <v>سنقام</v>
          </cell>
          <cell r="M277" t="str">
            <v>C8684</v>
          </cell>
          <cell r="AC277">
            <v>40.475708009999998</v>
          </cell>
          <cell r="AD277">
            <v>36.283508300000001</v>
          </cell>
        </row>
        <row r="278">
          <cell r="L278" t="str">
            <v>الخانو</v>
          </cell>
          <cell r="M278" t="str">
            <v>C8686</v>
          </cell>
          <cell r="AC278">
            <v>40.282287599999997</v>
          </cell>
          <cell r="AD278">
            <v>36.242675779999999</v>
          </cell>
        </row>
        <row r="279">
          <cell r="L279" t="str">
            <v>صبورية</v>
          </cell>
          <cell r="M279" t="str">
            <v>C8687</v>
          </cell>
          <cell r="AC279">
            <v>40.72747803</v>
          </cell>
          <cell r="AD279">
            <v>36.234924319999998</v>
          </cell>
        </row>
        <row r="280">
          <cell r="L280" t="str">
            <v>سيحا</v>
          </cell>
          <cell r="M280" t="str">
            <v>C8689</v>
          </cell>
          <cell r="AC280">
            <v>40.691711429999998</v>
          </cell>
          <cell r="AD280">
            <v>36.175292970000001</v>
          </cell>
        </row>
        <row r="281">
          <cell r="L281" t="str">
            <v>بيجبارنا</v>
          </cell>
          <cell r="M281" t="str">
            <v>C8692</v>
          </cell>
          <cell r="AC281">
            <v>38.978271479999997</v>
          </cell>
          <cell r="AD281">
            <v>36.613891600000002</v>
          </cell>
        </row>
        <row r="282">
          <cell r="L282" t="str">
            <v>بير تامه</v>
          </cell>
          <cell r="M282" t="str">
            <v>C8693</v>
          </cell>
          <cell r="AC282">
            <v>38.783508300000001</v>
          </cell>
          <cell r="AD282">
            <v>36.647094729999999</v>
          </cell>
        </row>
        <row r="283">
          <cell r="L283" t="str">
            <v>الرسم</v>
          </cell>
          <cell r="M283" t="str">
            <v>C8694</v>
          </cell>
          <cell r="AC283">
            <v>39.18591309</v>
          </cell>
          <cell r="AD283">
            <v>36.601501470000002</v>
          </cell>
        </row>
        <row r="284">
          <cell r="L284" t="str">
            <v>المستور</v>
          </cell>
          <cell r="M284" t="str">
            <v>C8695</v>
          </cell>
          <cell r="AC284">
            <v>39.122070309999998</v>
          </cell>
          <cell r="AD284">
            <v>36.620300290000003</v>
          </cell>
        </row>
        <row r="285">
          <cell r="L285" t="str">
            <v>جديدة سلوك</v>
          </cell>
          <cell r="M285" t="str">
            <v>C8696</v>
          </cell>
          <cell r="AC285">
            <v>39.081481930000002</v>
          </cell>
          <cell r="AD285">
            <v>36.623291020000003</v>
          </cell>
        </row>
        <row r="286">
          <cell r="L286" t="str">
            <v>كصاص سلوك</v>
          </cell>
          <cell r="M286" t="str">
            <v>C8697</v>
          </cell>
          <cell r="AC286">
            <v>39.093078609999999</v>
          </cell>
          <cell r="AD286">
            <v>36.608520509999998</v>
          </cell>
        </row>
        <row r="287">
          <cell r="L287" t="str">
            <v>الزئبقية</v>
          </cell>
          <cell r="M287" t="str">
            <v>C8698</v>
          </cell>
          <cell r="AC287">
            <v>39.026916499999999</v>
          </cell>
          <cell r="AD287">
            <v>36.565917970000001</v>
          </cell>
        </row>
        <row r="288">
          <cell r="L288" t="str">
            <v>بير زنار</v>
          </cell>
          <cell r="M288" t="str">
            <v>C8700</v>
          </cell>
          <cell r="AC288">
            <v>38.718872070000003</v>
          </cell>
          <cell r="AD288">
            <v>36.558471679999997</v>
          </cell>
        </row>
        <row r="289">
          <cell r="L289" t="str">
            <v>المطيوره</v>
          </cell>
          <cell r="M289" t="str">
            <v>C8702</v>
          </cell>
          <cell r="AC289">
            <v>38.81091309</v>
          </cell>
          <cell r="AD289">
            <v>35.907470699999998</v>
          </cell>
        </row>
        <row r="290">
          <cell r="L290" t="str">
            <v>البجعة</v>
          </cell>
          <cell r="M290" t="str">
            <v>C8703</v>
          </cell>
          <cell r="AC290">
            <v>36.687316899999999</v>
          </cell>
          <cell r="AD290">
            <v>32.79528809</v>
          </cell>
        </row>
        <row r="291">
          <cell r="L291" t="str">
            <v>بيت قدار</v>
          </cell>
          <cell r="M291" t="str">
            <v>C8704</v>
          </cell>
          <cell r="AC291">
            <v>35.908081060000001</v>
          </cell>
          <cell r="AD291">
            <v>35.839111330000001</v>
          </cell>
        </row>
        <row r="292">
          <cell r="L292" t="str">
            <v>وادي قنديل</v>
          </cell>
          <cell r="M292" t="str">
            <v>C8705</v>
          </cell>
          <cell r="AC292">
            <v>35.851501470000002</v>
          </cell>
          <cell r="AD292">
            <v>35.718688970000002</v>
          </cell>
        </row>
        <row r="293">
          <cell r="L293" t="str">
            <v>فطيرو</v>
          </cell>
          <cell r="M293" t="str">
            <v>C8706</v>
          </cell>
          <cell r="AC293">
            <v>35.85131836</v>
          </cell>
          <cell r="AD293">
            <v>35.623718259999997</v>
          </cell>
        </row>
        <row r="294">
          <cell r="L294" t="str">
            <v>مشرفة تل مكسور</v>
          </cell>
          <cell r="M294" t="str">
            <v>C8708</v>
          </cell>
          <cell r="AC294">
            <v>37.46392822</v>
          </cell>
          <cell r="AD294">
            <v>36.258300779999999</v>
          </cell>
        </row>
        <row r="295">
          <cell r="L295" t="str">
            <v>العبوية</v>
          </cell>
          <cell r="M295" t="str">
            <v>C8709</v>
          </cell>
          <cell r="AC295">
            <v>37.592529300000002</v>
          </cell>
          <cell r="AD295">
            <v>36.250122070000003</v>
          </cell>
        </row>
        <row r="296">
          <cell r="L296" t="str">
            <v>تلهو</v>
          </cell>
          <cell r="M296" t="str">
            <v>C8710</v>
          </cell>
          <cell r="AC296">
            <v>37.358093259999997</v>
          </cell>
          <cell r="AD296">
            <v>35.998901369999999</v>
          </cell>
        </row>
        <row r="297">
          <cell r="L297" t="str">
            <v>رسم الحلو</v>
          </cell>
          <cell r="M297" t="str">
            <v>C8711</v>
          </cell>
          <cell r="AC297">
            <v>37.285522460000003</v>
          </cell>
          <cell r="AD297">
            <v>36.027526860000002</v>
          </cell>
        </row>
        <row r="298">
          <cell r="L298" t="str">
            <v>مرزعة أبو عبدة</v>
          </cell>
          <cell r="M298" t="str">
            <v>C8712</v>
          </cell>
          <cell r="AC298">
            <v>37.401306150000003</v>
          </cell>
          <cell r="AD298">
            <v>35.944091800000002</v>
          </cell>
        </row>
        <row r="299">
          <cell r="L299" t="str">
            <v>رسم العيش</v>
          </cell>
          <cell r="M299" t="str">
            <v>C8713</v>
          </cell>
          <cell r="AC299">
            <v>37.501708979999997</v>
          </cell>
          <cell r="AD299">
            <v>35.864074709999997</v>
          </cell>
        </row>
        <row r="300">
          <cell r="L300" t="str">
            <v>خربة كويس</v>
          </cell>
          <cell r="M300" t="str">
            <v>C8714</v>
          </cell>
          <cell r="AC300">
            <v>37.63049316</v>
          </cell>
          <cell r="AD300">
            <v>35.826904300000002</v>
          </cell>
        </row>
        <row r="301">
          <cell r="L301" t="str">
            <v>أم عدسة</v>
          </cell>
          <cell r="M301" t="str">
            <v>C8715</v>
          </cell>
          <cell r="AC301">
            <v>37.154296879999997</v>
          </cell>
          <cell r="AD301">
            <v>35.639526369999999</v>
          </cell>
        </row>
        <row r="302">
          <cell r="L302" t="str">
            <v>بخجة</v>
          </cell>
          <cell r="M302" t="str">
            <v>C8716</v>
          </cell>
          <cell r="AC302">
            <v>36.770080569999998</v>
          </cell>
          <cell r="AD302">
            <v>36.761901860000002</v>
          </cell>
        </row>
        <row r="303">
          <cell r="L303" t="str">
            <v>كاباجوك</v>
          </cell>
          <cell r="M303" t="str">
            <v>C8717</v>
          </cell>
          <cell r="AC303">
            <v>38.484680179999998</v>
          </cell>
          <cell r="AD303">
            <v>36.80310059</v>
          </cell>
        </row>
        <row r="304">
          <cell r="L304" t="str">
            <v>الحامك</v>
          </cell>
          <cell r="M304" t="str">
            <v>C8718</v>
          </cell>
          <cell r="AC304">
            <v>38.6505127</v>
          </cell>
          <cell r="AD304">
            <v>36.506286619999997</v>
          </cell>
        </row>
        <row r="305">
          <cell r="L305" t="str">
            <v>درة بابيري فوقاني</v>
          </cell>
          <cell r="M305" t="str">
            <v>C8719</v>
          </cell>
          <cell r="AC305">
            <v>38.007690429999997</v>
          </cell>
          <cell r="AD305">
            <v>36.158081060000001</v>
          </cell>
        </row>
        <row r="306">
          <cell r="L306" t="str">
            <v>المزرعة السادسة</v>
          </cell>
          <cell r="M306" t="str">
            <v>C8720</v>
          </cell>
          <cell r="AC306">
            <v>37.975891109999999</v>
          </cell>
          <cell r="AD306">
            <v>35.861328129999997</v>
          </cell>
        </row>
        <row r="307">
          <cell r="L307" t="str">
            <v>جب الحمام</v>
          </cell>
          <cell r="M307" t="str">
            <v>C8721</v>
          </cell>
          <cell r="AC307">
            <v>37.950317380000001</v>
          </cell>
          <cell r="AD307">
            <v>35.888671879999997</v>
          </cell>
        </row>
        <row r="308">
          <cell r="L308" t="str">
            <v>المزرعة الثالثة</v>
          </cell>
          <cell r="M308" t="str">
            <v>C8722</v>
          </cell>
          <cell r="AC308">
            <v>37.914916990000002</v>
          </cell>
          <cell r="AD308">
            <v>36.030883789999997</v>
          </cell>
        </row>
        <row r="309">
          <cell r="L309" t="str">
            <v>العلوة</v>
          </cell>
          <cell r="M309" t="str">
            <v>C8723</v>
          </cell>
          <cell r="AC309">
            <v>38.034484859999999</v>
          </cell>
          <cell r="AD309">
            <v>36.061279300000002</v>
          </cell>
        </row>
        <row r="310">
          <cell r="L310" t="str">
            <v>الحسيبية</v>
          </cell>
          <cell r="M310" t="str">
            <v>C8724</v>
          </cell>
          <cell r="AC310">
            <v>36.576110839999998</v>
          </cell>
          <cell r="AD310">
            <v>34.45129395</v>
          </cell>
        </row>
        <row r="311">
          <cell r="L311" t="str">
            <v>الصفصافة</v>
          </cell>
          <cell r="M311" t="str">
            <v>C8725</v>
          </cell>
          <cell r="AC311">
            <v>36.514099119999997</v>
          </cell>
          <cell r="AD311">
            <v>34.482116699999999</v>
          </cell>
        </row>
        <row r="312">
          <cell r="L312" t="str">
            <v>الجوادية</v>
          </cell>
          <cell r="M312" t="str">
            <v>C8726</v>
          </cell>
          <cell r="AC312">
            <v>36.532897949999999</v>
          </cell>
          <cell r="AD312">
            <v>34.534484859999999</v>
          </cell>
        </row>
        <row r="313">
          <cell r="L313" t="str">
            <v>البراك</v>
          </cell>
          <cell r="M313" t="str">
            <v>C8727</v>
          </cell>
          <cell r="AC313">
            <v>36.54571533</v>
          </cell>
          <cell r="AD313">
            <v>34.554321289999997</v>
          </cell>
        </row>
        <row r="314">
          <cell r="L314" t="str">
            <v>الاظنية</v>
          </cell>
          <cell r="M314" t="str">
            <v>C8728</v>
          </cell>
          <cell r="AC314">
            <v>36.54412842</v>
          </cell>
          <cell r="AD314">
            <v>34.485717770000001</v>
          </cell>
        </row>
        <row r="315">
          <cell r="L315" t="str">
            <v>جوسية الخراب</v>
          </cell>
          <cell r="M315" t="str">
            <v>C8729</v>
          </cell>
          <cell r="AC315">
            <v>36.558898929999998</v>
          </cell>
          <cell r="AD315">
            <v>34.425476070000002</v>
          </cell>
        </row>
        <row r="316">
          <cell r="L316" t="str">
            <v>العبودية</v>
          </cell>
          <cell r="M316" t="str">
            <v>C8730</v>
          </cell>
          <cell r="AC316">
            <v>36.626281740000003</v>
          </cell>
          <cell r="AD316">
            <v>34.446105959999997</v>
          </cell>
        </row>
        <row r="317">
          <cell r="L317" t="str">
            <v>الكتيبة</v>
          </cell>
          <cell r="M317" t="str">
            <v>C8731</v>
          </cell>
          <cell r="AC317">
            <v>36.197875979999999</v>
          </cell>
          <cell r="AD317">
            <v>32.742919919999999</v>
          </cell>
        </row>
        <row r="318">
          <cell r="L318" t="str">
            <v>الطكيحي</v>
          </cell>
          <cell r="M318" t="str">
            <v>C8732</v>
          </cell>
          <cell r="AC318">
            <v>40.470886229999998</v>
          </cell>
          <cell r="AD318">
            <v>35.172729490000002</v>
          </cell>
        </row>
        <row r="319">
          <cell r="L319" t="str">
            <v>المنصورة</v>
          </cell>
          <cell r="M319" t="str">
            <v>C8733</v>
          </cell>
          <cell r="AC319">
            <v>36.813476559999998</v>
          </cell>
          <cell r="AD319">
            <v>33.892089839999997</v>
          </cell>
        </row>
        <row r="320">
          <cell r="L320" t="str">
            <v>البريكة</v>
          </cell>
          <cell r="M320" t="str">
            <v>C8734</v>
          </cell>
          <cell r="AC320">
            <v>36.816528320000003</v>
          </cell>
          <cell r="AD320">
            <v>34.154296879999997</v>
          </cell>
        </row>
        <row r="321">
          <cell r="L321" t="str">
            <v>زمرين</v>
          </cell>
          <cell r="M321" t="str">
            <v>C8735</v>
          </cell>
          <cell r="AC321">
            <v>35.938903809999999</v>
          </cell>
          <cell r="AD321">
            <v>35.000122070000003</v>
          </cell>
        </row>
        <row r="322">
          <cell r="L322" t="str">
            <v>مزرعة الريف</v>
          </cell>
          <cell r="M322" t="str">
            <v>C8736</v>
          </cell>
          <cell r="AC322">
            <v>37.799926759999998</v>
          </cell>
          <cell r="AD322">
            <v>36.226501470000002</v>
          </cell>
        </row>
        <row r="323">
          <cell r="L323" t="str">
            <v>عربيد صغير</v>
          </cell>
          <cell r="M323" t="str">
            <v>C8739</v>
          </cell>
          <cell r="AC323">
            <v>37.563110350000002</v>
          </cell>
          <cell r="AD323">
            <v>36.206298830000001</v>
          </cell>
        </row>
        <row r="324">
          <cell r="L324" t="str">
            <v>المالكية</v>
          </cell>
          <cell r="M324" t="str">
            <v>C8740</v>
          </cell>
          <cell r="AC324">
            <v>37.672302250000001</v>
          </cell>
          <cell r="AD324">
            <v>36.168518069999998</v>
          </cell>
        </row>
        <row r="325">
          <cell r="L325" t="str">
            <v>الحميرة</v>
          </cell>
          <cell r="M325" t="str">
            <v>C8741</v>
          </cell>
          <cell r="AC325">
            <v>37.275329589999998</v>
          </cell>
          <cell r="AD325">
            <v>36.115905759999997</v>
          </cell>
        </row>
        <row r="326">
          <cell r="L326" t="str">
            <v>الدافي</v>
          </cell>
          <cell r="M326" t="str">
            <v>C8742</v>
          </cell>
          <cell r="AC326">
            <v>38.402893069999998</v>
          </cell>
          <cell r="AD326">
            <v>36.580322270000003</v>
          </cell>
        </row>
        <row r="327">
          <cell r="L327" t="str">
            <v>العبيدات</v>
          </cell>
          <cell r="M327" t="str">
            <v>C8743</v>
          </cell>
          <cell r="AC327">
            <v>38.34350586</v>
          </cell>
          <cell r="AD327">
            <v>36.50390625</v>
          </cell>
        </row>
        <row r="328">
          <cell r="L328" t="str">
            <v>باليك</v>
          </cell>
          <cell r="M328" t="str">
            <v>C8744</v>
          </cell>
          <cell r="AC328">
            <v>38.374328609999999</v>
          </cell>
          <cell r="AD328">
            <v>36.668090820000003</v>
          </cell>
        </row>
        <row r="329">
          <cell r="L329" t="str">
            <v>التوينة</v>
          </cell>
          <cell r="M329" t="str">
            <v>C4351</v>
          </cell>
          <cell r="AC329">
            <v>40.649291990000002</v>
          </cell>
          <cell r="AD329">
            <v>36.55767822</v>
          </cell>
        </row>
        <row r="330">
          <cell r="L330" t="str">
            <v>حوايج بومصعة</v>
          </cell>
          <cell r="M330" t="str">
            <v>C5105</v>
          </cell>
          <cell r="AC330">
            <v>40.079528809999999</v>
          </cell>
          <cell r="AD330">
            <v>35.46209717</v>
          </cell>
        </row>
        <row r="331">
          <cell r="L331" t="str">
            <v>محيميدة</v>
          </cell>
          <cell r="M331" t="str">
            <v>C5106</v>
          </cell>
          <cell r="AC331">
            <v>40.088317869999997</v>
          </cell>
          <cell r="AD331">
            <v>35.441711429999998</v>
          </cell>
        </row>
        <row r="332">
          <cell r="L332" t="str">
            <v>الطيانة</v>
          </cell>
          <cell r="M332" t="str">
            <v>C5197</v>
          </cell>
          <cell r="AC332">
            <v>40.544494630000003</v>
          </cell>
          <cell r="AD332">
            <v>34.984313970000002</v>
          </cell>
        </row>
        <row r="333">
          <cell r="L333" t="str">
            <v>درنج</v>
          </cell>
          <cell r="M333" t="str">
            <v>C5200</v>
          </cell>
          <cell r="AC333">
            <v>40.587890629999997</v>
          </cell>
          <cell r="AD333">
            <v>34.927490229999997</v>
          </cell>
        </row>
        <row r="334">
          <cell r="L334" t="str">
            <v>الخاتونية</v>
          </cell>
          <cell r="M334" t="str">
            <v>C5675</v>
          </cell>
          <cell r="AC334">
            <v>38.884277339999997</v>
          </cell>
          <cell r="AD334">
            <v>35.946716309999999</v>
          </cell>
        </row>
        <row r="335">
          <cell r="L335" t="str">
            <v>رويان</v>
          </cell>
          <cell r="M335" t="str">
            <v>C5677</v>
          </cell>
          <cell r="AC335">
            <v>38.815124509999997</v>
          </cell>
          <cell r="AD335">
            <v>36.106079100000002</v>
          </cell>
        </row>
        <row r="336">
          <cell r="L336" t="str">
            <v>حتاش</v>
          </cell>
          <cell r="M336" t="str">
            <v>C5682</v>
          </cell>
          <cell r="AC336">
            <v>38.992675779999999</v>
          </cell>
          <cell r="AD336">
            <v>36.115478520000003</v>
          </cell>
        </row>
        <row r="337">
          <cell r="L337" t="str">
            <v>الكالطة</v>
          </cell>
          <cell r="M337" t="str">
            <v>C5683</v>
          </cell>
          <cell r="AC337">
            <v>39.014892580000001</v>
          </cell>
          <cell r="AD337">
            <v>36.179504399999999</v>
          </cell>
        </row>
        <row r="338">
          <cell r="L338" t="str">
            <v>الزاهرة</v>
          </cell>
          <cell r="M338" t="str">
            <v>C5685</v>
          </cell>
          <cell r="AC338">
            <v>38.825683589999997</v>
          </cell>
          <cell r="AD338">
            <v>36.173522949999999</v>
          </cell>
        </row>
        <row r="339">
          <cell r="L339" t="str">
            <v>حطين</v>
          </cell>
          <cell r="M339" t="str">
            <v>C5703</v>
          </cell>
          <cell r="AC339">
            <v>38.97290039</v>
          </cell>
          <cell r="AD339">
            <v>35.996704100000002</v>
          </cell>
        </row>
        <row r="340">
          <cell r="L340" t="str">
            <v>الحدباء</v>
          </cell>
          <cell r="M340" t="str">
            <v>C5724</v>
          </cell>
          <cell r="AC340">
            <v>38.727111819999998</v>
          </cell>
          <cell r="AD340">
            <v>36.033081060000001</v>
          </cell>
        </row>
        <row r="341">
          <cell r="L341" t="str">
            <v>كبش غربي</v>
          </cell>
          <cell r="M341" t="str">
            <v>C5737</v>
          </cell>
          <cell r="AC341">
            <v>38.784301759999998</v>
          </cell>
          <cell r="AD341">
            <v>36.131286619999997</v>
          </cell>
        </row>
        <row r="342">
          <cell r="L342" t="str">
            <v>يعرب</v>
          </cell>
          <cell r="M342" t="str">
            <v>C5741</v>
          </cell>
          <cell r="AC342">
            <v>38.873718259999997</v>
          </cell>
          <cell r="AD342">
            <v>35.976684570000003</v>
          </cell>
        </row>
        <row r="343">
          <cell r="L343" t="str">
            <v>كبش وسطي</v>
          </cell>
          <cell r="M343" t="str">
            <v>C6377</v>
          </cell>
          <cell r="AC343">
            <v>38.841125490000003</v>
          </cell>
          <cell r="AD343">
            <v>36.128295899999998</v>
          </cell>
        </row>
        <row r="344">
          <cell r="L344" t="str">
            <v>رطلة</v>
          </cell>
          <cell r="M344" t="str">
            <v>C6718</v>
          </cell>
          <cell r="AC344">
            <v>39.052917479999998</v>
          </cell>
          <cell r="AD344">
            <v>35.881286619999997</v>
          </cell>
        </row>
        <row r="345">
          <cell r="L345" t="str">
            <v>أبو كبيع شرقي</v>
          </cell>
          <cell r="M345" t="str">
            <v>C6723</v>
          </cell>
          <cell r="AC345">
            <v>38.910095220000002</v>
          </cell>
          <cell r="AD345">
            <v>35.91290283</v>
          </cell>
        </row>
        <row r="346">
          <cell r="L346" t="str">
            <v>هنيدة</v>
          </cell>
          <cell r="M346" t="str">
            <v>C6848</v>
          </cell>
          <cell r="AC346">
            <v>38.709472660000003</v>
          </cell>
          <cell r="AD346">
            <v>35.830688479999999</v>
          </cell>
        </row>
        <row r="347">
          <cell r="L347" t="str">
            <v>خربة محمد</v>
          </cell>
          <cell r="M347" t="str">
            <v>C6855</v>
          </cell>
          <cell r="AC347">
            <v>39.023315429999997</v>
          </cell>
          <cell r="AD347">
            <v>35.883483890000001</v>
          </cell>
        </row>
        <row r="348">
          <cell r="L348" t="str">
            <v>أبو وحل</v>
          </cell>
          <cell r="M348" t="str">
            <v>C6900</v>
          </cell>
          <cell r="AC348">
            <v>39.28790283</v>
          </cell>
          <cell r="AD348">
            <v>36.034484859999999</v>
          </cell>
        </row>
        <row r="349">
          <cell r="L349" t="str">
            <v>الخضر</v>
          </cell>
          <cell r="M349" t="str">
            <v>C6979</v>
          </cell>
          <cell r="AC349">
            <v>39.032714839999997</v>
          </cell>
          <cell r="AD349">
            <v>36.270874020000001</v>
          </cell>
        </row>
        <row r="350">
          <cell r="L350" t="str">
            <v>دمشق</v>
          </cell>
          <cell r="M350" t="str">
            <v>C1001</v>
          </cell>
          <cell r="AC350">
            <v>36.276672359999999</v>
          </cell>
          <cell r="AD350">
            <v>33.517272949999999</v>
          </cell>
        </row>
        <row r="351">
          <cell r="L351" t="str">
            <v>اليرموك</v>
          </cell>
          <cell r="M351" t="str">
            <v>C1002</v>
          </cell>
          <cell r="AC351">
            <v>36.305725099999997</v>
          </cell>
          <cell r="AD351">
            <v>33.471313479999999</v>
          </cell>
        </row>
        <row r="352">
          <cell r="L352" t="str">
            <v>المسلمية</v>
          </cell>
          <cell r="M352" t="str">
            <v>C1003</v>
          </cell>
          <cell r="AC352">
            <v>37.205688479999999</v>
          </cell>
          <cell r="AD352">
            <v>36.310119630000003</v>
          </cell>
        </row>
        <row r="353">
          <cell r="L353" t="str">
            <v>عسان</v>
          </cell>
          <cell r="M353" t="str">
            <v>C1004</v>
          </cell>
          <cell r="AC353">
            <v>37.225280759999997</v>
          </cell>
          <cell r="AD353">
            <v>36.086486819999998</v>
          </cell>
        </row>
        <row r="354">
          <cell r="L354" t="str">
            <v>الذهبية</v>
          </cell>
          <cell r="M354" t="str">
            <v>C1005</v>
          </cell>
          <cell r="AC354">
            <v>37.201477050000001</v>
          </cell>
          <cell r="AD354">
            <v>36.136901860000002</v>
          </cell>
        </row>
        <row r="355">
          <cell r="L355" t="str">
            <v>صقلايا</v>
          </cell>
          <cell r="M355" t="str">
            <v>C1006</v>
          </cell>
          <cell r="AC355">
            <v>37.195495610000002</v>
          </cell>
          <cell r="AD355">
            <v>36.124511720000001</v>
          </cell>
        </row>
        <row r="356">
          <cell r="L356" t="str">
            <v>حلب</v>
          </cell>
          <cell r="M356" t="str">
            <v>C1007</v>
          </cell>
          <cell r="AC356">
            <v>37.152526860000002</v>
          </cell>
          <cell r="AD356">
            <v>36.20611572</v>
          </cell>
        </row>
        <row r="357">
          <cell r="L357" t="str">
            <v>تل شغيب</v>
          </cell>
          <cell r="M357" t="str">
            <v>C1008</v>
          </cell>
          <cell r="AC357">
            <v>37.241516109999999</v>
          </cell>
          <cell r="AD357">
            <v>36.141479490000002</v>
          </cell>
        </row>
        <row r="358">
          <cell r="L358" t="str">
            <v>عبطين</v>
          </cell>
          <cell r="M358" t="str">
            <v>C1009</v>
          </cell>
          <cell r="AC358">
            <v>37.124328609999999</v>
          </cell>
          <cell r="AD358">
            <v>36.046691899999999</v>
          </cell>
        </row>
        <row r="359">
          <cell r="L359" t="str">
            <v>حدادين</v>
          </cell>
          <cell r="M359" t="str">
            <v>C1010</v>
          </cell>
          <cell r="AC359">
            <v>37.167480470000001</v>
          </cell>
          <cell r="AD359">
            <v>36.100524900000003</v>
          </cell>
        </row>
        <row r="360">
          <cell r="L360" t="str">
            <v>تل شعير سمعان</v>
          </cell>
          <cell r="M360" t="str">
            <v>C1011</v>
          </cell>
          <cell r="AC360">
            <v>37.267089839999997</v>
          </cell>
          <cell r="AD360">
            <v>36.31848145</v>
          </cell>
        </row>
        <row r="361">
          <cell r="L361" t="str">
            <v>حريبل</v>
          </cell>
          <cell r="M361" t="str">
            <v>C1012</v>
          </cell>
          <cell r="AC361">
            <v>37.173095699999998</v>
          </cell>
          <cell r="AD361">
            <v>36.132690429999997</v>
          </cell>
        </row>
        <row r="362">
          <cell r="L362" t="str">
            <v>الوضيحي</v>
          </cell>
          <cell r="M362" t="str">
            <v>C1013</v>
          </cell>
          <cell r="AC362">
            <v>37.127685550000002</v>
          </cell>
          <cell r="AD362">
            <v>36.100524900000003</v>
          </cell>
        </row>
        <row r="363">
          <cell r="L363" t="str">
            <v>حيلان</v>
          </cell>
          <cell r="M363" t="str">
            <v>C1014</v>
          </cell>
          <cell r="AC363">
            <v>37.214111330000001</v>
          </cell>
          <cell r="AD363">
            <v>36.286682130000003</v>
          </cell>
        </row>
        <row r="364">
          <cell r="L364" t="str">
            <v>خان طومان</v>
          </cell>
          <cell r="M364" t="str">
            <v>C1015</v>
          </cell>
          <cell r="AC364">
            <v>37.050903320000003</v>
          </cell>
          <cell r="AD364">
            <v>36.118530270000001</v>
          </cell>
        </row>
        <row r="365">
          <cell r="L365" t="str">
            <v>كفر صغير</v>
          </cell>
          <cell r="M365" t="str">
            <v>C1016</v>
          </cell>
          <cell r="AC365">
            <v>37.25549316</v>
          </cell>
          <cell r="AD365">
            <v>36.292907720000002</v>
          </cell>
        </row>
        <row r="366">
          <cell r="L366" t="str">
            <v>معراتة المسلمية</v>
          </cell>
          <cell r="M366" t="str">
            <v>C1017</v>
          </cell>
          <cell r="AC366">
            <v>37.199890140000001</v>
          </cell>
          <cell r="AD366">
            <v>36.340881349999997</v>
          </cell>
        </row>
        <row r="367">
          <cell r="L367" t="str">
            <v>قراص</v>
          </cell>
          <cell r="M367" t="str">
            <v>C1018</v>
          </cell>
          <cell r="AC367">
            <v>37.078918459999997</v>
          </cell>
          <cell r="AD367">
            <v>36.093078609999999</v>
          </cell>
        </row>
        <row r="368">
          <cell r="L368" t="str">
            <v>القناطر</v>
          </cell>
          <cell r="M368" t="str">
            <v>C1019</v>
          </cell>
          <cell r="AC368">
            <v>36.903686520000001</v>
          </cell>
          <cell r="AD368">
            <v>36.056518560000001</v>
          </cell>
        </row>
        <row r="369">
          <cell r="L369" t="str">
            <v>التوامة</v>
          </cell>
          <cell r="M369" t="str">
            <v>C1020</v>
          </cell>
          <cell r="AC369">
            <v>36.80950928</v>
          </cell>
          <cell r="AD369">
            <v>36.194274900000003</v>
          </cell>
        </row>
        <row r="370">
          <cell r="L370" t="str">
            <v>بابكة</v>
          </cell>
          <cell r="M370" t="str">
            <v>C1021</v>
          </cell>
          <cell r="AC370">
            <v>36.753723149999999</v>
          </cell>
          <cell r="AD370">
            <v>36.142089839999997</v>
          </cell>
        </row>
        <row r="371">
          <cell r="L371" t="str">
            <v>الأتارب</v>
          </cell>
          <cell r="M371" t="str">
            <v>C1022</v>
          </cell>
          <cell r="AC371">
            <v>36.828491210000003</v>
          </cell>
          <cell r="AD371">
            <v>36.13787842</v>
          </cell>
        </row>
        <row r="372">
          <cell r="L372" t="str">
            <v>السحارة</v>
          </cell>
          <cell r="M372" t="str">
            <v>C1023</v>
          </cell>
          <cell r="AC372">
            <v>36.842712400000003</v>
          </cell>
          <cell r="AD372">
            <v>36.183288570000002</v>
          </cell>
        </row>
        <row r="373">
          <cell r="L373" t="str">
            <v>عويجل</v>
          </cell>
          <cell r="M373" t="str">
            <v>C1024</v>
          </cell>
          <cell r="AC373">
            <v>36.92810059</v>
          </cell>
          <cell r="AD373">
            <v>36.178894040000003</v>
          </cell>
        </row>
        <row r="374">
          <cell r="L374" t="str">
            <v>باتبو</v>
          </cell>
          <cell r="M374" t="str">
            <v>C1025</v>
          </cell>
          <cell r="AC374">
            <v>36.739929199999999</v>
          </cell>
          <cell r="AD374">
            <v>36.133483890000001</v>
          </cell>
        </row>
        <row r="375">
          <cell r="L375" t="str">
            <v>ابين سمعان</v>
          </cell>
          <cell r="M375" t="str">
            <v>C1026</v>
          </cell>
          <cell r="AC375">
            <v>36.763122559999999</v>
          </cell>
          <cell r="AD375">
            <v>36.089477539999997</v>
          </cell>
        </row>
        <row r="376">
          <cell r="L376" t="str">
            <v>أورم الصغرى</v>
          </cell>
          <cell r="M376" t="str">
            <v>C1027</v>
          </cell>
          <cell r="AC376">
            <v>36.907287599999997</v>
          </cell>
          <cell r="AD376">
            <v>36.117309570000003</v>
          </cell>
        </row>
        <row r="377">
          <cell r="L377" t="str">
            <v>تديل</v>
          </cell>
          <cell r="M377" t="str">
            <v>C1028</v>
          </cell>
          <cell r="AC377">
            <v>36.88787842</v>
          </cell>
          <cell r="AD377">
            <v>36.164672850000002</v>
          </cell>
        </row>
        <row r="378">
          <cell r="L378" t="str">
            <v>أورم الكبرى</v>
          </cell>
          <cell r="M378" t="str">
            <v>C1029</v>
          </cell>
          <cell r="AC378">
            <v>36.947326660000002</v>
          </cell>
          <cell r="AD378">
            <v>36.147888180000002</v>
          </cell>
        </row>
        <row r="379">
          <cell r="L379" t="str">
            <v>الابزمو</v>
          </cell>
          <cell r="M379" t="str">
            <v>C1030</v>
          </cell>
          <cell r="AC379">
            <v>36.864685059999999</v>
          </cell>
          <cell r="AD379">
            <v>36.165527339999997</v>
          </cell>
        </row>
        <row r="380">
          <cell r="L380" t="str">
            <v>الشيخ علي</v>
          </cell>
          <cell r="M380" t="str">
            <v>C1031</v>
          </cell>
          <cell r="AC380">
            <v>36.914123539999999</v>
          </cell>
          <cell r="AD380">
            <v>36.097290039999997</v>
          </cell>
        </row>
        <row r="381">
          <cell r="L381" t="str">
            <v>الجينة</v>
          </cell>
          <cell r="M381" t="str">
            <v>C1032</v>
          </cell>
          <cell r="AC381">
            <v>36.801513669999999</v>
          </cell>
          <cell r="AD381">
            <v>36.117126470000002</v>
          </cell>
        </row>
        <row r="382">
          <cell r="L382" t="str">
            <v>كفر عمة</v>
          </cell>
          <cell r="M382" t="str">
            <v>C1033</v>
          </cell>
          <cell r="AC382">
            <v>36.873474119999997</v>
          </cell>
          <cell r="AD382">
            <v>36.140930179999998</v>
          </cell>
        </row>
        <row r="383">
          <cell r="L383" t="str">
            <v>كفر ناها</v>
          </cell>
          <cell r="M383" t="str">
            <v>C1034</v>
          </cell>
          <cell r="AC383">
            <v>36.981689449999998</v>
          </cell>
          <cell r="AD383">
            <v>36.159728999999999</v>
          </cell>
        </row>
        <row r="384">
          <cell r="L384" t="str">
            <v>كفر كرمين</v>
          </cell>
          <cell r="M384" t="str">
            <v>C1035</v>
          </cell>
          <cell r="AC384">
            <v>36.791870119999999</v>
          </cell>
          <cell r="AD384">
            <v>36.163085940000002</v>
          </cell>
        </row>
        <row r="385">
          <cell r="L385" t="str">
            <v>كفر ناصح الاتارب</v>
          </cell>
          <cell r="M385" t="str">
            <v>C1036</v>
          </cell>
          <cell r="AC385">
            <v>36.788330080000001</v>
          </cell>
          <cell r="AD385">
            <v>36.135925290000003</v>
          </cell>
        </row>
        <row r="386">
          <cell r="L386" t="str">
            <v>كفر تعال</v>
          </cell>
          <cell r="M386" t="str">
            <v>C1037</v>
          </cell>
          <cell r="AC386">
            <v>36.893920899999998</v>
          </cell>
          <cell r="AD386">
            <v>36.15350342</v>
          </cell>
        </row>
        <row r="387">
          <cell r="L387" t="str">
            <v>معارة اتارب</v>
          </cell>
          <cell r="M387" t="str">
            <v>C1038</v>
          </cell>
          <cell r="AC387">
            <v>36.818298339999998</v>
          </cell>
          <cell r="AD387">
            <v>36.157714839999997</v>
          </cell>
        </row>
        <row r="388">
          <cell r="L388" t="str">
            <v>كفر حلب</v>
          </cell>
          <cell r="M388" t="str">
            <v>C1039</v>
          </cell>
          <cell r="AC388">
            <v>36.86950684</v>
          </cell>
          <cell r="AD388">
            <v>36.059875490000003</v>
          </cell>
        </row>
        <row r="389">
          <cell r="L389" t="str">
            <v>كفر جوم غربية</v>
          </cell>
          <cell r="M389" t="str">
            <v>C1040</v>
          </cell>
          <cell r="AC389">
            <v>36.956481930000002</v>
          </cell>
          <cell r="AD389">
            <v>36.112304690000002</v>
          </cell>
        </row>
        <row r="390">
          <cell r="L390" t="str">
            <v>كفر نوران</v>
          </cell>
          <cell r="M390" t="str">
            <v>C1041</v>
          </cell>
          <cell r="AC390">
            <v>36.83227539</v>
          </cell>
          <cell r="AD390">
            <v>36.078125</v>
          </cell>
        </row>
        <row r="391">
          <cell r="L391" t="str">
            <v>رسم الجحش</v>
          </cell>
          <cell r="M391" t="str">
            <v>C1042</v>
          </cell>
          <cell r="AC391">
            <v>37.175476070000002</v>
          </cell>
          <cell r="AD391">
            <v>35.646484379999997</v>
          </cell>
        </row>
        <row r="392">
          <cell r="L392" t="str">
            <v>اعبد</v>
          </cell>
          <cell r="M392" t="str">
            <v>C1043</v>
          </cell>
          <cell r="AC392">
            <v>37.285888669999999</v>
          </cell>
          <cell r="AD392">
            <v>35.773315429999997</v>
          </cell>
        </row>
        <row r="393">
          <cell r="L393" t="str">
            <v>بطرانة</v>
          </cell>
          <cell r="M393" t="str">
            <v>C1044</v>
          </cell>
          <cell r="AC393">
            <v>37.194274900000003</v>
          </cell>
          <cell r="AD393">
            <v>35.891113279999999</v>
          </cell>
        </row>
        <row r="394">
          <cell r="L394" t="str">
            <v>علية</v>
          </cell>
          <cell r="M394" t="str">
            <v>C1045</v>
          </cell>
          <cell r="AC394">
            <v>37.19689941</v>
          </cell>
          <cell r="AD394">
            <v>35.728271479999997</v>
          </cell>
        </row>
        <row r="395">
          <cell r="L395" t="str">
            <v>تبارة الخشير</v>
          </cell>
          <cell r="M395" t="str">
            <v>C1046</v>
          </cell>
          <cell r="AC395">
            <v>37.126892089999998</v>
          </cell>
          <cell r="AD395">
            <v>35.744689940000001</v>
          </cell>
        </row>
        <row r="396">
          <cell r="L396" t="str">
            <v>جب الخفي سمعان</v>
          </cell>
          <cell r="M396" t="str">
            <v>C1047</v>
          </cell>
          <cell r="AC396">
            <v>37.307128910000003</v>
          </cell>
          <cell r="AD396">
            <v>35.812072749999999</v>
          </cell>
        </row>
        <row r="397">
          <cell r="L397" t="str">
            <v>أبو رويل</v>
          </cell>
          <cell r="M397" t="str">
            <v>C1048</v>
          </cell>
          <cell r="AC397">
            <v>37.131103520000003</v>
          </cell>
          <cell r="AD397">
            <v>35.91131592</v>
          </cell>
        </row>
        <row r="398">
          <cell r="L398" t="str">
            <v>جب عليص</v>
          </cell>
          <cell r="M398" t="str">
            <v>C1049</v>
          </cell>
          <cell r="AC398">
            <v>37.33569336</v>
          </cell>
          <cell r="AD398">
            <v>35.803283690000001</v>
          </cell>
        </row>
        <row r="399">
          <cell r="L399" t="str">
            <v>تل ماسح</v>
          </cell>
          <cell r="M399" t="str">
            <v>C1050</v>
          </cell>
          <cell r="AC399">
            <v>37.208923339999998</v>
          </cell>
          <cell r="AD399">
            <v>35.804321289999997</v>
          </cell>
        </row>
        <row r="400">
          <cell r="L400" t="str">
            <v>اصطبلات</v>
          </cell>
          <cell r="M400" t="str">
            <v>C1051</v>
          </cell>
          <cell r="AC400">
            <v>37.2755127</v>
          </cell>
          <cell r="AD400">
            <v>35.847290039999997</v>
          </cell>
        </row>
        <row r="401">
          <cell r="L401" t="str">
            <v>الصياح_صياح ظاهرية</v>
          </cell>
          <cell r="M401" t="str">
            <v>C1052</v>
          </cell>
          <cell r="AC401">
            <v>37.23852539</v>
          </cell>
          <cell r="AD401">
            <v>35.876525880000003</v>
          </cell>
        </row>
        <row r="402">
          <cell r="L402" t="str">
            <v>أم العمد قبلي</v>
          </cell>
          <cell r="M402" t="str">
            <v>C1053</v>
          </cell>
          <cell r="AC402">
            <v>37.286682130000003</v>
          </cell>
          <cell r="AD402">
            <v>35.71368408</v>
          </cell>
        </row>
        <row r="403">
          <cell r="L403" t="str">
            <v>النعمانية</v>
          </cell>
          <cell r="M403" t="str">
            <v>C1054</v>
          </cell>
          <cell r="AC403">
            <v>37.222473149999999</v>
          </cell>
          <cell r="AD403">
            <v>35.941894529999999</v>
          </cell>
        </row>
        <row r="404">
          <cell r="L404" t="str">
            <v>أم طماخ سمعان</v>
          </cell>
          <cell r="M404" t="str">
            <v>C1055</v>
          </cell>
          <cell r="AC404">
            <v>37.132873539999999</v>
          </cell>
          <cell r="AD404">
            <v>35.605285649999999</v>
          </cell>
        </row>
        <row r="405">
          <cell r="L405" t="str">
            <v>أم الهوته</v>
          </cell>
          <cell r="M405" t="str">
            <v>C1056</v>
          </cell>
          <cell r="AC405">
            <v>37.166687009999997</v>
          </cell>
          <cell r="AD405">
            <v>35.749877929999997</v>
          </cell>
        </row>
        <row r="406">
          <cell r="L406" t="str">
            <v>ارجل</v>
          </cell>
          <cell r="M406" t="str">
            <v>C1057</v>
          </cell>
          <cell r="AC406">
            <v>37.224914550000001</v>
          </cell>
          <cell r="AD406">
            <v>35.849914550000001</v>
          </cell>
        </row>
        <row r="407">
          <cell r="L407" t="str">
            <v>تل الضمان</v>
          </cell>
          <cell r="M407" t="str">
            <v>C1058</v>
          </cell>
          <cell r="AC407">
            <v>37.253723149999999</v>
          </cell>
          <cell r="AD407">
            <v>35.80767822</v>
          </cell>
        </row>
        <row r="408">
          <cell r="L408" t="str">
            <v>الحميدي</v>
          </cell>
          <cell r="M408" t="str">
            <v>C1059</v>
          </cell>
          <cell r="AC408">
            <v>37.125122070000003</v>
          </cell>
          <cell r="AD408">
            <v>35.971679690000002</v>
          </cell>
        </row>
        <row r="409">
          <cell r="L409" t="str">
            <v>تل حطابات سمعان</v>
          </cell>
          <cell r="M409" t="str">
            <v>C1060</v>
          </cell>
          <cell r="AC409">
            <v>37.20611572</v>
          </cell>
          <cell r="AD409">
            <v>35.915100099999997</v>
          </cell>
        </row>
        <row r="410">
          <cell r="L410" t="str">
            <v>دير صليبة</v>
          </cell>
          <cell r="M410" t="str">
            <v>C1061</v>
          </cell>
          <cell r="AC410">
            <v>37.173278809999999</v>
          </cell>
          <cell r="AD410">
            <v>36.013916020000003</v>
          </cell>
        </row>
        <row r="411">
          <cell r="L411" t="str">
            <v>تل حواصيد_حانوتة</v>
          </cell>
          <cell r="M411" t="str">
            <v>C1062</v>
          </cell>
          <cell r="AC411">
            <v>37.327087400000003</v>
          </cell>
          <cell r="AD411">
            <v>35.77227783</v>
          </cell>
        </row>
        <row r="412">
          <cell r="L412" t="str">
            <v>بردة</v>
          </cell>
          <cell r="M412" t="str">
            <v>C1063</v>
          </cell>
          <cell r="AC412">
            <v>37.177673339999998</v>
          </cell>
          <cell r="AD412">
            <v>35.927673339999998</v>
          </cell>
        </row>
        <row r="413">
          <cell r="L413" t="str">
            <v>أم جرين</v>
          </cell>
          <cell r="M413" t="str">
            <v>C1064</v>
          </cell>
          <cell r="AC413">
            <v>37.131286619999997</v>
          </cell>
          <cell r="AD413">
            <v>35.70910645</v>
          </cell>
        </row>
        <row r="414">
          <cell r="L414" t="str">
            <v>أم الكراميل</v>
          </cell>
          <cell r="M414" t="str">
            <v>C1065</v>
          </cell>
          <cell r="AC414">
            <v>37.063293459999997</v>
          </cell>
          <cell r="AD414">
            <v>35.862915039999997</v>
          </cell>
        </row>
        <row r="415">
          <cell r="L415" t="str">
            <v>تل احمر</v>
          </cell>
          <cell r="M415" t="str">
            <v>C1066</v>
          </cell>
          <cell r="AC415">
            <v>37.325073240000002</v>
          </cell>
          <cell r="AD415">
            <v>35.721313479999999</v>
          </cell>
        </row>
        <row r="416">
          <cell r="L416" t="str">
            <v>عوينات كبيرة</v>
          </cell>
          <cell r="M416" t="str">
            <v>C1067</v>
          </cell>
          <cell r="AC416">
            <v>37.181091309999999</v>
          </cell>
          <cell r="AD416">
            <v>35.885925290000003</v>
          </cell>
        </row>
        <row r="417">
          <cell r="L417" t="str">
            <v>رجم عميرات</v>
          </cell>
          <cell r="M417" t="str">
            <v>C1068</v>
          </cell>
          <cell r="AC417">
            <v>37.22631836</v>
          </cell>
          <cell r="AD417">
            <v>35.896301270000002</v>
          </cell>
        </row>
        <row r="418">
          <cell r="L418" t="str">
            <v>أم تينة سمعان</v>
          </cell>
          <cell r="M418" t="str">
            <v>C1069</v>
          </cell>
          <cell r="AC418">
            <v>37.223083500000001</v>
          </cell>
          <cell r="AD418">
            <v>35.701721190000001</v>
          </cell>
        </row>
        <row r="419">
          <cell r="L419" t="str">
            <v>تل صبحة</v>
          </cell>
          <cell r="M419" t="str">
            <v>C1070</v>
          </cell>
          <cell r="AC419">
            <v>37.31848145</v>
          </cell>
          <cell r="AD419">
            <v>35.700683589999997</v>
          </cell>
        </row>
        <row r="420">
          <cell r="L420" t="str">
            <v>تل عقارب</v>
          </cell>
          <cell r="M420" t="str">
            <v>C1071</v>
          </cell>
          <cell r="AC420">
            <v>37.074096679999997</v>
          </cell>
          <cell r="AD420">
            <v>35.837707520000002</v>
          </cell>
        </row>
        <row r="421">
          <cell r="L421" t="str">
            <v>بطحة</v>
          </cell>
          <cell r="M421" t="str">
            <v>C1072</v>
          </cell>
          <cell r="AC421">
            <v>37.209899900000003</v>
          </cell>
          <cell r="AD421">
            <v>35.819091800000002</v>
          </cell>
        </row>
        <row r="422">
          <cell r="L422" t="str">
            <v>عليص</v>
          </cell>
          <cell r="M422" t="str">
            <v>C1073</v>
          </cell>
          <cell r="AC422">
            <v>37.373901369999999</v>
          </cell>
          <cell r="AD422">
            <v>35.640930179999998</v>
          </cell>
        </row>
        <row r="423">
          <cell r="L423" t="str">
            <v>عندان الشيخ</v>
          </cell>
          <cell r="M423" t="str">
            <v>C1074</v>
          </cell>
          <cell r="AC423">
            <v>37.171325680000002</v>
          </cell>
          <cell r="AD423">
            <v>35.784118650000003</v>
          </cell>
        </row>
        <row r="424">
          <cell r="L424" t="str">
            <v>الحيانية</v>
          </cell>
          <cell r="M424" t="str">
            <v>C1075</v>
          </cell>
          <cell r="AC424">
            <v>37.204101559999998</v>
          </cell>
          <cell r="AD424">
            <v>35.788513180000002</v>
          </cell>
        </row>
        <row r="425">
          <cell r="L425" t="str">
            <v>بلاس</v>
          </cell>
          <cell r="M425" t="str">
            <v>C1076</v>
          </cell>
          <cell r="AC425">
            <v>37.162719729999999</v>
          </cell>
          <cell r="AD425">
            <v>36.008911130000001</v>
          </cell>
        </row>
        <row r="426">
          <cell r="L426" t="str">
            <v>شويحة اللهيب</v>
          </cell>
          <cell r="M426" t="str">
            <v>C1077</v>
          </cell>
          <cell r="AC426">
            <v>37.270507809999998</v>
          </cell>
          <cell r="AD426">
            <v>35.805297850000002</v>
          </cell>
        </row>
        <row r="427">
          <cell r="L427" t="str">
            <v>طرفاوي</v>
          </cell>
          <cell r="M427" t="str">
            <v>C1078</v>
          </cell>
          <cell r="AC427">
            <v>37.148315429999997</v>
          </cell>
          <cell r="AD427">
            <v>35.809875490000003</v>
          </cell>
        </row>
        <row r="428">
          <cell r="L428" t="str">
            <v>صعيبية</v>
          </cell>
          <cell r="M428" t="str">
            <v>C1079</v>
          </cell>
          <cell r="AC428">
            <v>37.111511229999998</v>
          </cell>
          <cell r="AD428">
            <v>35.928283690000001</v>
          </cell>
        </row>
        <row r="429">
          <cell r="L429" t="str">
            <v>المنصورة</v>
          </cell>
          <cell r="M429" t="str">
            <v>C1080</v>
          </cell>
          <cell r="AC429">
            <v>37.209472660000003</v>
          </cell>
          <cell r="AD429">
            <v>35.764282229999999</v>
          </cell>
        </row>
        <row r="430">
          <cell r="L430" t="str">
            <v>بياعة كبيرة</v>
          </cell>
          <cell r="M430" t="str">
            <v>C1081</v>
          </cell>
          <cell r="AC430">
            <v>37.143127440000001</v>
          </cell>
          <cell r="AD430">
            <v>35.6953125</v>
          </cell>
        </row>
        <row r="431">
          <cell r="L431" t="str">
            <v>بويضة كبيرة</v>
          </cell>
          <cell r="M431" t="str">
            <v>C1082</v>
          </cell>
          <cell r="AC431">
            <v>37.24127197</v>
          </cell>
          <cell r="AD431">
            <v>35.919921879999997</v>
          </cell>
        </row>
        <row r="432">
          <cell r="L432" t="str">
            <v>رسم الصفا</v>
          </cell>
          <cell r="M432" t="str">
            <v>C1083</v>
          </cell>
          <cell r="AC432">
            <v>37.274719240000003</v>
          </cell>
          <cell r="AD432">
            <v>36.004699709999997</v>
          </cell>
        </row>
        <row r="433">
          <cell r="L433" t="str">
            <v>أم قرون_أم جرن</v>
          </cell>
          <cell r="M433" t="str">
            <v>C1084</v>
          </cell>
          <cell r="AC433">
            <v>37.327697749999999</v>
          </cell>
          <cell r="AD433">
            <v>35.555725099999997</v>
          </cell>
        </row>
        <row r="434">
          <cell r="L434" t="str">
            <v>صفيرة</v>
          </cell>
          <cell r="M434" t="str">
            <v>C1085</v>
          </cell>
          <cell r="AC434">
            <v>37.19647217</v>
          </cell>
          <cell r="AD434">
            <v>36.02069092</v>
          </cell>
        </row>
        <row r="435">
          <cell r="L435" t="str">
            <v>أبو مرير</v>
          </cell>
          <cell r="M435" t="str">
            <v>C1086</v>
          </cell>
          <cell r="AC435">
            <v>37.145324709999997</v>
          </cell>
          <cell r="AD435">
            <v>35.78149414</v>
          </cell>
        </row>
        <row r="436">
          <cell r="L436" t="str">
            <v>أم غراف</v>
          </cell>
          <cell r="M436" t="str">
            <v>C1087</v>
          </cell>
          <cell r="AC436">
            <v>37.310485839999998</v>
          </cell>
          <cell r="AD436">
            <v>35.738098149999999</v>
          </cell>
        </row>
        <row r="437">
          <cell r="L437" t="str">
            <v>شويحة البو عيسى</v>
          </cell>
          <cell r="M437" t="str">
            <v>C1088</v>
          </cell>
          <cell r="AC437">
            <v>37.158874509999997</v>
          </cell>
          <cell r="AD437">
            <v>35.76287842</v>
          </cell>
        </row>
        <row r="438">
          <cell r="L438" t="str">
            <v>المنطار</v>
          </cell>
          <cell r="M438" t="str">
            <v>C1089</v>
          </cell>
          <cell r="AC438">
            <v>37.25872803</v>
          </cell>
          <cell r="AD438">
            <v>35.970092770000001</v>
          </cell>
        </row>
        <row r="439">
          <cell r="L439" t="str">
            <v>عطشانة شرقية</v>
          </cell>
          <cell r="M439" t="str">
            <v>C1090</v>
          </cell>
          <cell r="AC439">
            <v>37.116516109999999</v>
          </cell>
          <cell r="AD439">
            <v>35.864501949999998</v>
          </cell>
        </row>
        <row r="440">
          <cell r="L440" t="str">
            <v>أم غبار</v>
          </cell>
          <cell r="M440" t="str">
            <v>C1091</v>
          </cell>
          <cell r="AC440">
            <v>37.291870119999999</v>
          </cell>
          <cell r="AD440">
            <v>35.735107419999999</v>
          </cell>
        </row>
        <row r="441">
          <cell r="L441" t="str">
            <v>حلوية</v>
          </cell>
          <cell r="M441" t="str">
            <v>C1092</v>
          </cell>
          <cell r="AC441">
            <v>37.228515629999997</v>
          </cell>
          <cell r="AD441">
            <v>35.790893560000001</v>
          </cell>
        </row>
        <row r="442">
          <cell r="L442" t="str">
            <v>عطشانة غربية</v>
          </cell>
          <cell r="M442" t="str">
            <v>C1093</v>
          </cell>
          <cell r="AC442">
            <v>37.062683110000002</v>
          </cell>
          <cell r="AD442">
            <v>35.887512209999997</v>
          </cell>
        </row>
        <row r="443">
          <cell r="L443" t="str">
            <v>رسم المفكر_حلو مفكر</v>
          </cell>
          <cell r="M443" t="str">
            <v>C1094</v>
          </cell>
          <cell r="AC443">
            <v>37.203491210000003</v>
          </cell>
          <cell r="AD443">
            <v>35.589294430000002</v>
          </cell>
        </row>
        <row r="444">
          <cell r="L444" t="str">
            <v>أم عج</v>
          </cell>
          <cell r="M444" t="str">
            <v>C1095</v>
          </cell>
          <cell r="AC444">
            <v>37.249328609999999</v>
          </cell>
          <cell r="AD444">
            <v>35.578918459999997</v>
          </cell>
        </row>
        <row r="445">
          <cell r="L445" t="str">
            <v>أم وادي</v>
          </cell>
          <cell r="M445" t="str">
            <v>C1096</v>
          </cell>
          <cell r="AC445">
            <v>37.183288570000002</v>
          </cell>
          <cell r="AD445">
            <v>35.723327640000001</v>
          </cell>
        </row>
        <row r="446">
          <cell r="L446" t="str">
            <v>جفر منصور سمعان</v>
          </cell>
          <cell r="M446" t="str">
            <v>C1097</v>
          </cell>
          <cell r="AC446">
            <v>37.210327149999998</v>
          </cell>
          <cell r="AD446">
            <v>35.864685059999999</v>
          </cell>
        </row>
        <row r="447">
          <cell r="L447" t="str">
            <v>بياعة صغيرة</v>
          </cell>
          <cell r="M447" t="str">
            <v>C1098</v>
          </cell>
          <cell r="AC447">
            <v>37.116516109999999</v>
          </cell>
          <cell r="AD447">
            <v>35.698730470000001</v>
          </cell>
        </row>
        <row r="448">
          <cell r="L448" t="str">
            <v>حميدية</v>
          </cell>
          <cell r="M448" t="str">
            <v>C1099</v>
          </cell>
          <cell r="AC448">
            <v>37.105285649999999</v>
          </cell>
          <cell r="AD448">
            <v>35.961730959999997</v>
          </cell>
        </row>
        <row r="449">
          <cell r="L449" t="str">
            <v>بويضة صغيرة</v>
          </cell>
          <cell r="M449" t="str">
            <v>C1100</v>
          </cell>
          <cell r="AC449">
            <v>37.209716800000002</v>
          </cell>
          <cell r="AD449">
            <v>35.938110350000002</v>
          </cell>
        </row>
        <row r="450">
          <cell r="L450" t="str">
            <v>نوارة</v>
          </cell>
          <cell r="M450" t="str">
            <v>C1101</v>
          </cell>
          <cell r="AC450">
            <v>37.36352539</v>
          </cell>
          <cell r="AD450">
            <v>35.712890629999997</v>
          </cell>
        </row>
        <row r="451">
          <cell r="L451" t="str">
            <v>وادي الصنوع</v>
          </cell>
          <cell r="M451" t="str">
            <v>C1102</v>
          </cell>
          <cell r="AC451">
            <v>37.231689449999998</v>
          </cell>
          <cell r="AD451">
            <v>35.970886229999998</v>
          </cell>
        </row>
        <row r="452">
          <cell r="L452" t="str">
            <v>وادي الدبس</v>
          </cell>
          <cell r="M452" t="str">
            <v>C1103</v>
          </cell>
          <cell r="AC452">
            <v>37.355285649999999</v>
          </cell>
          <cell r="AD452">
            <v>35.741882320000002</v>
          </cell>
        </row>
        <row r="453">
          <cell r="L453" t="str">
            <v>هزاني</v>
          </cell>
          <cell r="M453" t="str">
            <v>C1104</v>
          </cell>
          <cell r="AC453">
            <v>37.275878910000003</v>
          </cell>
          <cell r="AD453">
            <v>35.873107910000002</v>
          </cell>
        </row>
        <row r="454">
          <cell r="L454" t="str">
            <v>مرحمية</v>
          </cell>
          <cell r="M454" t="str">
            <v>C1105</v>
          </cell>
          <cell r="AC454">
            <v>37.183288570000002</v>
          </cell>
          <cell r="AD454">
            <v>35.903320309999998</v>
          </cell>
        </row>
        <row r="455">
          <cell r="L455" t="str">
            <v>كفر إيبش</v>
          </cell>
          <cell r="M455" t="str">
            <v>C1106</v>
          </cell>
          <cell r="AC455">
            <v>37.221923830000001</v>
          </cell>
          <cell r="AD455">
            <v>35.990478520000003</v>
          </cell>
        </row>
        <row r="456">
          <cell r="L456" t="str">
            <v>مشرفة البويضتين</v>
          </cell>
          <cell r="M456" t="str">
            <v>C1107</v>
          </cell>
          <cell r="AC456">
            <v>37.233276369999999</v>
          </cell>
          <cell r="AD456">
            <v>35.932128910000003</v>
          </cell>
        </row>
        <row r="457">
          <cell r="L457" t="str">
            <v>مجاص</v>
          </cell>
          <cell r="M457" t="str">
            <v>C1108</v>
          </cell>
          <cell r="AC457">
            <v>37.135314940000001</v>
          </cell>
          <cell r="AD457">
            <v>35.77368164</v>
          </cell>
        </row>
        <row r="458">
          <cell r="L458" t="str">
            <v>قرع الغزال</v>
          </cell>
          <cell r="M458" t="str">
            <v>C1109</v>
          </cell>
          <cell r="AC458">
            <v>37.171691899999999</v>
          </cell>
          <cell r="AD458">
            <v>35.738708500000001</v>
          </cell>
        </row>
        <row r="459">
          <cell r="L459" t="str">
            <v>ماسح</v>
          </cell>
          <cell r="M459" t="str">
            <v>C1110</v>
          </cell>
          <cell r="AC459">
            <v>37.186706540000003</v>
          </cell>
          <cell r="AD459">
            <v>35.801513669999999</v>
          </cell>
        </row>
        <row r="460">
          <cell r="L460" t="str">
            <v>مداين الكبير</v>
          </cell>
          <cell r="M460" t="str">
            <v>C1111</v>
          </cell>
          <cell r="AC460">
            <v>37.30627441</v>
          </cell>
          <cell r="AD460">
            <v>35.855896000000001</v>
          </cell>
        </row>
        <row r="461">
          <cell r="L461" t="str">
            <v>كفر عبيد</v>
          </cell>
          <cell r="M461" t="str">
            <v>C1112</v>
          </cell>
          <cell r="AC461">
            <v>37.169921879999997</v>
          </cell>
          <cell r="AD461">
            <v>35.980285649999999</v>
          </cell>
        </row>
        <row r="462">
          <cell r="L462" t="str">
            <v>مشرفة ارجل</v>
          </cell>
          <cell r="M462" t="str">
            <v>C1113</v>
          </cell>
          <cell r="AC462">
            <v>37.245300290000003</v>
          </cell>
          <cell r="AD462">
            <v>35.85131836</v>
          </cell>
        </row>
        <row r="463">
          <cell r="L463" t="str">
            <v>مقتل الزيدي</v>
          </cell>
          <cell r="M463" t="str">
            <v>C1114</v>
          </cell>
          <cell r="AC463">
            <v>37.277282720000002</v>
          </cell>
          <cell r="AD463">
            <v>35.833679199999999</v>
          </cell>
        </row>
        <row r="464">
          <cell r="L464" t="str">
            <v>هوبر</v>
          </cell>
          <cell r="M464" t="str">
            <v>C1115</v>
          </cell>
          <cell r="AC464">
            <v>37.152282720000002</v>
          </cell>
          <cell r="AD464">
            <v>35.905883789999997</v>
          </cell>
        </row>
        <row r="465">
          <cell r="L465" t="str">
            <v>كولة البويدر</v>
          </cell>
          <cell r="M465" t="str">
            <v>C1116</v>
          </cell>
          <cell r="AC465">
            <v>37.16107178</v>
          </cell>
          <cell r="AD465">
            <v>35.670104979999998</v>
          </cell>
        </row>
        <row r="466">
          <cell r="L466" t="str">
            <v>مشرفة المريج</v>
          </cell>
          <cell r="M466" t="str">
            <v>C1117</v>
          </cell>
          <cell r="AC466">
            <v>37.139099119999997</v>
          </cell>
          <cell r="AD466">
            <v>35.959899900000003</v>
          </cell>
        </row>
        <row r="467">
          <cell r="L467" t="str">
            <v>مريقص</v>
          </cell>
          <cell r="M467" t="str">
            <v>C1118</v>
          </cell>
          <cell r="AC467">
            <v>37.134521479999997</v>
          </cell>
          <cell r="AD467">
            <v>35.924316410000003</v>
          </cell>
        </row>
        <row r="468">
          <cell r="L468" t="str">
            <v>غيطل_غيظل</v>
          </cell>
          <cell r="M468" t="str">
            <v>C1119</v>
          </cell>
          <cell r="AC468">
            <v>37.262084960000003</v>
          </cell>
          <cell r="AD468">
            <v>35.671081540000003</v>
          </cell>
        </row>
        <row r="469">
          <cell r="L469" t="str">
            <v>قلعة الشيخ</v>
          </cell>
          <cell r="M469" t="str">
            <v>C1120</v>
          </cell>
          <cell r="AC469">
            <v>37.336486819999998</v>
          </cell>
          <cell r="AD469">
            <v>35.7520752</v>
          </cell>
        </row>
        <row r="470">
          <cell r="L470" t="str">
            <v>عندان</v>
          </cell>
          <cell r="M470" t="str">
            <v>C1121</v>
          </cell>
          <cell r="AC470">
            <v>37.044311520000001</v>
          </cell>
          <cell r="AD470">
            <v>36.292297359999999</v>
          </cell>
        </row>
        <row r="471">
          <cell r="L471" t="str">
            <v>تيارة</v>
          </cell>
          <cell r="M471" t="str">
            <v>C1122</v>
          </cell>
          <cell r="AC471">
            <v>37.290527339999997</v>
          </cell>
          <cell r="AD471">
            <v>36.20611572</v>
          </cell>
        </row>
        <row r="472">
          <cell r="L472" t="str">
            <v>جب غبشة</v>
          </cell>
          <cell r="M472" t="str">
            <v>C1123</v>
          </cell>
          <cell r="AC472">
            <v>37.404113770000002</v>
          </cell>
          <cell r="AD472">
            <v>36.212280270000001</v>
          </cell>
        </row>
        <row r="473">
          <cell r="L473" t="str">
            <v>صفة</v>
          </cell>
          <cell r="M473" t="str">
            <v>C1124</v>
          </cell>
          <cell r="AC473">
            <v>37.34008789</v>
          </cell>
          <cell r="AD473">
            <v>36.208312990000003</v>
          </cell>
        </row>
        <row r="474">
          <cell r="L474" t="str">
            <v>باشكوي سمعان</v>
          </cell>
          <cell r="M474" t="str">
            <v>C1125</v>
          </cell>
          <cell r="AC474">
            <v>37.123901369999999</v>
          </cell>
          <cell r="AD474">
            <v>36.328918459999997</v>
          </cell>
        </row>
        <row r="475">
          <cell r="L475" t="str">
            <v>الطامورة</v>
          </cell>
          <cell r="M475" t="str">
            <v>C1126</v>
          </cell>
          <cell r="AC475">
            <v>36.995483399999998</v>
          </cell>
          <cell r="AD475">
            <v>36.315124509999997</v>
          </cell>
        </row>
        <row r="476">
          <cell r="L476" t="str">
            <v>حيان</v>
          </cell>
          <cell r="M476" t="str">
            <v>C1127</v>
          </cell>
          <cell r="AC476">
            <v>37.059082029999999</v>
          </cell>
          <cell r="AD476">
            <v>36.32330322</v>
          </cell>
        </row>
        <row r="477">
          <cell r="L477" t="str">
            <v>شيخ زيات</v>
          </cell>
          <cell r="M477" t="str">
            <v>C1128</v>
          </cell>
          <cell r="AC477">
            <v>37.273498539999999</v>
          </cell>
          <cell r="AD477">
            <v>36.255920410000002</v>
          </cell>
        </row>
        <row r="478">
          <cell r="L478" t="str">
            <v>شامر</v>
          </cell>
          <cell r="M478" t="str">
            <v>C1129</v>
          </cell>
          <cell r="AC478">
            <v>37.335083009999998</v>
          </cell>
          <cell r="AD478">
            <v>36.249877929999997</v>
          </cell>
        </row>
        <row r="479">
          <cell r="L479" t="str">
            <v>حريتان</v>
          </cell>
          <cell r="M479" t="str">
            <v>C1130</v>
          </cell>
          <cell r="AC479">
            <v>37.08868408</v>
          </cell>
          <cell r="AD479">
            <v>36.28149414</v>
          </cell>
        </row>
        <row r="480">
          <cell r="L480" t="str">
            <v>عفرين</v>
          </cell>
          <cell r="M480" t="str">
            <v>C1131</v>
          </cell>
          <cell r="AC480">
            <v>37.326110839999998</v>
          </cell>
          <cell r="AD480">
            <v>36.226074220000001</v>
          </cell>
        </row>
        <row r="481">
          <cell r="L481" t="str">
            <v>ياقد العدس</v>
          </cell>
          <cell r="M481" t="str">
            <v>C1132</v>
          </cell>
          <cell r="AC481">
            <v>37.01928711</v>
          </cell>
          <cell r="AD481">
            <v>36.264526369999999</v>
          </cell>
        </row>
        <row r="482">
          <cell r="L482" t="str">
            <v>مقبلة</v>
          </cell>
          <cell r="M482" t="str">
            <v>C1133</v>
          </cell>
          <cell r="AC482">
            <v>37.308288570000002</v>
          </cell>
          <cell r="AD482">
            <v>36.28631592</v>
          </cell>
        </row>
        <row r="483">
          <cell r="L483" t="str">
            <v>كفر حمرة</v>
          </cell>
          <cell r="M483" t="str">
            <v>C1134</v>
          </cell>
          <cell r="AC483">
            <v>37.081298830000001</v>
          </cell>
          <cell r="AD483">
            <v>36.254272460000003</v>
          </cell>
        </row>
        <row r="484">
          <cell r="L484" t="str">
            <v>كفر بسين</v>
          </cell>
          <cell r="M484" t="str">
            <v>C1135</v>
          </cell>
          <cell r="AC484">
            <v>36.999694820000002</v>
          </cell>
          <cell r="AD484">
            <v>36.27069092</v>
          </cell>
        </row>
        <row r="485">
          <cell r="L485" t="str">
            <v>معارة الأرتيق</v>
          </cell>
          <cell r="M485" t="str">
            <v>C1136</v>
          </cell>
          <cell r="AC485">
            <v>37.054870610000002</v>
          </cell>
          <cell r="AD485">
            <v>36.248107910000002</v>
          </cell>
        </row>
        <row r="486">
          <cell r="L486" t="str">
            <v>فاح</v>
          </cell>
          <cell r="M486" t="str">
            <v>C1137</v>
          </cell>
          <cell r="AC486">
            <v>37.36212158</v>
          </cell>
          <cell r="AD486">
            <v>36.203674319999998</v>
          </cell>
        </row>
        <row r="487">
          <cell r="L487" t="str">
            <v>زرزيتا</v>
          </cell>
          <cell r="M487" t="str">
            <v>C1138</v>
          </cell>
          <cell r="AC487">
            <v>36.799926759999998</v>
          </cell>
          <cell r="AD487">
            <v>36.293518069999998</v>
          </cell>
        </row>
        <row r="488">
          <cell r="L488" t="str">
            <v>دارة عزة</v>
          </cell>
          <cell r="M488" t="str">
            <v>C1139</v>
          </cell>
          <cell r="AC488">
            <v>36.851074220000001</v>
          </cell>
          <cell r="AD488">
            <v>36.285095220000002</v>
          </cell>
        </row>
        <row r="489">
          <cell r="L489" t="str">
            <v>حور</v>
          </cell>
          <cell r="M489" t="str">
            <v>C1140</v>
          </cell>
          <cell r="AC489">
            <v>36.975524900000003</v>
          </cell>
          <cell r="AD489">
            <v>36.22888184</v>
          </cell>
        </row>
        <row r="490">
          <cell r="L490" t="str">
            <v>بشنطرة</v>
          </cell>
          <cell r="M490" t="str">
            <v>C1141</v>
          </cell>
          <cell r="AC490">
            <v>36.999877929999997</v>
          </cell>
          <cell r="AD490">
            <v>36.220092770000001</v>
          </cell>
        </row>
        <row r="491">
          <cell r="L491" t="str">
            <v>ارحاب</v>
          </cell>
          <cell r="M491" t="str">
            <v>C1142</v>
          </cell>
          <cell r="AC491">
            <v>36.847717289999999</v>
          </cell>
          <cell r="AD491">
            <v>36.205505369999997</v>
          </cell>
        </row>
        <row r="492">
          <cell r="L492" t="str">
            <v>تقاد</v>
          </cell>
          <cell r="M492" t="str">
            <v>C1143</v>
          </cell>
          <cell r="AC492">
            <v>36.870483399999998</v>
          </cell>
          <cell r="AD492">
            <v>36.197326660000002</v>
          </cell>
        </row>
        <row r="493">
          <cell r="L493" t="str">
            <v>عنجارة</v>
          </cell>
          <cell r="M493" t="str">
            <v>C1144</v>
          </cell>
          <cell r="AC493">
            <v>36.94830322</v>
          </cell>
          <cell r="AD493">
            <v>36.21691895</v>
          </cell>
        </row>
        <row r="494">
          <cell r="L494" t="str">
            <v>بشقاتين</v>
          </cell>
          <cell r="M494" t="str">
            <v>C1145</v>
          </cell>
          <cell r="AC494">
            <v>36.993713380000003</v>
          </cell>
          <cell r="AD494">
            <v>36.202087400000003</v>
          </cell>
        </row>
        <row r="495">
          <cell r="L495" t="str">
            <v>الهوتة</v>
          </cell>
          <cell r="M495" t="str">
            <v>C1146</v>
          </cell>
          <cell r="AC495">
            <v>36.963317869999997</v>
          </cell>
          <cell r="AD495">
            <v>36.196105959999997</v>
          </cell>
        </row>
        <row r="496">
          <cell r="L496" t="str">
            <v>بسرطون</v>
          </cell>
          <cell r="M496" t="str">
            <v>C1147</v>
          </cell>
          <cell r="AC496">
            <v>36.910522460000003</v>
          </cell>
          <cell r="AD496">
            <v>36.202514649999998</v>
          </cell>
        </row>
        <row r="497">
          <cell r="L497" t="str">
            <v>مجبينة</v>
          </cell>
          <cell r="M497" t="str">
            <v>C1148</v>
          </cell>
          <cell r="AC497">
            <v>36.980896000000001</v>
          </cell>
          <cell r="AD497">
            <v>36.203491210000003</v>
          </cell>
        </row>
        <row r="498">
          <cell r="L498" t="str">
            <v>كفرانتين</v>
          </cell>
          <cell r="M498" t="str">
            <v>C1149</v>
          </cell>
          <cell r="AC498">
            <v>36.883117679999998</v>
          </cell>
          <cell r="AD498">
            <v>36.300292970000001</v>
          </cell>
        </row>
        <row r="499">
          <cell r="L499" t="str">
            <v>قبتان الجبل</v>
          </cell>
          <cell r="M499" t="str">
            <v>C1150</v>
          </cell>
          <cell r="AC499">
            <v>36.946289059999998</v>
          </cell>
          <cell r="AD499">
            <v>36.265319820000002</v>
          </cell>
        </row>
        <row r="500">
          <cell r="L500" t="str">
            <v>زيارة سمعان</v>
          </cell>
          <cell r="M500" t="str">
            <v>C1151</v>
          </cell>
          <cell r="AC500">
            <v>37.034301759999998</v>
          </cell>
          <cell r="AD500">
            <v>35.902709960000003</v>
          </cell>
        </row>
        <row r="501">
          <cell r="L501" t="str">
            <v>حميرة</v>
          </cell>
          <cell r="M501" t="str">
            <v>C1152</v>
          </cell>
          <cell r="AC501">
            <v>37.053283690000001</v>
          </cell>
          <cell r="AD501">
            <v>36.075927729999997</v>
          </cell>
        </row>
        <row r="502">
          <cell r="L502" t="str">
            <v>برقوم</v>
          </cell>
          <cell r="M502" t="str">
            <v>C1153</v>
          </cell>
          <cell r="AC502">
            <v>36.966308589999997</v>
          </cell>
          <cell r="AD502">
            <v>36.036682130000003</v>
          </cell>
        </row>
        <row r="503">
          <cell r="L503" t="str">
            <v>برنة</v>
          </cell>
          <cell r="M503" t="str">
            <v>C1154</v>
          </cell>
          <cell r="AC503">
            <v>37.00549316</v>
          </cell>
          <cell r="AD503">
            <v>36.031311039999999</v>
          </cell>
        </row>
        <row r="504">
          <cell r="L504" t="str">
            <v>الشيخ احمد</v>
          </cell>
          <cell r="M504" t="str">
            <v>C1155</v>
          </cell>
          <cell r="AC504">
            <v>36.88671875</v>
          </cell>
          <cell r="AD504">
            <v>35.958923339999998</v>
          </cell>
        </row>
        <row r="505">
          <cell r="L505" t="str">
            <v>زمار</v>
          </cell>
          <cell r="M505" t="str">
            <v>C1156</v>
          </cell>
          <cell r="AC505">
            <v>36.987670899999998</v>
          </cell>
          <cell r="AD505">
            <v>35.892272949999999</v>
          </cell>
        </row>
        <row r="506">
          <cell r="L506" t="str">
            <v>عثمانية كبيرة</v>
          </cell>
          <cell r="M506" t="str">
            <v>C1157</v>
          </cell>
          <cell r="AC506">
            <v>36.97290039</v>
          </cell>
          <cell r="AD506">
            <v>35.878295899999998</v>
          </cell>
        </row>
        <row r="507">
          <cell r="L507" t="str">
            <v>تل حدية</v>
          </cell>
          <cell r="M507" t="str">
            <v>C1158</v>
          </cell>
          <cell r="AC507">
            <v>36.938476559999998</v>
          </cell>
          <cell r="AD507">
            <v>35.995727539999997</v>
          </cell>
        </row>
        <row r="508">
          <cell r="L508" t="str">
            <v>أم عتبة</v>
          </cell>
          <cell r="M508" t="str">
            <v>C1159</v>
          </cell>
          <cell r="AC508">
            <v>36.901489259999998</v>
          </cell>
          <cell r="AD508">
            <v>35.980285649999999</v>
          </cell>
        </row>
        <row r="509">
          <cell r="L509" t="str">
            <v>اباد</v>
          </cell>
          <cell r="M509" t="str">
            <v>C1160</v>
          </cell>
          <cell r="AC509">
            <v>36.922912599999997</v>
          </cell>
          <cell r="AD509">
            <v>35.923278809999999</v>
          </cell>
        </row>
        <row r="510">
          <cell r="L510" t="str">
            <v>تل باجر</v>
          </cell>
          <cell r="M510" t="str">
            <v>C1161</v>
          </cell>
          <cell r="AC510">
            <v>36.982299810000001</v>
          </cell>
          <cell r="AD510">
            <v>35.94830322</v>
          </cell>
        </row>
        <row r="511">
          <cell r="L511" t="str">
            <v>رسم العيس</v>
          </cell>
          <cell r="M511" t="str">
            <v>C1162</v>
          </cell>
          <cell r="AC511">
            <v>36.921081540000003</v>
          </cell>
          <cell r="AD511">
            <v>35.964721679999997</v>
          </cell>
        </row>
        <row r="512">
          <cell r="L512" t="str">
            <v>بانص</v>
          </cell>
          <cell r="M512" t="str">
            <v>C1163</v>
          </cell>
          <cell r="AC512">
            <v>36.96850586</v>
          </cell>
          <cell r="AD512">
            <v>35.974670410000002</v>
          </cell>
        </row>
        <row r="513">
          <cell r="L513" t="str">
            <v>عرادة</v>
          </cell>
          <cell r="M513" t="str">
            <v>C1164</v>
          </cell>
          <cell r="AC513">
            <v>36.937927250000001</v>
          </cell>
          <cell r="AD513">
            <v>36.085510249999999</v>
          </cell>
        </row>
        <row r="514">
          <cell r="L514" t="str">
            <v>طلافح</v>
          </cell>
          <cell r="M514" t="str">
            <v>C1165</v>
          </cell>
          <cell r="AC514">
            <v>36.953308110000002</v>
          </cell>
          <cell r="AD514">
            <v>35.891479490000002</v>
          </cell>
        </row>
        <row r="515">
          <cell r="L515" t="str">
            <v>جب كاس</v>
          </cell>
          <cell r="M515" t="str">
            <v>C1166</v>
          </cell>
          <cell r="AC515">
            <v>36.873291020000003</v>
          </cell>
          <cell r="AD515">
            <v>35.983276369999999</v>
          </cell>
        </row>
        <row r="516">
          <cell r="L516" t="str">
            <v>زيتان</v>
          </cell>
          <cell r="M516" t="str">
            <v>C1167</v>
          </cell>
          <cell r="AC516">
            <v>37.012329100000002</v>
          </cell>
          <cell r="AD516">
            <v>36.058471679999997</v>
          </cell>
        </row>
        <row r="517">
          <cell r="L517" t="str">
            <v>جزرايا</v>
          </cell>
          <cell r="M517" t="str">
            <v>C1168</v>
          </cell>
          <cell r="AC517">
            <v>36.984924319999998</v>
          </cell>
          <cell r="AD517">
            <v>35.86029053</v>
          </cell>
        </row>
        <row r="518">
          <cell r="L518" t="str">
            <v>بوابية</v>
          </cell>
          <cell r="M518" t="str">
            <v>C1169</v>
          </cell>
          <cell r="AC518">
            <v>36.891113279999999</v>
          </cell>
          <cell r="AD518">
            <v>36.01330566</v>
          </cell>
        </row>
        <row r="519">
          <cell r="L519" t="str">
            <v>الزربة</v>
          </cell>
          <cell r="M519" t="str">
            <v>C1170</v>
          </cell>
          <cell r="AC519">
            <v>36.97888184</v>
          </cell>
          <cell r="AD519">
            <v>36.070129399999999</v>
          </cell>
        </row>
        <row r="520">
          <cell r="L520" t="str">
            <v>تل علوش</v>
          </cell>
          <cell r="M520" t="str">
            <v>C1171</v>
          </cell>
          <cell r="AC520">
            <v>37.028686520000001</v>
          </cell>
          <cell r="AD520">
            <v>35.860107419999999</v>
          </cell>
        </row>
        <row r="521">
          <cell r="L521" t="str">
            <v>حوير العيس</v>
          </cell>
          <cell r="M521" t="str">
            <v>C1172</v>
          </cell>
          <cell r="AC521">
            <v>36.977905270000001</v>
          </cell>
          <cell r="AD521">
            <v>35.919494630000003</v>
          </cell>
        </row>
        <row r="522">
          <cell r="L522" t="str">
            <v>تل ممو</v>
          </cell>
          <cell r="M522" t="str">
            <v>C1173</v>
          </cell>
          <cell r="AC522">
            <v>37.023925779999999</v>
          </cell>
          <cell r="AD522">
            <v>35.931518560000001</v>
          </cell>
        </row>
        <row r="523">
          <cell r="L523" t="str">
            <v>قماري</v>
          </cell>
          <cell r="M523" t="str">
            <v>C1174</v>
          </cell>
          <cell r="AC523">
            <v>36.934875490000003</v>
          </cell>
          <cell r="AD523">
            <v>36.04528809</v>
          </cell>
        </row>
        <row r="524">
          <cell r="L524" t="str">
            <v>كوسنيا</v>
          </cell>
          <cell r="M524" t="str">
            <v>C1175</v>
          </cell>
          <cell r="AC524">
            <v>36.925292970000001</v>
          </cell>
          <cell r="AD524">
            <v>35.946289059999998</v>
          </cell>
        </row>
        <row r="525">
          <cell r="L525" t="str">
            <v>كسيبة</v>
          </cell>
          <cell r="M525" t="str">
            <v>C1176</v>
          </cell>
          <cell r="AC525">
            <v>36.915527339999997</v>
          </cell>
          <cell r="AD525">
            <v>36.025329589999998</v>
          </cell>
        </row>
        <row r="526">
          <cell r="L526" t="str">
            <v>تليلات</v>
          </cell>
          <cell r="M526" t="str">
            <v>C1177</v>
          </cell>
          <cell r="AC526">
            <v>37.029724119999997</v>
          </cell>
          <cell r="AD526">
            <v>35.970092770000001</v>
          </cell>
        </row>
        <row r="527">
          <cell r="L527" t="str">
            <v>دلامة</v>
          </cell>
          <cell r="M527" t="str">
            <v>C1178</v>
          </cell>
          <cell r="AC527">
            <v>37.097717289999999</v>
          </cell>
          <cell r="AD527">
            <v>35.92028809</v>
          </cell>
        </row>
        <row r="528">
          <cell r="L528" t="str">
            <v>جميمة</v>
          </cell>
          <cell r="M528" t="str">
            <v>C1179</v>
          </cell>
          <cell r="AC528">
            <v>37.105102539999997</v>
          </cell>
          <cell r="AD528">
            <v>35.99908447</v>
          </cell>
        </row>
        <row r="529">
          <cell r="L529" t="str">
            <v>تل دادين</v>
          </cell>
          <cell r="M529" t="str">
            <v>C1180</v>
          </cell>
          <cell r="AC529">
            <v>37.084716800000002</v>
          </cell>
          <cell r="AD529">
            <v>35.949279789999999</v>
          </cell>
        </row>
        <row r="530">
          <cell r="L530" t="str">
            <v>العيس</v>
          </cell>
          <cell r="M530" t="str">
            <v>C1181</v>
          </cell>
          <cell r="AC530">
            <v>36.999511720000001</v>
          </cell>
          <cell r="AD530">
            <v>35.995117190000002</v>
          </cell>
        </row>
        <row r="531">
          <cell r="L531" t="str">
            <v>الحاضر</v>
          </cell>
          <cell r="M531" t="str">
            <v>C1182</v>
          </cell>
          <cell r="AC531">
            <v>37.05169678</v>
          </cell>
          <cell r="AD531">
            <v>35.990905759999997</v>
          </cell>
        </row>
        <row r="532">
          <cell r="L532" t="str">
            <v>مريودة</v>
          </cell>
          <cell r="M532" t="str">
            <v>C1183</v>
          </cell>
          <cell r="AC532">
            <v>37.009094240000003</v>
          </cell>
          <cell r="AD532">
            <v>35.956481930000002</v>
          </cell>
        </row>
        <row r="533">
          <cell r="L533" t="str">
            <v>مكحلة</v>
          </cell>
          <cell r="M533" t="str">
            <v>C1184</v>
          </cell>
          <cell r="AC533">
            <v>37.017517089999998</v>
          </cell>
          <cell r="AD533">
            <v>35.942687990000003</v>
          </cell>
        </row>
        <row r="534">
          <cell r="L534" t="str">
            <v>مريمين سمعان</v>
          </cell>
          <cell r="M534" t="str">
            <v>C1185</v>
          </cell>
          <cell r="AC534">
            <v>37.12408447</v>
          </cell>
          <cell r="AD534">
            <v>35.983886720000001</v>
          </cell>
        </row>
        <row r="535">
          <cell r="L535" t="str">
            <v>النيربية</v>
          </cell>
          <cell r="M535" t="str">
            <v>C1186</v>
          </cell>
          <cell r="AC535">
            <v>37.37731934</v>
          </cell>
          <cell r="AD535">
            <v>36.37408447</v>
          </cell>
        </row>
        <row r="536">
          <cell r="L536" t="str">
            <v>سوسيان</v>
          </cell>
          <cell r="M536" t="str">
            <v>C1187</v>
          </cell>
          <cell r="AC536">
            <v>37.440307619999999</v>
          </cell>
          <cell r="AD536">
            <v>36.433288570000002</v>
          </cell>
        </row>
        <row r="537">
          <cell r="L537" t="str">
            <v>بزاعة</v>
          </cell>
          <cell r="M537" t="str">
            <v>C1188</v>
          </cell>
          <cell r="AC537">
            <v>37.566101070000002</v>
          </cell>
          <cell r="AD537">
            <v>36.383483890000001</v>
          </cell>
        </row>
        <row r="538">
          <cell r="L538" t="str">
            <v>شعالة</v>
          </cell>
          <cell r="M538" t="str">
            <v>C1189</v>
          </cell>
          <cell r="AC538">
            <v>37.397888180000002</v>
          </cell>
          <cell r="AD538">
            <v>36.37109375</v>
          </cell>
        </row>
        <row r="539">
          <cell r="L539" t="str">
            <v>سو سنباط</v>
          </cell>
          <cell r="M539" t="str">
            <v>C1190</v>
          </cell>
          <cell r="AC539">
            <v>37.477905270000001</v>
          </cell>
          <cell r="AD539">
            <v>36.480896000000001</v>
          </cell>
        </row>
        <row r="540">
          <cell r="L540" t="str">
            <v>حزوان</v>
          </cell>
          <cell r="M540" t="str">
            <v>C1191</v>
          </cell>
          <cell r="AC540">
            <v>37.404113770000002</v>
          </cell>
          <cell r="AD540">
            <v>36.409301759999998</v>
          </cell>
        </row>
        <row r="541">
          <cell r="L541" t="str">
            <v>البرج</v>
          </cell>
          <cell r="M541" t="str">
            <v>C1192</v>
          </cell>
          <cell r="AC541">
            <v>37.453125</v>
          </cell>
          <cell r="AD541">
            <v>36.532470699999998</v>
          </cell>
        </row>
        <row r="542">
          <cell r="L542" t="str">
            <v>المقري</v>
          </cell>
          <cell r="M542" t="str">
            <v>C1193</v>
          </cell>
          <cell r="AC542">
            <v>37.608093259999997</v>
          </cell>
          <cell r="AD542">
            <v>36.396301270000002</v>
          </cell>
        </row>
        <row r="543">
          <cell r="L543" t="str">
            <v>اعبد</v>
          </cell>
          <cell r="M543" t="str">
            <v>C1194</v>
          </cell>
          <cell r="AC543">
            <v>37.368286130000001</v>
          </cell>
          <cell r="AD543">
            <v>36.231872559999999</v>
          </cell>
        </row>
        <row r="544">
          <cell r="L544" t="str">
            <v>شيخ جراح</v>
          </cell>
          <cell r="M544" t="str">
            <v>C1195</v>
          </cell>
          <cell r="AC544">
            <v>37.447692869999997</v>
          </cell>
          <cell r="AD544">
            <v>36.517272949999999</v>
          </cell>
        </row>
        <row r="545">
          <cell r="L545" t="str">
            <v>شيخ علوان</v>
          </cell>
          <cell r="M545" t="str">
            <v>C1196</v>
          </cell>
          <cell r="AC545">
            <v>37.413696289999997</v>
          </cell>
          <cell r="AD545">
            <v>36.430725099999997</v>
          </cell>
        </row>
        <row r="546">
          <cell r="L546" t="str">
            <v>صوران</v>
          </cell>
          <cell r="M546" t="str">
            <v>C1197</v>
          </cell>
          <cell r="AC546">
            <v>37.376525880000003</v>
          </cell>
          <cell r="AD546">
            <v>36.263488770000002</v>
          </cell>
        </row>
        <row r="547">
          <cell r="L547" t="str">
            <v>حدث</v>
          </cell>
          <cell r="M547" t="str">
            <v>C1198</v>
          </cell>
          <cell r="AC547">
            <v>37.475280759999997</v>
          </cell>
          <cell r="AD547">
            <v>36.43908691</v>
          </cell>
        </row>
        <row r="548">
          <cell r="L548" t="str">
            <v>تل جرجي</v>
          </cell>
          <cell r="M548" t="str">
            <v>C1199</v>
          </cell>
          <cell r="AC548">
            <v>37.481689449999998</v>
          </cell>
          <cell r="AD548">
            <v>36.514099119999997</v>
          </cell>
        </row>
        <row r="549">
          <cell r="L549" t="str">
            <v>سفلانية</v>
          </cell>
          <cell r="M549" t="str">
            <v>C1200</v>
          </cell>
          <cell r="AC549">
            <v>37.57971191</v>
          </cell>
          <cell r="AD549">
            <v>36.409728999999999</v>
          </cell>
        </row>
        <row r="550">
          <cell r="L550" t="str">
            <v>أم العمد الباب</v>
          </cell>
          <cell r="M550" t="str">
            <v>C1201</v>
          </cell>
          <cell r="AC550">
            <v>37.36352539</v>
          </cell>
          <cell r="AD550">
            <v>36.35272217</v>
          </cell>
        </row>
        <row r="551">
          <cell r="L551" t="str">
            <v>الباب</v>
          </cell>
          <cell r="M551" t="str">
            <v>C1202</v>
          </cell>
          <cell r="AC551">
            <v>37.515075680000002</v>
          </cell>
          <cell r="AD551">
            <v>36.369873050000002</v>
          </cell>
        </row>
        <row r="552">
          <cell r="L552" t="str">
            <v>سرجة كبيرة</v>
          </cell>
          <cell r="M552" t="str">
            <v>C1203</v>
          </cell>
          <cell r="AC552">
            <v>37.395507809999998</v>
          </cell>
          <cell r="AD552">
            <v>36.281311039999999</v>
          </cell>
        </row>
        <row r="553">
          <cell r="L553" t="str">
            <v>عولان</v>
          </cell>
          <cell r="M553" t="str">
            <v>C1204</v>
          </cell>
          <cell r="AC553">
            <v>37.484313970000002</v>
          </cell>
          <cell r="AD553">
            <v>36.418273929999998</v>
          </cell>
        </row>
        <row r="554">
          <cell r="L554" t="str">
            <v>تل رحال</v>
          </cell>
          <cell r="M554" t="str">
            <v>C1205</v>
          </cell>
          <cell r="AC554">
            <v>37.38671875</v>
          </cell>
          <cell r="AD554">
            <v>36.34350586</v>
          </cell>
        </row>
        <row r="555">
          <cell r="L555" t="str">
            <v>شدود</v>
          </cell>
          <cell r="M555" t="str">
            <v>C1206</v>
          </cell>
          <cell r="AC555">
            <v>37.387695309999998</v>
          </cell>
          <cell r="AD555">
            <v>36.457702640000001</v>
          </cell>
        </row>
        <row r="556">
          <cell r="L556" t="str">
            <v>الشيخ كيف</v>
          </cell>
          <cell r="M556" t="str">
            <v>C1207</v>
          </cell>
          <cell r="AC556">
            <v>37.330688479999999</v>
          </cell>
          <cell r="AD556">
            <v>36.344482419999999</v>
          </cell>
        </row>
        <row r="557">
          <cell r="L557" t="str">
            <v>قمة داغلباش</v>
          </cell>
          <cell r="M557" t="str">
            <v>C1208</v>
          </cell>
          <cell r="AC557">
            <v>37.427307130000003</v>
          </cell>
          <cell r="AD557">
            <v>36.358703609999999</v>
          </cell>
        </row>
        <row r="558">
          <cell r="L558" t="str">
            <v>قباسين</v>
          </cell>
          <cell r="M558" t="str">
            <v>C1209</v>
          </cell>
          <cell r="AC558">
            <v>37.566284179999997</v>
          </cell>
          <cell r="AD558">
            <v>36.433715820000003</v>
          </cell>
        </row>
        <row r="559">
          <cell r="L559" t="str">
            <v>مران</v>
          </cell>
          <cell r="M559" t="str">
            <v>C1210</v>
          </cell>
          <cell r="AC559">
            <v>37.350280759999997</v>
          </cell>
          <cell r="AD559">
            <v>36.2755127</v>
          </cell>
        </row>
        <row r="560">
          <cell r="L560" t="str">
            <v>قديران</v>
          </cell>
          <cell r="M560" t="str">
            <v>C1211</v>
          </cell>
          <cell r="AC560">
            <v>37.514526369999999</v>
          </cell>
          <cell r="AD560">
            <v>36.410888669999999</v>
          </cell>
        </row>
        <row r="561">
          <cell r="L561" t="str">
            <v>وقاح</v>
          </cell>
          <cell r="M561" t="str">
            <v>C1212</v>
          </cell>
          <cell r="AC561">
            <v>37.431518560000001</v>
          </cell>
          <cell r="AD561">
            <v>36.403686520000001</v>
          </cell>
        </row>
        <row r="562">
          <cell r="L562" t="str">
            <v>نعمان</v>
          </cell>
          <cell r="M562" t="str">
            <v>C1213</v>
          </cell>
          <cell r="AC562">
            <v>37.433288570000002</v>
          </cell>
          <cell r="AD562">
            <v>36.462890629999997</v>
          </cell>
        </row>
        <row r="563">
          <cell r="L563" t="str">
            <v>قبة الشيخ</v>
          </cell>
          <cell r="M563" t="str">
            <v>C1214</v>
          </cell>
          <cell r="AC563">
            <v>37.501525880000003</v>
          </cell>
          <cell r="AD563">
            <v>36.462707520000002</v>
          </cell>
        </row>
        <row r="564">
          <cell r="L564" t="str">
            <v>عران</v>
          </cell>
          <cell r="M564" t="str">
            <v>C1215</v>
          </cell>
          <cell r="AC564">
            <v>37.542907720000002</v>
          </cell>
          <cell r="AD564">
            <v>36.297485350000002</v>
          </cell>
        </row>
        <row r="565">
          <cell r="L565" t="str">
            <v>أبو جبار</v>
          </cell>
          <cell r="M565" t="str">
            <v>C1216</v>
          </cell>
          <cell r="AC565">
            <v>37.639282229999999</v>
          </cell>
          <cell r="AD565">
            <v>36.305114750000001</v>
          </cell>
        </row>
        <row r="566">
          <cell r="L566" t="str">
            <v>الكيطة</v>
          </cell>
          <cell r="M566" t="str">
            <v>C1217</v>
          </cell>
          <cell r="AC566">
            <v>37.675109859999999</v>
          </cell>
          <cell r="AD566">
            <v>36.297729490000002</v>
          </cell>
        </row>
        <row r="567">
          <cell r="L567" t="str">
            <v>أبو طلطل</v>
          </cell>
          <cell r="M567" t="str">
            <v>C1218</v>
          </cell>
          <cell r="AC567">
            <v>37.523071289999997</v>
          </cell>
          <cell r="AD567">
            <v>36.336730959999997</v>
          </cell>
        </row>
        <row r="568">
          <cell r="L568" t="str">
            <v>تادف</v>
          </cell>
          <cell r="M568" t="str">
            <v>C1219</v>
          </cell>
          <cell r="AC568">
            <v>37.529479979999998</v>
          </cell>
          <cell r="AD568">
            <v>36.34790039</v>
          </cell>
        </row>
        <row r="569">
          <cell r="L569" t="str">
            <v>عمية كبيرة</v>
          </cell>
          <cell r="M569" t="str">
            <v>C1220</v>
          </cell>
          <cell r="AC569">
            <v>37.617126470000002</v>
          </cell>
          <cell r="AD569">
            <v>36.370910649999999</v>
          </cell>
        </row>
        <row r="570">
          <cell r="L570" t="str">
            <v>دير قاق</v>
          </cell>
          <cell r="M570" t="str">
            <v>C1221</v>
          </cell>
          <cell r="AC570">
            <v>37.443908690000001</v>
          </cell>
          <cell r="AD570">
            <v>36.306701660000002</v>
          </cell>
        </row>
        <row r="571">
          <cell r="L571" t="str">
            <v>طومان</v>
          </cell>
          <cell r="M571" t="str">
            <v>C1222</v>
          </cell>
          <cell r="AC571">
            <v>37.478088380000003</v>
          </cell>
          <cell r="AD571">
            <v>36.294494630000003</v>
          </cell>
        </row>
        <row r="572">
          <cell r="L572" t="str">
            <v>خربة كيار</v>
          </cell>
          <cell r="M572" t="str">
            <v>C1223</v>
          </cell>
          <cell r="AC572">
            <v>37.649475099999997</v>
          </cell>
          <cell r="AD572">
            <v>36.326721190000001</v>
          </cell>
        </row>
        <row r="573">
          <cell r="L573" t="str">
            <v>أم خرزة الباب</v>
          </cell>
          <cell r="M573" t="str">
            <v>C1224</v>
          </cell>
          <cell r="AC573">
            <v>37.69689941</v>
          </cell>
          <cell r="AD573">
            <v>36.303283690000001</v>
          </cell>
        </row>
        <row r="574">
          <cell r="L574" t="str">
            <v>البيرة الباب</v>
          </cell>
          <cell r="M574" t="str">
            <v>C1225</v>
          </cell>
          <cell r="AC574">
            <v>37.52709961</v>
          </cell>
          <cell r="AD574">
            <v>36.316101070000002</v>
          </cell>
        </row>
        <row r="575">
          <cell r="L575" t="str">
            <v>عويشية</v>
          </cell>
          <cell r="M575" t="str">
            <v>C1226</v>
          </cell>
          <cell r="AC575">
            <v>37.593688970000002</v>
          </cell>
          <cell r="AD575">
            <v>36.306884770000003</v>
          </cell>
        </row>
        <row r="576">
          <cell r="L576" t="str">
            <v>سرحان</v>
          </cell>
          <cell r="M576" t="str">
            <v>C1227</v>
          </cell>
          <cell r="AC576">
            <v>37.595275880000003</v>
          </cell>
          <cell r="AD576">
            <v>36.272705080000001</v>
          </cell>
        </row>
        <row r="577">
          <cell r="L577" t="str">
            <v>عيشة</v>
          </cell>
          <cell r="M577" t="str">
            <v>C1228</v>
          </cell>
          <cell r="AC577">
            <v>37.546691899999999</v>
          </cell>
          <cell r="AD577">
            <v>36.2598877</v>
          </cell>
        </row>
        <row r="578">
          <cell r="L578" t="str">
            <v>شيخ دن</v>
          </cell>
          <cell r="M578" t="str">
            <v>C1229</v>
          </cell>
          <cell r="AC578">
            <v>37.485717770000001</v>
          </cell>
          <cell r="AD578">
            <v>36.276916499999999</v>
          </cell>
        </row>
        <row r="579">
          <cell r="L579" t="str">
            <v>برلهين</v>
          </cell>
          <cell r="M579" t="str">
            <v>C1230</v>
          </cell>
          <cell r="AC579">
            <v>37.399291990000002</v>
          </cell>
          <cell r="AD579">
            <v>36.252685550000002</v>
          </cell>
        </row>
        <row r="580">
          <cell r="L580" t="str">
            <v>بطوشية الباب</v>
          </cell>
          <cell r="M580" t="str">
            <v>C1231</v>
          </cell>
          <cell r="AC580">
            <v>37.599304199999999</v>
          </cell>
          <cell r="AD580">
            <v>36.35430908</v>
          </cell>
        </row>
        <row r="581">
          <cell r="L581" t="str">
            <v>قطر</v>
          </cell>
          <cell r="M581" t="str">
            <v>C1232</v>
          </cell>
          <cell r="AC581">
            <v>37.497314449999998</v>
          </cell>
          <cell r="AD581">
            <v>36.245483399999998</v>
          </cell>
        </row>
        <row r="582">
          <cell r="L582" t="str">
            <v>قصر البريج</v>
          </cell>
          <cell r="M582" t="str">
            <v>C1233</v>
          </cell>
          <cell r="AC582">
            <v>37.704528809999999</v>
          </cell>
          <cell r="AD582">
            <v>36.317871089999997</v>
          </cell>
        </row>
        <row r="583">
          <cell r="L583" t="str">
            <v>مغارة أبو جبار</v>
          </cell>
          <cell r="M583" t="str">
            <v>C1234</v>
          </cell>
          <cell r="AC583">
            <v>37.648498539999999</v>
          </cell>
          <cell r="AD583">
            <v>36.27368164</v>
          </cell>
        </row>
        <row r="584">
          <cell r="L584" t="str">
            <v>فيخة كبيرة</v>
          </cell>
          <cell r="M584" t="str">
            <v>C1235</v>
          </cell>
          <cell r="AC584">
            <v>37.641296390000001</v>
          </cell>
          <cell r="AD584">
            <v>36.362670899999998</v>
          </cell>
        </row>
        <row r="585">
          <cell r="L585" t="str">
            <v>حزازة</v>
          </cell>
          <cell r="M585" t="str">
            <v>C1236</v>
          </cell>
          <cell r="AC585">
            <v>37.595275880000003</v>
          </cell>
          <cell r="AD585">
            <v>36.11169434</v>
          </cell>
        </row>
        <row r="586">
          <cell r="L586" t="str">
            <v>زبيدة</v>
          </cell>
          <cell r="M586" t="str">
            <v>C1237</v>
          </cell>
          <cell r="AC586">
            <v>37.666503910000003</v>
          </cell>
          <cell r="AD586">
            <v>36.101928710000003</v>
          </cell>
        </row>
        <row r="587">
          <cell r="L587" t="str">
            <v>تل أيوب</v>
          </cell>
          <cell r="M587" t="str">
            <v>C1238</v>
          </cell>
          <cell r="AC587">
            <v>37.617919919999999</v>
          </cell>
          <cell r="AD587">
            <v>36.112915039999997</v>
          </cell>
        </row>
        <row r="588">
          <cell r="L588" t="str">
            <v>أم المرا</v>
          </cell>
          <cell r="M588" t="str">
            <v>C1239</v>
          </cell>
          <cell r="AC588">
            <v>37.68591309</v>
          </cell>
          <cell r="AD588">
            <v>36.139892580000001</v>
          </cell>
        </row>
        <row r="589">
          <cell r="L589" t="str">
            <v>دير حافر</v>
          </cell>
          <cell r="M589" t="str">
            <v>C1240</v>
          </cell>
          <cell r="AC589">
            <v>37.709289550000001</v>
          </cell>
          <cell r="AD589">
            <v>36.156127929999997</v>
          </cell>
        </row>
        <row r="590">
          <cell r="L590" t="str">
            <v>عاكولة</v>
          </cell>
          <cell r="M590" t="str">
            <v>C1241</v>
          </cell>
          <cell r="AC590">
            <v>37.612304690000002</v>
          </cell>
          <cell r="AD590">
            <v>36.14868164</v>
          </cell>
        </row>
        <row r="591">
          <cell r="L591" t="str">
            <v>حميمة كبيرة</v>
          </cell>
          <cell r="M591" t="str">
            <v>C1242</v>
          </cell>
          <cell r="AC591">
            <v>37.64752197</v>
          </cell>
          <cell r="AD591">
            <v>36.17211914</v>
          </cell>
        </row>
        <row r="592">
          <cell r="L592" t="str">
            <v>رسم الحرمل الجنوبي</v>
          </cell>
          <cell r="M592" t="str">
            <v>C1243</v>
          </cell>
          <cell r="AC592">
            <v>37.666076660000002</v>
          </cell>
          <cell r="AD592">
            <v>36.119689940000001</v>
          </cell>
        </row>
        <row r="593">
          <cell r="L593" t="str">
            <v>أم زليلة</v>
          </cell>
          <cell r="M593" t="str">
            <v>C1244</v>
          </cell>
          <cell r="AC593">
            <v>37.648071289999997</v>
          </cell>
          <cell r="AD593">
            <v>36.113891600000002</v>
          </cell>
        </row>
        <row r="594">
          <cell r="L594" t="str">
            <v>حميمة صغيرة</v>
          </cell>
          <cell r="M594" t="str">
            <v>C1245</v>
          </cell>
          <cell r="AC594">
            <v>37.649902339999997</v>
          </cell>
          <cell r="AD594">
            <v>36.146728520000003</v>
          </cell>
        </row>
        <row r="595">
          <cell r="L595" t="str">
            <v>مبعوجة</v>
          </cell>
          <cell r="M595" t="str">
            <v>C1246</v>
          </cell>
          <cell r="AC595">
            <v>37.672729490000002</v>
          </cell>
          <cell r="AD595">
            <v>36.138916020000003</v>
          </cell>
        </row>
        <row r="596">
          <cell r="L596" t="str">
            <v>الوقف</v>
          </cell>
          <cell r="M596" t="str">
            <v>C1247</v>
          </cell>
          <cell r="AC596">
            <v>37.426513669999999</v>
          </cell>
          <cell r="AD596">
            <v>36.585876470000002</v>
          </cell>
        </row>
        <row r="597">
          <cell r="L597" t="str">
            <v>صندي</v>
          </cell>
          <cell r="M597" t="str">
            <v>C1248</v>
          </cell>
          <cell r="AC597">
            <v>37.570922850000002</v>
          </cell>
          <cell r="AD597">
            <v>36.58111572</v>
          </cell>
        </row>
        <row r="598">
          <cell r="L598" t="str">
            <v>المتمنة</v>
          </cell>
          <cell r="M598" t="str">
            <v>C1249</v>
          </cell>
          <cell r="AC598">
            <v>37.548889160000002</v>
          </cell>
          <cell r="AD598">
            <v>36.622497559999999</v>
          </cell>
        </row>
        <row r="599">
          <cell r="L599" t="str">
            <v>الراعي</v>
          </cell>
          <cell r="M599" t="str">
            <v>C1250</v>
          </cell>
          <cell r="AC599">
            <v>37.44647217</v>
          </cell>
          <cell r="AD599">
            <v>36.612487790000003</v>
          </cell>
        </row>
        <row r="600">
          <cell r="L600" t="str">
            <v>حليصة</v>
          </cell>
          <cell r="M600" t="str">
            <v>C1251</v>
          </cell>
          <cell r="AC600">
            <v>37.66247559</v>
          </cell>
          <cell r="AD600">
            <v>36.557495119999999</v>
          </cell>
        </row>
        <row r="601">
          <cell r="L601" t="str">
            <v>حاجي ولي</v>
          </cell>
          <cell r="M601" t="str">
            <v>C1252</v>
          </cell>
          <cell r="AC601">
            <v>37.598876949999998</v>
          </cell>
          <cell r="AD601">
            <v>36.71392822</v>
          </cell>
        </row>
        <row r="602">
          <cell r="L602" t="str">
            <v>حاجي كوسة</v>
          </cell>
          <cell r="M602" t="str">
            <v>C1253</v>
          </cell>
          <cell r="AC602">
            <v>37.640075680000002</v>
          </cell>
          <cell r="AD602">
            <v>36.554870610000002</v>
          </cell>
        </row>
        <row r="603">
          <cell r="L603" t="str">
            <v>المسنة الباب</v>
          </cell>
          <cell r="M603" t="str">
            <v>C1254</v>
          </cell>
          <cell r="AC603">
            <v>37.620727539999997</v>
          </cell>
          <cell r="AD603">
            <v>36.661499020000001</v>
          </cell>
        </row>
        <row r="604">
          <cell r="L604" t="str">
            <v>شاوة</v>
          </cell>
          <cell r="M604" t="str">
            <v>C1255</v>
          </cell>
          <cell r="AC604">
            <v>37.632324220000001</v>
          </cell>
          <cell r="AD604">
            <v>36.608093259999997</v>
          </cell>
        </row>
        <row r="605">
          <cell r="L605" t="str">
            <v>جبين</v>
          </cell>
          <cell r="M605" t="str">
            <v>C1256</v>
          </cell>
          <cell r="AC605">
            <v>37.460876470000002</v>
          </cell>
          <cell r="AD605">
            <v>36.552917479999998</v>
          </cell>
        </row>
        <row r="606">
          <cell r="L606" t="str">
            <v>النهضة</v>
          </cell>
          <cell r="M606" t="str">
            <v>C1257</v>
          </cell>
          <cell r="AC606">
            <v>37.560485839999998</v>
          </cell>
          <cell r="AD606">
            <v>36.61169434</v>
          </cell>
        </row>
        <row r="607">
          <cell r="L607" t="str">
            <v>تل ميزاب</v>
          </cell>
          <cell r="M607" t="str">
            <v>C1258</v>
          </cell>
          <cell r="AC607">
            <v>37.639526369999999</v>
          </cell>
          <cell r="AD607">
            <v>36.71252441</v>
          </cell>
        </row>
        <row r="608">
          <cell r="L608" t="str">
            <v>طويران</v>
          </cell>
          <cell r="M608" t="str">
            <v>C1259</v>
          </cell>
          <cell r="AC608">
            <v>37.45288086</v>
          </cell>
          <cell r="AD608">
            <v>36.586486819999998</v>
          </cell>
        </row>
        <row r="609">
          <cell r="L609" t="str">
            <v>العامرية</v>
          </cell>
          <cell r="M609" t="str">
            <v>C1260</v>
          </cell>
          <cell r="AC609">
            <v>37.52111816</v>
          </cell>
          <cell r="AD609">
            <v>36.566284179999997</v>
          </cell>
        </row>
        <row r="610">
          <cell r="L610" t="str">
            <v>سلسلة</v>
          </cell>
          <cell r="M610" t="str">
            <v>C1261</v>
          </cell>
          <cell r="AC610">
            <v>37.535095220000002</v>
          </cell>
          <cell r="AD610">
            <v>36.688293459999997</v>
          </cell>
        </row>
        <row r="611">
          <cell r="L611" t="str">
            <v>خليلية</v>
          </cell>
          <cell r="M611" t="str">
            <v>C1262</v>
          </cell>
          <cell r="AC611">
            <v>37.546325680000002</v>
          </cell>
          <cell r="AD611">
            <v>36.681518560000001</v>
          </cell>
        </row>
        <row r="612">
          <cell r="L612" t="str">
            <v>تليلة الباب</v>
          </cell>
          <cell r="M612" t="str">
            <v>C1263</v>
          </cell>
          <cell r="AC612">
            <v>37.626281740000003</v>
          </cell>
          <cell r="AD612">
            <v>36.574523929999998</v>
          </cell>
        </row>
        <row r="613">
          <cell r="L613" t="str">
            <v>الأثرية</v>
          </cell>
          <cell r="M613" t="str">
            <v>C1264</v>
          </cell>
          <cell r="AC613">
            <v>37.50872803</v>
          </cell>
          <cell r="AD613">
            <v>36.601074220000001</v>
          </cell>
        </row>
        <row r="614">
          <cell r="L614" t="str">
            <v>أم الثدايا_ماملي</v>
          </cell>
          <cell r="M614" t="str">
            <v>C1265</v>
          </cell>
          <cell r="AC614">
            <v>37.633300779999999</v>
          </cell>
          <cell r="AD614">
            <v>36.673522949999999</v>
          </cell>
        </row>
        <row r="615">
          <cell r="L615" t="str">
            <v>زلف</v>
          </cell>
          <cell r="M615" t="str">
            <v>C1266</v>
          </cell>
          <cell r="AC615">
            <v>37.602905270000001</v>
          </cell>
          <cell r="AD615">
            <v>36.61810303</v>
          </cell>
        </row>
        <row r="616">
          <cell r="L616" t="str">
            <v>تل عيشة</v>
          </cell>
          <cell r="M616" t="str">
            <v>C1267</v>
          </cell>
          <cell r="AC616">
            <v>37.483520509999998</v>
          </cell>
          <cell r="AD616">
            <v>36.551513669999999</v>
          </cell>
        </row>
        <row r="617">
          <cell r="L617" t="str">
            <v>زيارة الباب</v>
          </cell>
          <cell r="M617" t="str">
            <v>C1268</v>
          </cell>
          <cell r="AC617">
            <v>37.594726559999998</v>
          </cell>
          <cell r="AD617">
            <v>36.661682130000003</v>
          </cell>
        </row>
        <row r="618">
          <cell r="L618" t="str">
            <v>تل الهوى</v>
          </cell>
          <cell r="M618" t="str">
            <v>C1269</v>
          </cell>
          <cell r="AC618">
            <v>37.66888428</v>
          </cell>
          <cell r="AD618">
            <v>36.599121089999997</v>
          </cell>
        </row>
        <row r="619">
          <cell r="L619" t="str">
            <v>عياشة</v>
          </cell>
          <cell r="M619" t="str">
            <v>C1270</v>
          </cell>
          <cell r="AC619">
            <v>37.520874020000001</v>
          </cell>
          <cell r="AD619">
            <v>36.668090820000003</v>
          </cell>
        </row>
        <row r="620">
          <cell r="L620" t="str">
            <v>تل عطية</v>
          </cell>
          <cell r="M620" t="str">
            <v>C1271</v>
          </cell>
          <cell r="AC620">
            <v>37.48413086</v>
          </cell>
          <cell r="AD620">
            <v>36.573486330000001</v>
          </cell>
        </row>
        <row r="621">
          <cell r="L621" t="str">
            <v>باب ليمون</v>
          </cell>
          <cell r="M621" t="str">
            <v>C1272</v>
          </cell>
          <cell r="AC621">
            <v>37.583496089999997</v>
          </cell>
          <cell r="AD621">
            <v>36.700317380000001</v>
          </cell>
        </row>
        <row r="622">
          <cell r="L622" t="str">
            <v>هضبات</v>
          </cell>
          <cell r="M622" t="str">
            <v>C1273</v>
          </cell>
          <cell r="AC622">
            <v>37.490112310000001</v>
          </cell>
          <cell r="AD622">
            <v>36.622070309999998</v>
          </cell>
        </row>
        <row r="623">
          <cell r="L623" t="str">
            <v>كرسنلي</v>
          </cell>
          <cell r="M623" t="str">
            <v>C1274</v>
          </cell>
          <cell r="AC623">
            <v>37.536499020000001</v>
          </cell>
          <cell r="AD623">
            <v>36.660888669999999</v>
          </cell>
        </row>
        <row r="624">
          <cell r="L624" t="str">
            <v>قنطرة الباب</v>
          </cell>
          <cell r="M624" t="str">
            <v>C1275</v>
          </cell>
          <cell r="AC624">
            <v>37.386291499999999</v>
          </cell>
          <cell r="AD624">
            <v>36.609680179999998</v>
          </cell>
        </row>
        <row r="625">
          <cell r="L625" t="str">
            <v>عربيد كبير</v>
          </cell>
          <cell r="M625" t="str">
            <v>C1277</v>
          </cell>
          <cell r="AC625">
            <v>37.55767822</v>
          </cell>
          <cell r="AD625">
            <v>36.197692869999997</v>
          </cell>
        </row>
        <row r="626">
          <cell r="L626" t="str">
            <v>شيخ أحمد</v>
          </cell>
          <cell r="M626" t="str">
            <v>C1278</v>
          </cell>
          <cell r="AC626">
            <v>37.528686520000001</v>
          </cell>
          <cell r="AD626">
            <v>36.151123050000002</v>
          </cell>
        </row>
        <row r="627">
          <cell r="L627" t="str">
            <v>طيبة الاسم</v>
          </cell>
          <cell r="M627" t="str">
            <v>C1279</v>
          </cell>
          <cell r="AC627">
            <v>37.441284179999997</v>
          </cell>
          <cell r="AD627">
            <v>36.194885249999999</v>
          </cell>
        </row>
        <row r="628">
          <cell r="L628" t="str">
            <v>الجبول</v>
          </cell>
          <cell r="M628" t="str">
            <v>C1280</v>
          </cell>
          <cell r="AC628">
            <v>37.512695309999998</v>
          </cell>
          <cell r="AD628">
            <v>36.083312990000003</v>
          </cell>
        </row>
        <row r="629">
          <cell r="L629" t="str">
            <v>أم أركيلة</v>
          </cell>
          <cell r="M629" t="str">
            <v>C1281</v>
          </cell>
          <cell r="AC629">
            <v>37.546325680000002</v>
          </cell>
          <cell r="AD629">
            <v>36.128112790000003</v>
          </cell>
        </row>
        <row r="630">
          <cell r="L630" t="str">
            <v>الجابرية</v>
          </cell>
          <cell r="M630" t="str">
            <v>C1282</v>
          </cell>
          <cell r="AC630">
            <v>37.5098877</v>
          </cell>
          <cell r="AD630">
            <v>36.179321289999997</v>
          </cell>
        </row>
        <row r="631">
          <cell r="L631" t="str">
            <v>الحلبية</v>
          </cell>
          <cell r="M631" t="str">
            <v>C1283</v>
          </cell>
          <cell r="AC631">
            <v>37.467285160000003</v>
          </cell>
          <cell r="AD631">
            <v>36.139526369999999</v>
          </cell>
        </row>
        <row r="632">
          <cell r="L632" t="str">
            <v>المفلسة</v>
          </cell>
          <cell r="M632" t="str">
            <v>C1284</v>
          </cell>
          <cell r="AC632">
            <v>37.485900880000003</v>
          </cell>
          <cell r="AD632">
            <v>36.148498539999999</v>
          </cell>
        </row>
        <row r="633">
          <cell r="L633" t="str">
            <v>عين الجماجمة</v>
          </cell>
          <cell r="M633" t="str">
            <v>C1285</v>
          </cell>
          <cell r="AC633">
            <v>37.5255127</v>
          </cell>
          <cell r="AD633">
            <v>36.191284179999997</v>
          </cell>
        </row>
        <row r="634">
          <cell r="L634" t="str">
            <v>رسم العبد</v>
          </cell>
          <cell r="M634" t="str">
            <v>C1287</v>
          </cell>
          <cell r="AC634">
            <v>37.598510740000002</v>
          </cell>
          <cell r="AD634">
            <v>36.137084960000003</v>
          </cell>
        </row>
        <row r="635">
          <cell r="L635" t="str">
            <v>عفش</v>
          </cell>
          <cell r="M635" t="str">
            <v>C1288</v>
          </cell>
          <cell r="AC635">
            <v>37.46368408</v>
          </cell>
          <cell r="AD635">
            <v>36.211486819999998</v>
          </cell>
        </row>
        <row r="636">
          <cell r="L636" t="str">
            <v>تل مكسور</v>
          </cell>
          <cell r="M636" t="str">
            <v>C1289</v>
          </cell>
          <cell r="AC636">
            <v>37.457702640000001</v>
          </cell>
          <cell r="AD636">
            <v>36.238891600000002</v>
          </cell>
        </row>
        <row r="637">
          <cell r="L637" t="str">
            <v>دكوانة</v>
          </cell>
          <cell r="M637" t="str">
            <v>C1290</v>
          </cell>
          <cell r="AC637">
            <v>37.490295410000002</v>
          </cell>
          <cell r="AD637">
            <v>36.137084960000003</v>
          </cell>
        </row>
        <row r="638">
          <cell r="L638" t="str">
            <v>السين</v>
          </cell>
          <cell r="M638" t="str">
            <v>C1291</v>
          </cell>
          <cell r="AC638">
            <v>37.41107178</v>
          </cell>
          <cell r="AD638">
            <v>36.230529789999999</v>
          </cell>
        </row>
        <row r="639">
          <cell r="L639" t="str">
            <v>تل سبعين</v>
          </cell>
          <cell r="M639" t="str">
            <v>C1292</v>
          </cell>
          <cell r="AC639">
            <v>37.507873539999999</v>
          </cell>
          <cell r="AD639">
            <v>36.120483399999998</v>
          </cell>
        </row>
        <row r="640">
          <cell r="L640" t="str">
            <v>تل احمر الباب</v>
          </cell>
          <cell r="M640" t="str">
            <v>C1293</v>
          </cell>
          <cell r="AC640">
            <v>37.576110839999998</v>
          </cell>
          <cell r="AD640">
            <v>36.127502440000001</v>
          </cell>
        </row>
        <row r="641">
          <cell r="L641" t="str">
            <v>كويرس شرقي</v>
          </cell>
          <cell r="M641" t="str">
            <v>C1294</v>
          </cell>
          <cell r="AC641">
            <v>37.540710449999999</v>
          </cell>
          <cell r="AD641">
            <v>36.16888428</v>
          </cell>
        </row>
        <row r="642">
          <cell r="L642" t="str">
            <v>كويرس غربي</v>
          </cell>
          <cell r="M642" t="str">
            <v>C1295</v>
          </cell>
          <cell r="AC642">
            <v>37.514099119999997</v>
          </cell>
          <cell r="AD642">
            <v>36.166870119999999</v>
          </cell>
        </row>
        <row r="643">
          <cell r="L643" t="str">
            <v>كصكيص</v>
          </cell>
          <cell r="M643" t="str">
            <v>C1296</v>
          </cell>
          <cell r="AC643">
            <v>37.594482419999999</v>
          </cell>
          <cell r="AD643">
            <v>36.166076660000002</v>
          </cell>
        </row>
        <row r="644">
          <cell r="L644" t="str">
            <v>وديعة</v>
          </cell>
          <cell r="M644" t="str">
            <v>C1298</v>
          </cell>
          <cell r="AC644">
            <v>37.484313970000002</v>
          </cell>
          <cell r="AD644">
            <v>36.193115229999997</v>
          </cell>
        </row>
        <row r="645">
          <cell r="L645" t="str">
            <v>تل حطابات الباب</v>
          </cell>
          <cell r="M645" t="str">
            <v>C1299</v>
          </cell>
          <cell r="AC645">
            <v>37.50231934</v>
          </cell>
          <cell r="AD645">
            <v>36.219726559999998</v>
          </cell>
        </row>
        <row r="646">
          <cell r="L646" t="str">
            <v>أبو جدحة صغير</v>
          </cell>
          <cell r="M646" t="str">
            <v>C1300</v>
          </cell>
          <cell r="AC646">
            <v>37.83892822</v>
          </cell>
          <cell r="AD646">
            <v>36.257690429999997</v>
          </cell>
        </row>
        <row r="647">
          <cell r="L647" t="str">
            <v>زعرايا</v>
          </cell>
          <cell r="M647" t="str">
            <v>C1301</v>
          </cell>
          <cell r="AC647">
            <v>37.780517580000001</v>
          </cell>
          <cell r="AD647">
            <v>36.226501470000002</v>
          </cell>
        </row>
        <row r="648">
          <cell r="L648" t="str">
            <v>تل السوس_أبو سوس</v>
          </cell>
          <cell r="M648" t="str">
            <v>C1302</v>
          </cell>
          <cell r="AC648">
            <v>37.724914550000001</v>
          </cell>
          <cell r="AD648">
            <v>36.179077149999998</v>
          </cell>
        </row>
        <row r="649">
          <cell r="L649" t="str">
            <v>تبارة ماضي</v>
          </cell>
          <cell r="M649" t="str">
            <v>C1303</v>
          </cell>
          <cell r="AC649">
            <v>37.684875490000003</v>
          </cell>
          <cell r="AD649">
            <v>36.241088869999999</v>
          </cell>
        </row>
        <row r="650">
          <cell r="L650" t="str">
            <v>بيجان الباب</v>
          </cell>
          <cell r="M650" t="str">
            <v>C1304</v>
          </cell>
          <cell r="AC650">
            <v>37.624328609999999</v>
          </cell>
          <cell r="AD650">
            <v>36.235473630000001</v>
          </cell>
        </row>
        <row r="651">
          <cell r="L651" t="str">
            <v>أبو جدحة_صلمة</v>
          </cell>
          <cell r="M651" t="str">
            <v>C1305</v>
          </cell>
          <cell r="AC651">
            <v>37.85388184</v>
          </cell>
          <cell r="AD651">
            <v>36.2598877</v>
          </cell>
        </row>
        <row r="652">
          <cell r="L652" t="str">
            <v>جروف</v>
          </cell>
          <cell r="M652" t="str">
            <v>C1306</v>
          </cell>
          <cell r="AC652">
            <v>37.572082520000002</v>
          </cell>
          <cell r="AD652">
            <v>36.227111819999998</v>
          </cell>
        </row>
        <row r="653">
          <cell r="L653" t="str">
            <v>رسم الكروم</v>
          </cell>
          <cell r="M653" t="str">
            <v>C1307</v>
          </cell>
          <cell r="AC653">
            <v>37.683898929999998</v>
          </cell>
          <cell r="AD653">
            <v>36.197326660000002</v>
          </cell>
        </row>
        <row r="654">
          <cell r="L654" t="str">
            <v>رسم الكبار_خربة زعرايا</v>
          </cell>
          <cell r="M654" t="str">
            <v>C1308</v>
          </cell>
          <cell r="AC654">
            <v>37.735473630000001</v>
          </cell>
          <cell r="AD654">
            <v>36.207702640000001</v>
          </cell>
        </row>
        <row r="655">
          <cell r="L655" t="str">
            <v>رسم الحرمل الامام</v>
          </cell>
          <cell r="M655" t="str">
            <v>C1309</v>
          </cell>
          <cell r="AC655">
            <v>37.683471679999997</v>
          </cell>
          <cell r="AD655">
            <v>36.223327640000001</v>
          </cell>
        </row>
        <row r="656">
          <cell r="L656" t="str">
            <v>الكيارية</v>
          </cell>
          <cell r="M656" t="str">
            <v>C1310</v>
          </cell>
          <cell r="AC656">
            <v>37.707702640000001</v>
          </cell>
          <cell r="AD656">
            <v>36.19348145</v>
          </cell>
        </row>
        <row r="657">
          <cell r="L657" t="str">
            <v>أم العمد رسم الحرمل</v>
          </cell>
          <cell r="M657" t="str">
            <v>C1311</v>
          </cell>
          <cell r="AC657">
            <v>37.811523440000002</v>
          </cell>
          <cell r="AD657">
            <v>36.236511229999998</v>
          </cell>
        </row>
        <row r="658">
          <cell r="L658" t="str">
            <v>رسم الكبير_علكانة</v>
          </cell>
          <cell r="M658" t="str">
            <v>C1312</v>
          </cell>
          <cell r="AC658">
            <v>37.642272949999999</v>
          </cell>
          <cell r="AD658">
            <v>36.220886229999998</v>
          </cell>
        </row>
        <row r="659">
          <cell r="L659" t="str">
            <v>رسم عبود</v>
          </cell>
          <cell r="M659" t="str">
            <v>C1313</v>
          </cell>
          <cell r="AC659">
            <v>37.610717770000001</v>
          </cell>
          <cell r="AD659">
            <v>36.19348145</v>
          </cell>
        </row>
        <row r="660">
          <cell r="L660" t="str">
            <v>رسم الشيخ</v>
          </cell>
          <cell r="M660" t="str">
            <v>C1314</v>
          </cell>
          <cell r="AC660">
            <v>37.707885740000002</v>
          </cell>
          <cell r="AD660">
            <v>36.271911619999997</v>
          </cell>
        </row>
        <row r="661">
          <cell r="L661" t="str">
            <v>رسم الخباز</v>
          </cell>
          <cell r="M661" t="str">
            <v>C1315</v>
          </cell>
          <cell r="AC661">
            <v>37.716674810000001</v>
          </cell>
          <cell r="AD661">
            <v>36.243896479999997</v>
          </cell>
        </row>
        <row r="662">
          <cell r="L662" t="str">
            <v>أحمدية</v>
          </cell>
          <cell r="M662" t="str">
            <v>C1316</v>
          </cell>
          <cell r="AC662">
            <v>37.691528320000003</v>
          </cell>
          <cell r="AD662">
            <v>36.171508789999997</v>
          </cell>
        </row>
        <row r="663">
          <cell r="L663" t="str">
            <v>شربع</v>
          </cell>
          <cell r="M663" t="str">
            <v>C1317</v>
          </cell>
          <cell r="AC663">
            <v>37.55627441</v>
          </cell>
          <cell r="AD663">
            <v>36.227111819999998</v>
          </cell>
        </row>
        <row r="664">
          <cell r="L664" t="str">
            <v>مناطير الصفر</v>
          </cell>
          <cell r="M664" t="str">
            <v>C1318</v>
          </cell>
          <cell r="AC664">
            <v>37.74450684</v>
          </cell>
          <cell r="AD664">
            <v>36.238708500000001</v>
          </cell>
        </row>
        <row r="665">
          <cell r="L665" t="str">
            <v>مزبورة</v>
          </cell>
          <cell r="M665" t="str">
            <v>C1319</v>
          </cell>
          <cell r="AC665">
            <v>37.680297850000002</v>
          </cell>
          <cell r="AD665">
            <v>36.260314940000001</v>
          </cell>
        </row>
        <row r="666">
          <cell r="L666" t="str">
            <v>نصر الله</v>
          </cell>
          <cell r="M666" t="str">
            <v>C1320</v>
          </cell>
          <cell r="AC666">
            <v>37.617309570000003</v>
          </cell>
          <cell r="AD666">
            <v>36.214294430000002</v>
          </cell>
        </row>
        <row r="667">
          <cell r="L667" t="str">
            <v>نجارة</v>
          </cell>
          <cell r="M667" t="str">
            <v>C1321</v>
          </cell>
          <cell r="AC667">
            <v>37.542480470000001</v>
          </cell>
          <cell r="AD667">
            <v>36.240478520000003</v>
          </cell>
        </row>
        <row r="668">
          <cell r="L668" t="str">
            <v>سكرية صغيرة</v>
          </cell>
          <cell r="M668" t="str">
            <v>C1322</v>
          </cell>
          <cell r="AC668">
            <v>37.70428467</v>
          </cell>
          <cell r="AD668">
            <v>36.369873050000002</v>
          </cell>
        </row>
        <row r="669">
          <cell r="L669" t="str">
            <v>حوتة</v>
          </cell>
          <cell r="M669" t="str">
            <v>C1323</v>
          </cell>
          <cell r="AC669">
            <v>37.718078609999999</v>
          </cell>
          <cell r="AD669">
            <v>36.444091800000002</v>
          </cell>
        </row>
        <row r="670">
          <cell r="L670" t="str">
            <v>المزروفة</v>
          </cell>
          <cell r="M670" t="str">
            <v>C1324</v>
          </cell>
          <cell r="AC670">
            <v>37.74450684</v>
          </cell>
          <cell r="AD670">
            <v>36.309326169999999</v>
          </cell>
        </row>
        <row r="671">
          <cell r="L671" t="str">
            <v>الحجلية- الباب</v>
          </cell>
          <cell r="M671" t="str">
            <v>C1325</v>
          </cell>
          <cell r="AC671">
            <v>37.687072749999999</v>
          </cell>
          <cell r="AD671">
            <v>36.488098149999999</v>
          </cell>
        </row>
        <row r="672">
          <cell r="L672" t="str">
            <v>العميانة_كورهيوك</v>
          </cell>
          <cell r="M672" t="str">
            <v>C1326</v>
          </cell>
          <cell r="AC672">
            <v>37.641723630000001</v>
          </cell>
          <cell r="AD672">
            <v>36.498718259999997</v>
          </cell>
        </row>
        <row r="673">
          <cell r="L673" t="str">
            <v>الجرنية</v>
          </cell>
          <cell r="M673" t="str">
            <v>C1327</v>
          </cell>
          <cell r="AC673">
            <v>37.63372803</v>
          </cell>
          <cell r="AD673">
            <v>36.527893069999998</v>
          </cell>
        </row>
        <row r="674">
          <cell r="L674" t="str">
            <v>أولاشة</v>
          </cell>
          <cell r="M674" t="str">
            <v>C1328</v>
          </cell>
          <cell r="AC674">
            <v>37.632873539999999</v>
          </cell>
          <cell r="AD674">
            <v>36.467895509999998</v>
          </cell>
        </row>
        <row r="675">
          <cell r="L675" t="str">
            <v>العريمة</v>
          </cell>
          <cell r="M675" t="str">
            <v>C1329</v>
          </cell>
          <cell r="AC675">
            <v>37.723083500000001</v>
          </cell>
          <cell r="AD675">
            <v>36.472290039999997</v>
          </cell>
        </row>
        <row r="676">
          <cell r="L676" t="str">
            <v>الكريدية</v>
          </cell>
          <cell r="M676" t="str">
            <v>C1330</v>
          </cell>
          <cell r="AC676">
            <v>37.671081540000003</v>
          </cell>
          <cell r="AD676">
            <v>36.428894040000003</v>
          </cell>
        </row>
        <row r="677">
          <cell r="L677" t="str">
            <v>ايلان</v>
          </cell>
          <cell r="M677" t="str">
            <v>C1331</v>
          </cell>
          <cell r="AC677">
            <v>37.724304199999999</v>
          </cell>
          <cell r="AD677">
            <v>36.523925779999999</v>
          </cell>
        </row>
        <row r="678">
          <cell r="L678" t="str">
            <v>السنبلة_صابويران</v>
          </cell>
          <cell r="M678" t="str">
            <v>C1332</v>
          </cell>
          <cell r="AC678">
            <v>37.654907229999999</v>
          </cell>
          <cell r="AD678">
            <v>36.517272949999999</v>
          </cell>
        </row>
        <row r="679">
          <cell r="L679" t="str">
            <v>جب الدم الباب</v>
          </cell>
          <cell r="M679" t="str">
            <v>C1333</v>
          </cell>
          <cell r="AC679">
            <v>37.617309570000003</v>
          </cell>
          <cell r="AD679">
            <v>36.506713869999999</v>
          </cell>
        </row>
        <row r="680">
          <cell r="L680" t="str">
            <v>الوادي_جقال صغير</v>
          </cell>
          <cell r="M680" t="str">
            <v>C1334</v>
          </cell>
          <cell r="AC680">
            <v>37.739929199999999</v>
          </cell>
          <cell r="AD680">
            <v>36.507324220000001</v>
          </cell>
        </row>
        <row r="681">
          <cell r="L681" t="str">
            <v>جب سلطان</v>
          </cell>
          <cell r="M681" t="str">
            <v>C1335</v>
          </cell>
          <cell r="AC681">
            <v>37.762084960000003</v>
          </cell>
          <cell r="AD681">
            <v>36.364501949999998</v>
          </cell>
        </row>
        <row r="682">
          <cell r="L682" t="str">
            <v>الثعلبية_جقال كبير</v>
          </cell>
          <cell r="M682" t="str">
            <v>C1336</v>
          </cell>
          <cell r="AC682">
            <v>37.76470947</v>
          </cell>
          <cell r="AD682">
            <v>36.508911130000001</v>
          </cell>
        </row>
        <row r="683">
          <cell r="L683" t="str">
            <v>جب نعسان</v>
          </cell>
          <cell r="M683" t="str">
            <v>C1337</v>
          </cell>
          <cell r="AC683">
            <v>37.687316899999999</v>
          </cell>
          <cell r="AD683">
            <v>36.395080569999998</v>
          </cell>
        </row>
        <row r="684">
          <cell r="L684" t="str">
            <v>العروبة الباب_عرب ويران</v>
          </cell>
          <cell r="M684" t="str">
            <v>C1338</v>
          </cell>
          <cell r="AC684">
            <v>37.585083009999998</v>
          </cell>
          <cell r="AD684">
            <v>36.519103999999999</v>
          </cell>
        </row>
        <row r="685">
          <cell r="L685" t="str">
            <v>سكرية كبيرة</v>
          </cell>
          <cell r="M685" t="str">
            <v>C1339</v>
          </cell>
          <cell r="AC685">
            <v>37.718688970000002</v>
          </cell>
          <cell r="AD685">
            <v>36.400085449999999</v>
          </cell>
        </row>
        <row r="686">
          <cell r="L686" t="str">
            <v>جبلة الحمرة</v>
          </cell>
          <cell r="M686" t="str">
            <v>C1340</v>
          </cell>
          <cell r="AC686">
            <v>37.703125</v>
          </cell>
          <cell r="AD686">
            <v>36.433471679999997</v>
          </cell>
        </row>
        <row r="687">
          <cell r="L687" t="str">
            <v>أم شكيف</v>
          </cell>
          <cell r="M687" t="str">
            <v>C1341</v>
          </cell>
          <cell r="AC687">
            <v>37.652893069999998</v>
          </cell>
          <cell r="AD687">
            <v>36.39428711</v>
          </cell>
        </row>
        <row r="688">
          <cell r="L688" t="str">
            <v>أم عدسةعجمي</v>
          </cell>
          <cell r="M688" t="str">
            <v>C1342</v>
          </cell>
          <cell r="AC688">
            <v>37.658691410000003</v>
          </cell>
          <cell r="AD688">
            <v>36.412292479999998</v>
          </cell>
        </row>
        <row r="689">
          <cell r="L689" t="str">
            <v>شدار</v>
          </cell>
          <cell r="M689" t="str">
            <v>C1343</v>
          </cell>
          <cell r="AC689">
            <v>37.606079100000002</v>
          </cell>
          <cell r="AD689">
            <v>36.564270020000002</v>
          </cell>
        </row>
        <row r="690">
          <cell r="L690" t="str">
            <v>شويحة</v>
          </cell>
          <cell r="M690" t="str">
            <v>C1344</v>
          </cell>
          <cell r="AC690">
            <v>37.609680179999998</v>
          </cell>
          <cell r="AD690">
            <v>36.542907720000002</v>
          </cell>
        </row>
        <row r="691">
          <cell r="L691" t="str">
            <v>ترحين</v>
          </cell>
          <cell r="M691" t="str">
            <v>C1345</v>
          </cell>
          <cell r="AC691">
            <v>37.541687009999997</v>
          </cell>
          <cell r="AD691">
            <v>36.517272949999999</v>
          </cell>
        </row>
        <row r="692">
          <cell r="L692" t="str">
            <v>برشايا</v>
          </cell>
          <cell r="M692" t="str">
            <v>C1346</v>
          </cell>
          <cell r="AC692">
            <v>37.59191895</v>
          </cell>
          <cell r="AD692">
            <v>36.485473630000001</v>
          </cell>
        </row>
        <row r="693">
          <cell r="L693" t="str">
            <v>تفريعة صغيرة</v>
          </cell>
          <cell r="M693" t="str">
            <v>C1347</v>
          </cell>
          <cell r="AC693">
            <v>37.684326169999999</v>
          </cell>
          <cell r="AD693">
            <v>36.362915039999997</v>
          </cell>
        </row>
        <row r="694">
          <cell r="L694" t="str">
            <v>تفريعة كبيرة</v>
          </cell>
          <cell r="M694" t="str">
            <v>C1348</v>
          </cell>
          <cell r="AC694">
            <v>37.676513669999999</v>
          </cell>
          <cell r="AD694">
            <v>36.35388184</v>
          </cell>
        </row>
        <row r="695">
          <cell r="L695" t="str">
            <v>نباتة كبيرة</v>
          </cell>
          <cell r="M695" t="str">
            <v>C1349</v>
          </cell>
          <cell r="AC695">
            <v>37.724121089999997</v>
          </cell>
          <cell r="AD695">
            <v>36.34191895</v>
          </cell>
        </row>
        <row r="696">
          <cell r="L696" t="str">
            <v>مضيق بو غاز</v>
          </cell>
          <cell r="M696" t="str">
            <v>C1350</v>
          </cell>
          <cell r="AC696">
            <v>37.652526860000002</v>
          </cell>
          <cell r="AD696">
            <v>36.472473149999999</v>
          </cell>
        </row>
        <row r="697">
          <cell r="L697" t="str">
            <v>بابليت</v>
          </cell>
          <cell r="M697" t="str">
            <v>C1351</v>
          </cell>
          <cell r="AC697">
            <v>36.82788086</v>
          </cell>
          <cell r="AD697">
            <v>36.482727050000001</v>
          </cell>
        </row>
        <row r="698">
          <cell r="L698" t="str">
            <v>اسكان</v>
          </cell>
          <cell r="M698" t="str">
            <v>C1352</v>
          </cell>
          <cell r="AC698">
            <v>36.807922359999999</v>
          </cell>
          <cell r="AD698">
            <v>36.353515629999997</v>
          </cell>
        </row>
        <row r="699">
          <cell r="L699" t="str">
            <v>ابين- عفرين</v>
          </cell>
          <cell r="M699" t="str">
            <v>C1353</v>
          </cell>
          <cell r="AC699">
            <v>36.99310303</v>
          </cell>
          <cell r="AD699">
            <v>36.467102050000001</v>
          </cell>
        </row>
        <row r="700">
          <cell r="L700" t="str">
            <v>برج حيدر</v>
          </cell>
          <cell r="M700" t="str">
            <v>C1354</v>
          </cell>
          <cell r="AC700">
            <v>36.902893069999998</v>
          </cell>
          <cell r="AD700">
            <v>36.343078609999999</v>
          </cell>
        </row>
        <row r="701">
          <cell r="L701" t="str">
            <v>تللف</v>
          </cell>
          <cell r="M701" t="str">
            <v>C1355</v>
          </cell>
          <cell r="AC701">
            <v>36.802673339999998</v>
          </cell>
          <cell r="AD701">
            <v>36.435302729999997</v>
          </cell>
        </row>
        <row r="702">
          <cell r="L702" t="str">
            <v>شوارغة الجوز</v>
          </cell>
          <cell r="M702" t="str">
            <v>C1356</v>
          </cell>
          <cell r="AC702">
            <v>36.961486819999998</v>
          </cell>
          <cell r="AD702">
            <v>36.550292970000001</v>
          </cell>
        </row>
        <row r="703">
          <cell r="L703" t="str">
            <v>شوارغة الأرز</v>
          </cell>
          <cell r="M703" t="str">
            <v>C1357</v>
          </cell>
          <cell r="AC703">
            <v>36.996887209999997</v>
          </cell>
          <cell r="AD703">
            <v>36.526489259999998</v>
          </cell>
        </row>
        <row r="704">
          <cell r="L704" t="str">
            <v>الزيارة عفرين</v>
          </cell>
          <cell r="M704" t="str">
            <v>C1358</v>
          </cell>
          <cell r="AC704">
            <v>37.004882809999998</v>
          </cell>
          <cell r="AD704">
            <v>36.422302250000001</v>
          </cell>
        </row>
        <row r="705">
          <cell r="L705" t="str">
            <v>شيخ الدير</v>
          </cell>
          <cell r="M705" t="str">
            <v>C1359</v>
          </cell>
          <cell r="AC705">
            <v>36.82928467</v>
          </cell>
          <cell r="AD705">
            <v>36.368896479999997</v>
          </cell>
        </row>
        <row r="706">
          <cell r="L706" t="str">
            <v>جلبل</v>
          </cell>
          <cell r="M706" t="str">
            <v>C1360</v>
          </cell>
          <cell r="AC706">
            <v>36.968688970000002</v>
          </cell>
          <cell r="AD706">
            <v>36.484497070000003</v>
          </cell>
        </row>
        <row r="707">
          <cell r="L707" t="str">
            <v>عقيبة</v>
          </cell>
          <cell r="M707" t="str">
            <v>C1361</v>
          </cell>
          <cell r="AC707">
            <v>36.968078609999999</v>
          </cell>
          <cell r="AD707">
            <v>36.438293459999997</v>
          </cell>
        </row>
        <row r="708">
          <cell r="L708" t="str">
            <v>الهوى</v>
          </cell>
          <cell r="M708" t="str">
            <v>C1362</v>
          </cell>
          <cell r="AC708">
            <v>36.91131592</v>
          </cell>
          <cell r="AD708">
            <v>36.523315429999997</v>
          </cell>
        </row>
        <row r="709">
          <cell r="L709" t="str">
            <v>الظريفة</v>
          </cell>
          <cell r="M709" t="str">
            <v>C1363</v>
          </cell>
          <cell r="AC709">
            <v>36.882690429999997</v>
          </cell>
          <cell r="AD709">
            <v>36.495483399999998</v>
          </cell>
        </row>
        <row r="710">
          <cell r="L710" t="str">
            <v>خالدية عفرين</v>
          </cell>
          <cell r="M710" t="str">
            <v>C1364</v>
          </cell>
          <cell r="AC710">
            <v>36.924499509999997</v>
          </cell>
          <cell r="AD710">
            <v>36.505676270000002</v>
          </cell>
        </row>
        <row r="711">
          <cell r="L711" t="str">
            <v>الخضراء</v>
          </cell>
          <cell r="M711" t="str">
            <v>C1365</v>
          </cell>
          <cell r="AC711">
            <v>36.795104979999998</v>
          </cell>
          <cell r="AD711">
            <v>36.541076660000002</v>
          </cell>
        </row>
        <row r="712">
          <cell r="L712" t="str">
            <v>عفرين</v>
          </cell>
          <cell r="M712" t="str">
            <v>C1366</v>
          </cell>
          <cell r="AC712">
            <v>36.865478520000003</v>
          </cell>
          <cell r="AD712">
            <v>36.511108399999998</v>
          </cell>
        </row>
        <row r="713">
          <cell r="L713" t="str">
            <v>اناب</v>
          </cell>
          <cell r="M713" t="str">
            <v>C1367</v>
          </cell>
          <cell r="AC713">
            <v>36.95428467</v>
          </cell>
          <cell r="AD713">
            <v>36.519103999999999</v>
          </cell>
        </row>
        <row r="714">
          <cell r="L714" t="str">
            <v>النيرة</v>
          </cell>
          <cell r="M714" t="str">
            <v>C1368</v>
          </cell>
          <cell r="AC714">
            <v>36.803710940000002</v>
          </cell>
          <cell r="AD714">
            <v>36.52368164</v>
          </cell>
        </row>
        <row r="715">
          <cell r="L715" t="str">
            <v>البصلية</v>
          </cell>
          <cell r="M715" t="str">
            <v>C1369</v>
          </cell>
          <cell r="AC715">
            <v>36.92810059</v>
          </cell>
          <cell r="AD715">
            <v>36.436279300000002</v>
          </cell>
        </row>
        <row r="716">
          <cell r="L716" t="str">
            <v>عين دارة</v>
          </cell>
          <cell r="M716" t="str">
            <v>C1370</v>
          </cell>
          <cell r="AC716">
            <v>36.866088869999999</v>
          </cell>
          <cell r="AD716">
            <v>36.464477539999997</v>
          </cell>
        </row>
        <row r="717">
          <cell r="L717" t="str">
            <v>باصلحايا</v>
          </cell>
          <cell r="M717" t="str">
            <v>C1371</v>
          </cell>
          <cell r="AC717">
            <v>36.953674319999998</v>
          </cell>
          <cell r="AD717">
            <v>36.460876470000002</v>
          </cell>
        </row>
        <row r="718">
          <cell r="L718" t="str">
            <v>بتيتة</v>
          </cell>
          <cell r="M718" t="str">
            <v>C1372</v>
          </cell>
          <cell r="AC718">
            <v>36.836303710000003</v>
          </cell>
          <cell r="AD718">
            <v>36.460876470000002</v>
          </cell>
        </row>
        <row r="719">
          <cell r="L719" t="str">
            <v>باعي</v>
          </cell>
          <cell r="M719" t="str">
            <v>C1373</v>
          </cell>
          <cell r="AC719">
            <v>36.86627197</v>
          </cell>
          <cell r="AD719">
            <v>36.359924319999998</v>
          </cell>
        </row>
        <row r="720">
          <cell r="L720" t="str">
            <v>باصوفان</v>
          </cell>
          <cell r="M720" t="str">
            <v>C1374</v>
          </cell>
          <cell r="AC720">
            <v>36.873718259999997</v>
          </cell>
          <cell r="AD720">
            <v>36.341125490000003</v>
          </cell>
        </row>
        <row r="721">
          <cell r="L721" t="str">
            <v>براد</v>
          </cell>
          <cell r="M721" t="str">
            <v>C1375</v>
          </cell>
          <cell r="AC721">
            <v>36.899108890000001</v>
          </cell>
          <cell r="AD721">
            <v>36.385925290000003</v>
          </cell>
        </row>
        <row r="722">
          <cell r="L722" t="str">
            <v>باسوطة</v>
          </cell>
          <cell r="M722" t="str">
            <v>C1376</v>
          </cell>
          <cell r="AC722">
            <v>36.87109375</v>
          </cell>
          <cell r="AD722">
            <v>36.431884770000003</v>
          </cell>
        </row>
        <row r="723">
          <cell r="L723" t="str">
            <v>برج عبد الله</v>
          </cell>
          <cell r="M723" t="str">
            <v>C1377</v>
          </cell>
          <cell r="AC723">
            <v>36.862487790000003</v>
          </cell>
          <cell r="AD723">
            <v>36.411926270000002</v>
          </cell>
        </row>
        <row r="724">
          <cell r="L724" t="str">
            <v>غزاوية عفرين</v>
          </cell>
          <cell r="M724" t="str">
            <v>C1378</v>
          </cell>
          <cell r="AC724">
            <v>36.841674810000001</v>
          </cell>
          <cell r="AD724">
            <v>36.376892089999998</v>
          </cell>
        </row>
        <row r="725">
          <cell r="L725" t="str">
            <v>زهرةالحياة</v>
          </cell>
          <cell r="M725" t="str">
            <v>C1379</v>
          </cell>
          <cell r="AC725">
            <v>37.013122559999999</v>
          </cell>
          <cell r="AD725">
            <v>36.4296875</v>
          </cell>
        </row>
        <row r="726">
          <cell r="L726" t="str">
            <v>كباشين</v>
          </cell>
          <cell r="M726" t="str">
            <v>C1380</v>
          </cell>
          <cell r="AC726">
            <v>36.917480470000001</v>
          </cell>
          <cell r="AD726">
            <v>36.33227539</v>
          </cell>
        </row>
        <row r="727">
          <cell r="L727" t="str">
            <v>كوكبة</v>
          </cell>
          <cell r="M727" t="str">
            <v>C1381</v>
          </cell>
          <cell r="AC727">
            <v>36.836486819999998</v>
          </cell>
          <cell r="AD727">
            <v>36.451721190000001</v>
          </cell>
        </row>
        <row r="728">
          <cell r="L728" t="str">
            <v>كيمار</v>
          </cell>
          <cell r="M728" t="str">
            <v>C1382</v>
          </cell>
          <cell r="AC728">
            <v>36.896301270000002</v>
          </cell>
          <cell r="AD728">
            <v>36.423706060000001</v>
          </cell>
        </row>
        <row r="729">
          <cell r="L729" t="str">
            <v>فافرتين</v>
          </cell>
          <cell r="M729" t="str">
            <v>C1383</v>
          </cell>
          <cell r="AC729">
            <v>36.906127929999997</v>
          </cell>
          <cell r="AD729">
            <v>36.3203125</v>
          </cell>
        </row>
        <row r="730">
          <cell r="L730" t="str">
            <v>معراتة</v>
          </cell>
          <cell r="M730" t="str">
            <v>C1384</v>
          </cell>
          <cell r="AC730">
            <v>36.800720220000002</v>
          </cell>
          <cell r="AD730">
            <v>36.500488279999999</v>
          </cell>
        </row>
        <row r="731">
          <cell r="L731" t="str">
            <v>كفرشيل</v>
          </cell>
          <cell r="M731" t="str">
            <v>C1385</v>
          </cell>
          <cell r="AC731">
            <v>36.832519529999999</v>
          </cell>
          <cell r="AD731">
            <v>36.510498050000002</v>
          </cell>
        </row>
        <row r="732">
          <cell r="L732" t="str">
            <v>مريمين عفرين</v>
          </cell>
          <cell r="M732" t="str">
            <v>C1386</v>
          </cell>
          <cell r="AC732">
            <v>36.949707029999999</v>
          </cell>
          <cell r="AD732">
            <v>36.530517580000001</v>
          </cell>
        </row>
        <row r="733">
          <cell r="L733" t="str">
            <v>قرزيحل</v>
          </cell>
          <cell r="M733" t="str">
            <v>C1387</v>
          </cell>
          <cell r="AC733">
            <v>36.887512209999997</v>
          </cell>
          <cell r="AD733">
            <v>36.466491699999999</v>
          </cell>
        </row>
        <row r="734">
          <cell r="L734" t="str">
            <v>كفر بطرة</v>
          </cell>
          <cell r="M734" t="str">
            <v>C1388</v>
          </cell>
          <cell r="AC734">
            <v>36.813720699999998</v>
          </cell>
          <cell r="AD734">
            <v>36.463073729999998</v>
          </cell>
        </row>
        <row r="735">
          <cell r="L735" t="str">
            <v>كفر زيد</v>
          </cell>
          <cell r="M735" t="str">
            <v>C1389</v>
          </cell>
          <cell r="AC735">
            <v>36.81091309</v>
          </cell>
          <cell r="AD735">
            <v>36.413085940000002</v>
          </cell>
        </row>
        <row r="736">
          <cell r="L736" t="str">
            <v>كفير</v>
          </cell>
          <cell r="M736" t="str">
            <v>C1390</v>
          </cell>
          <cell r="AC736">
            <v>36.859497070000003</v>
          </cell>
          <cell r="AD736">
            <v>36.421508789999997</v>
          </cell>
        </row>
        <row r="737">
          <cell r="L737" t="str">
            <v>بلبل</v>
          </cell>
          <cell r="M737" t="str">
            <v>C1391</v>
          </cell>
          <cell r="AC737">
            <v>36.819274900000003</v>
          </cell>
          <cell r="AD737">
            <v>36.769714360000002</v>
          </cell>
        </row>
        <row r="738">
          <cell r="L738" t="str">
            <v>السمحة_كيلانلي</v>
          </cell>
          <cell r="M738" t="str">
            <v>C1392</v>
          </cell>
          <cell r="AC738">
            <v>36.767089839999997</v>
          </cell>
          <cell r="AD738">
            <v>36.704101559999998</v>
          </cell>
        </row>
        <row r="739">
          <cell r="L739" t="str">
            <v>أوبة_بيك أوبه باسي</v>
          </cell>
          <cell r="M739" t="str">
            <v>C1393</v>
          </cell>
          <cell r="AC739">
            <v>36.767272949999999</v>
          </cell>
          <cell r="AD739">
            <v>36.796875</v>
          </cell>
        </row>
        <row r="740">
          <cell r="L740" t="str">
            <v>خضر</v>
          </cell>
          <cell r="M740" t="str">
            <v>C1394</v>
          </cell>
          <cell r="AC740">
            <v>36.794921879999997</v>
          </cell>
          <cell r="AD740">
            <v>36.746276860000002</v>
          </cell>
        </row>
        <row r="741">
          <cell r="L741" t="str">
            <v>عبودان</v>
          </cell>
          <cell r="M741" t="str">
            <v>C1395</v>
          </cell>
          <cell r="AC741">
            <v>36.91247559</v>
          </cell>
          <cell r="AD741">
            <v>36.755126949999998</v>
          </cell>
        </row>
        <row r="742">
          <cell r="L742" t="str">
            <v>شرقان</v>
          </cell>
          <cell r="M742" t="str">
            <v>C1396</v>
          </cell>
          <cell r="AC742">
            <v>36.828918459999997</v>
          </cell>
          <cell r="AD742">
            <v>36.733886720000001</v>
          </cell>
        </row>
        <row r="743">
          <cell r="L743" t="str">
            <v>أبل</v>
          </cell>
          <cell r="M743" t="str">
            <v>C1397</v>
          </cell>
          <cell r="AC743">
            <v>36.846313479999999</v>
          </cell>
          <cell r="AD743">
            <v>36.69372559</v>
          </cell>
        </row>
        <row r="744">
          <cell r="L744" t="str">
            <v>الديك</v>
          </cell>
          <cell r="M744" t="str">
            <v>C1398</v>
          </cell>
          <cell r="AC744">
            <v>36.771911619999997</v>
          </cell>
          <cell r="AD744">
            <v>36.684875490000003</v>
          </cell>
        </row>
        <row r="745">
          <cell r="L745" t="str">
            <v>دير حسن</v>
          </cell>
          <cell r="M745" t="str">
            <v>C1399</v>
          </cell>
          <cell r="AC745">
            <v>36.844299319999998</v>
          </cell>
          <cell r="AD745">
            <v>36.66247559</v>
          </cell>
        </row>
        <row r="746">
          <cell r="L746" t="str">
            <v>السعرة</v>
          </cell>
          <cell r="M746" t="str">
            <v>C1400</v>
          </cell>
          <cell r="AC746">
            <v>36.782897949999999</v>
          </cell>
          <cell r="AD746">
            <v>36.773071289999997</v>
          </cell>
        </row>
        <row r="747">
          <cell r="L747" t="str">
            <v>اليابسة</v>
          </cell>
          <cell r="M747" t="str">
            <v>C1401</v>
          </cell>
          <cell r="AC747">
            <v>36.834472660000003</v>
          </cell>
          <cell r="AD747">
            <v>36.686706540000003</v>
          </cell>
        </row>
        <row r="748">
          <cell r="L748" t="str">
            <v>الحاجب_قاش أوغلي</v>
          </cell>
          <cell r="M748" t="str">
            <v>C1402</v>
          </cell>
          <cell r="AC748">
            <v>36.839477539999997</v>
          </cell>
          <cell r="AD748">
            <v>36.716674810000001</v>
          </cell>
        </row>
        <row r="749">
          <cell r="L749" t="str">
            <v>الرأس الأحمر</v>
          </cell>
          <cell r="M749" t="str">
            <v>C1403</v>
          </cell>
          <cell r="AC749">
            <v>36.873718259999997</v>
          </cell>
          <cell r="AD749">
            <v>36.685485839999998</v>
          </cell>
        </row>
        <row r="750">
          <cell r="L750" t="str">
            <v>الخليل_خليلاك</v>
          </cell>
          <cell r="M750" t="str">
            <v>C1404</v>
          </cell>
          <cell r="AC750">
            <v>36.806884770000003</v>
          </cell>
          <cell r="AD750">
            <v>36.694274900000003</v>
          </cell>
        </row>
        <row r="751">
          <cell r="L751" t="str">
            <v>صاغر_صاغر أوبه سي</v>
          </cell>
          <cell r="M751" t="str">
            <v>C1405</v>
          </cell>
          <cell r="AC751">
            <v>36.780517580000001</v>
          </cell>
          <cell r="AD751">
            <v>36.702697749999999</v>
          </cell>
        </row>
        <row r="752">
          <cell r="L752" t="str">
            <v>زعرة</v>
          </cell>
          <cell r="M752" t="str">
            <v>C1406</v>
          </cell>
          <cell r="AC752">
            <v>36.803283690000001</v>
          </cell>
          <cell r="AD752">
            <v>36.785522460000003</v>
          </cell>
        </row>
        <row r="753">
          <cell r="L753" t="str">
            <v>بالي_كوي</v>
          </cell>
          <cell r="M753" t="str">
            <v>C1407</v>
          </cell>
          <cell r="AC753">
            <v>36.83569336</v>
          </cell>
          <cell r="AD753">
            <v>36.786499020000001</v>
          </cell>
        </row>
        <row r="754">
          <cell r="L754" t="str">
            <v>علي الأطرش_عليكار</v>
          </cell>
          <cell r="M754" t="str">
            <v>C1408</v>
          </cell>
          <cell r="AC754">
            <v>36.783874509999997</v>
          </cell>
          <cell r="AD754">
            <v>36.790283199999998</v>
          </cell>
        </row>
        <row r="755">
          <cell r="L755" t="str">
            <v>عوكان</v>
          </cell>
          <cell r="M755" t="str">
            <v>C1409</v>
          </cell>
          <cell r="AC755">
            <v>36.845275880000003</v>
          </cell>
          <cell r="AD755">
            <v>36.744689940000001</v>
          </cell>
        </row>
        <row r="756">
          <cell r="L756" t="str">
            <v>شيخ خورز</v>
          </cell>
          <cell r="M756" t="str">
            <v>C1410</v>
          </cell>
          <cell r="AC756">
            <v>36.889099119999997</v>
          </cell>
          <cell r="AD756">
            <v>36.733520509999998</v>
          </cell>
        </row>
        <row r="757">
          <cell r="L757" t="str">
            <v>عشاني</v>
          </cell>
          <cell r="M757" t="str">
            <v>C1411</v>
          </cell>
          <cell r="AC757">
            <v>36.784301759999998</v>
          </cell>
          <cell r="AD757">
            <v>36.696105959999997</v>
          </cell>
        </row>
        <row r="758">
          <cell r="L758" t="str">
            <v>الطفلة</v>
          </cell>
          <cell r="M758" t="str">
            <v>C1412</v>
          </cell>
          <cell r="AC758">
            <v>36.821289059999998</v>
          </cell>
          <cell r="AD758">
            <v>36.717712400000003</v>
          </cell>
        </row>
        <row r="759">
          <cell r="L759" t="str">
            <v>المدللة عفرين_كوتانلي شرقي</v>
          </cell>
          <cell r="M759" t="str">
            <v>C1413</v>
          </cell>
          <cell r="AC759">
            <v>36.856079100000002</v>
          </cell>
          <cell r="AD759">
            <v>36.695129399999999</v>
          </cell>
        </row>
        <row r="760">
          <cell r="L760" t="str">
            <v>المروية</v>
          </cell>
          <cell r="M760" t="str">
            <v>C1414</v>
          </cell>
          <cell r="AC760">
            <v>36.740295410000002</v>
          </cell>
          <cell r="AD760">
            <v>36.754272460000003</v>
          </cell>
        </row>
        <row r="761">
          <cell r="L761" t="str">
            <v>قوطان</v>
          </cell>
          <cell r="M761" t="str">
            <v>C1415</v>
          </cell>
          <cell r="AC761">
            <v>36.800292970000001</v>
          </cell>
          <cell r="AD761">
            <v>36.71069336</v>
          </cell>
        </row>
        <row r="762">
          <cell r="L762" t="str">
            <v>قسطل مقداد</v>
          </cell>
          <cell r="M762" t="str">
            <v>C1416</v>
          </cell>
          <cell r="AC762">
            <v>36.858276369999999</v>
          </cell>
          <cell r="AD762">
            <v>36.735107419999999</v>
          </cell>
        </row>
        <row r="763">
          <cell r="L763" t="str">
            <v>هوزان</v>
          </cell>
          <cell r="M763" t="str">
            <v>C1417</v>
          </cell>
          <cell r="AC763">
            <v>36.84790039</v>
          </cell>
          <cell r="AD763">
            <v>36.719482419999999</v>
          </cell>
        </row>
        <row r="764">
          <cell r="L764" t="str">
            <v>قورنة</v>
          </cell>
          <cell r="M764" t="str">
            <v>C1418</v>
          </cell>
          <cell r="AC764">
            <v>36.841674810000001</v>
          </cell>
          <cell r="AD764">
            <v>36.773071289999997</v>
          </cell>
        </row>
        <row r="765">
          <cell r="L765" t="str">
            <v>شيخ عبد الرحمن</v>
          </cell>
          <cell r="M765" t="str">
            <v>C1419</v>
          </cell>
          <cell r="AC765">
            <v>36.763488770000002</v>
          </cell>
          <cell r="AD765">
            <v>36.431518560000001</v>
          </cell>
        </row>
        <row r="766">
          <cell r="L766" t="str">
            <v>حاج اسكندر</v>
          </cell>
          <cell r="M766" t="str">
            <v>C1420</v>
          </cell>
          <cell r="AC766">
            <v>36.63970947</v>
          </cell>
          <cell r="AD766">
            <v>36.376525880000003</v>
          </cell>
        </row>
        <row r="767">
          <cell r="L767" t="str">
            <v>جوم عفرين</v>
          </cell>
          <cell r="M767" t="str">
            <v>C1421</v>
          </cell>
          <cell r="AC767">
            <v>36.713317869999997</v>
          </cell>
          <cell r="AD767">
            <v>36.451904300000002</v>
          </cell>
        </row>
        <row r="768">
          <cell r="L768" t="str">
            <v>رمادية</v>
          </cell>
          <cell r="M768" t="str">
            <v>C1422</v>
          </cell>
          <cell r="AC768">
            <v>36.745483399999998</v>
          </cell>
          <cell r="AD768">
            <v>36.399291990000002</v>
          </cell>
        </row>
        <row r="769">
          <cell r="L769" t="str">
            <v>الضخم</v>
          </cell>
          <cell r="M769" t="str">
            <v>C1423</v>
          </cell>
          <cell r="AC769">
            <v>36.74127197</v>
          </cell>
          <cell r="AD769">
            <v>36.437683110000002</v>
          </cell>
        </row>
        <row r="770">
          <cell r="L770" t="str">
            <v>جلمة</v>
          </cell>
          <cell r="M770" t="str">
            <v>C1424</v>
          </cell>
          <cell r="AC770">
            <v>36.770080569999998</v>
          </cell>
          <cell r="AD770">
            <v>36.357116699999999</v>
          </cell>
        </row>
        <row r="771">
          <cell r="L771" t="str">
            <v>جلق</v>
          </cell>
          <cell r="M771" t="str">
            <v>C1425</v>
          </cell>
          <cell r="AC771">
            <v>36.745483399999998</v>
          </cell>
          <cell r="AD771">
            <v>36.475708009999998</v>
          </cell>
        </row>
        <row r="772">
          <cell r="L772" t="str">
            <v>جنديرس</v>
          </cell>
          <cell r="M772" t="str">
            <v>C1426</v>
          </cell>
          <cell r="AC772">
            <v>36.689697270000003</v>
          </cell>
          <cell r="AD772">
            <v>36.392517089999998</v>
          </cell>
        </row>
        <row r="773">
          <cell r="L773" t="str">
            <v>الحمام</v>
          </cell>
          <cell r="M773" t="str">
            <v>C1427</v>
          </cell>
          <cell r="AC773">
            <v>36.606689449999998</v>
          </cell>
          <cell r="AD773">
            <v>36.367919919999999</v>
          </cell>
        </row>
        <row r="774">
          <cell r="L774" t="str">
            <v>برج كموش</v>
          </cell>
          <cell r="M774" t="str">
            <v>C1428</v>
          </cell>
          <cell r="AC774">
            <v>36.711914059999998</v>
          </cell>
          <cell r="AD774">
            <v>36.429077149999998</v>
          </cell>
        </row>
        <row r="775">
          <cell r="L775" t="str">
            <v>راس الأسود_قراباش</v>
          </cell>
          <cell r="M775" t="str">
            <v>C1429</v>
          </cell>
          <cell r="AC775">
            <v>36.761901860000002</v>
          </cell>
          <cell r="AD775">
            <v>36.47290039</v>
          </cell>
        </row>
        <row r="776">
          <cell r="L776" t="str">
            <v>تل حمو</v>
          </cell>
          <cell r="M776" t="str">
            <v>C1430</v>
          </cell>
          <cell r="AC776">
            <v>36.771728520000003</v>
          </cell>
          <cell r="AD776">
            <v>36.417297359999999</v>
          </cell>
        </row>
        <row r="777">
          <cell r="L777" t="str">
            <v>ديوان فوقاني</v>
          </cell>
          <cell r="M777" t="str">
            <v>C1431</v>
          </cell>
          <cell r="AC777">
            <v>36.699890140000001</v>
          </cell>
          <cell r="AD777">
            <v>36.342529300000002</v>
          </cell>
        </row>
        <row r="778">
          <cell r="L778" t="str">
            <v>خرزان</v>
          </cell>
          <cell r="M778" t="str">
            <v>C1432</v>
          </cell>
          <cell r="AC778">
            <v>36.734497070000003</v>
          </cell>
          <cell r="AD778">
            <v>36.472106930000002</v>
          </cell>
        </row>
        <row r="779">
          <cell r="L779" t="str">
            <v>تل سلور</v>
          </cell>
          <cell r="M779" t="str">
            <v>C1433</v>
          </cell>
          <cell r="AC779">
            <v>36.722290039999997</v>
          </cell>
          <cell r="AD779">
            <v>36.365478520000003</v>
          </cell>
        </row>
        <row r="780">
          <cell r="L780" t="str">
            <v>البياضة - جنديرس</v>
          </cell>
          <cell r="M780" t="str">
            <v>C1434</v>
          </cell>
          <cell r="AC780">
            <v>36.663085940000002</v>
          </cell>
          <cell r="AD780">
            <v>36.375671390000001</v>
          </cell>
        </row>
        <row r="781">
          <cell r="L781" t="str">
            <v>دير بلوط</v>
          </cell>
          <cell r="M781" t="str">
            <v>C1435</v>
          </cell>
          <cell r="AC781">
            <v>36.664916990000002</v>
          </cell>
          <cell r="AD781">
            <v>36.339721679999997</v>
          </cell>
        </row>
        <row r="782">
          <cell r="L782" t="str">
            <v>خلطان غربي</v>
          </cell>
          <cell r="M782" t="str">
            <v>C1436</v>
          </cell>
          <cell r="AC782">
            <v>36.707702640000001</v>
          </cell>
          <cell r="AD782">
            <v>36.480896000000001</v>
          </cell>
        </row>
        <row r="783">
          <cell r="L783" t="str">
            <v>اشكان غربي</v>
          </cell>
          <cell r="M783" t="str">
            <v>C1437</v>
          </cell>
          <cell r="AC783">
            <v>36.634704589999998</v>
          </cell>
          <cell r="AD783">
            <v>36.399291990000002</v>
          </cell>
        </row>
        <row r="784">
          <cell r="L784" t="str">
            <v>زندة</v>
          </cell>
          <cell r="M784" t="str">
            <v>C1438</v>
          </cell>
          <cell r="AC784">
            <v>36.694702149999998</v>
          </cell>
          <cell r="AD784">
            <v>36.418701169999999</v>
          </cell>
        </row>
        <row r="785">
          <cell r="L785" t="str">
            <v>النسرية</v>
          </cell>
          <cell r="M785" t="str">
            <v>C1439</v>
          </cell>
          <cell r="AC785">
            <v>36.641296390000001</v>
          </cell>
          <cell r="AD785">
            <v>36.350891109999999</v>
          </cell>
        </row>
        <row r="786">
          <cell r="L786" t="str">
            <v>الفسحة</v>
          </cell>
          <cell r="M786" t="str">
            <v>C1440</v>
          </cell>
          <cell r="AC786">
            <v>36.7598877</v>
          </cell>
          <cell r="AD786">
            <v>36.480529789999999</v>
          </cell>
        </row>
        <row r="787">
          <cell r="L787" t="str">
            <v>اشكان شرقي</v>
          </cell>
          <cell r="M787" t="str">
            <v>C1441</v>
          </cell>
          <cell r="AC787">
            <v>36.732727050000001</v>
          </cell>
          <cell r="AD787">
            <v>36.460876470000002</v>
          </cell>
        </row>
        <row r="788">
          <cell r="L788" t="str">
            <v>كفردلي فوقاني</v>
          </cell>
          <cell r="M788" t="str">
            <v>C1442</v>
          </cell>
          <cell r="AC788">
            <v>36.765075680000002</v>
          </cell>
          <cell r="AD788">
            <v>36.500488279999999</v>
          </cell>
        </row>
        <row r="789">
          <cell r="L789" t="str">
            <v>مروانة فوقاني</v>
          </cell>
          <cell r="M789" t="str">
            <v>C1443</v>
          </cell>
          <cell r="AC789">
            <v>36.60388184</v>
          </cell>
          <cell r="AD789">
            <v>36.421691899999999</v>
          </cell>
        </row>
        <row r="790">
          <cell r="L790" t="str">
            <v>مسكة فوقاني</v>
          </cell>
          <cell r="M790" t="str">
            <v>C1444</v>
          </cell>
          <cell r="AC790">
            <v>36.69372559</v>
          </cell>
          <cell r="AD790">
            <v>36.455322270000003</v>
          </cell>
        </row>
        <row r="791">
          <cell r="L791" t="str">
            <v>كوردان</v>
          </cell>
          <cell r="M791" t="str">
            <v>C1445</v>
          </cell>
          <cell r="AC791">
            <v>36.676086429999998</v>
          </cell>
          <cell r="AD791">
            <v>36.470520020000002</v>
          </cell>
        </row>
        <row r="792">
          <cell r="L792" t="str">
            <v>فريرية</v>
          </cell>
          <cell r="M792" t="str">
            <v>C1446</v>
          </cell>
          <cell r="AC792">
            <v>36.770874020000001</v>
          </cell>
          <cell r="AD792">
            <v>36.399719240000003</v>
          </cell>
        </row>
        <row r="793">
          <cell r="L793" t="str">
            <v>كوران جنديرس</v>
          </cell>
          <cell r="M793" t="str">
            <v>C1447</v>
          </cell>
          <cell r="AC793">
            <v>36.673522949999999</v>
          </cell>
          <cell r="AD793">
            <v>36.439697270000003</v>
          </cell>
        </row>
        <row r="794">
          <cell r="L794" t="str">
            <v>كفردلي تحتاني</v>
          </cell>
          <cell r="M794" t="str">
            <v>C1448</v>
          </cell>
          <cell r="AC794">
            <v>36.778686520000001</v>
          </cell>
          <cell r="AD794">
            <v>36.47747803</v>
          </cell>
        </row>
        <row r="795">
          <cell r="L795" t="str">
            <v>كفر صفرة</v>
          </cell>
          <cell r="M795" t="str">
            <v>C1449</v>
          </cell>
          <cell r="AC795">
            <v>36.661926270000002</v>
          </cell>
          <cell r="AD795">
            <v>36.427673339999998</v>
          </cell>
        </row>
        <row r="796">
          <cell r="L796" t="str">
            <v>الشيوخ_شيخ أوبه سي</v>
          </cell>
          <cell r="M796" t="str">
            <v>C1450</v>
          </cell>
          <cell r="AC796">
            <v>36.749877929999997</v>
          </cell>
          <cell r="AD796">
            <v>36.663330080000001</v>
          </cell>
        </row>
        <row r="797">
          <cell r="L797" t="str">
            <v>الغزلان_جيلاني</v>
          </cell>
          <cell r="M797" t="str">
            <v>C1451</v>
          </cell>
          <cell r="AC797">
            <v>36.710083009999998</v>
          </cell>
          <cell r="AD797">
            <v>36.740478520000003</v>
          </cell>
        </row>
        <row r="798">
          <cell r="L798" t="str">
            <v>حمشو_حمشتلك</v>
          </cell>
          <cell r="M798" t="str">
            <v>C1452</v>
          </cell>
          <cell r="AC798">
            <v>36.700683589999997</v>
          </cell>
          <cell r="AD798">
            <v>36.629089360000002</v>
          </cell>
        </row>
        <row r="799">
          <cell r="L799" t="str">
            <v>شيخ محمد</v>
          </cell>
          <cell r="M799" t="str">
            <v>C1453</v>
          </cell>
          <cell r="AC799">
            <v>36.709716800000002</v>
          </cell>
          <cell r="AD799">
            <v>36.788879399999999</v>
          </cell>
        </row>
        <row r="800">
          <cell r="L800" t="str">
            <v>ضوضو</v>
          </cell>
          <cell r="M800" t="str">
            <v>C1454</v>
          </cell>
          <cell r="AC800">
            <v>36.719116210000003</v>
          </cell>
          <cell r="AD800">
            <v>36.789123539999999</v>
          </cell>
        </row>
        <row r="801">
          <cell r="L801" t="str">
            <v>حاج خليل</v>
          </cell>
          <cell r="M801" t="str">
            <v>C1455</v>
          </cell>
          <cell r="AC801">
            <v>36.683898929999998</v>
          </cell>
          <cell r="AD801">
            <v>36.67810059</v>
          </cell>
        </row>
        <row r="802">
          <cell r="L802" t="str">
            <v>الدرويشية</v>
          </cell>
          <cell r="M802" t="str">
            <v>C1456</v>
          </cell>
          <cell r="AC802">
            <v>36.668273929999998</v>
          </cell>
          <cell r="AD802">
            <v>36.635498050000002</v>
          </cell>
        </row>
        <row r="803">
          <cell r="L803" t="str">
            <v>المعامل_أوشاغي</v>
          </cell>
          <cell r="M803" t="str">
            <v>C1457</v>
          </cell>
          <cell r="AC803">
            <v>36.63647461</v>
          </cell>
          <cell r="AD803">
            <v>36.59790039</v>
          </cell>
        </row>
        <row r="804">
          <cell r="L804" t="str">
            <v>العلياء_علي بسكي</v>
          </cell>
          <cell r="M804" t="str">
            <v>C1458</v>
          </cell>
          <cell r="AC804">
            <v>36.67211914</v>
          </cell>
          <cell r="AD804">
            <v>36.748901369999999</v>
          </cell>
        </row>
        <row r="805">
          <cell r="L805" t="str">
            <v>البتراء</v>
          </cell>
          <cell r="M805" t="str">
            <v>C1459</v>
          </cell>
          <cell r="AC805">
            <v>36.72747803</v>
          </cell>
          <cell r="AD805">
            <v>36.78747559</v>
          </cell>
        </row>
        <row r="806">
          <cell r="L806" t="str">
            <v>المرتفعة_قودة كوي</v>
          </cell>
          <cell r="M806" t="str">
            <v>C1460</v>
          </cell>
          <cell r="AC806">
            <v>36.643493650000003</v>
          </cell>
          <cell r="AD806">
            <v>36.619079589999998</v>
          </cell>
        </row>
        <row r="807">
          <cell r="L807" t="str">
            <v>عمر_عمر أوشاغي</v>
          </cell>
          <cell r="M807" t="str">
            <v>C1461</v>
          </cell>
          <cell r="AC807">
            <v>36.625122070000003</v>
          </cell>
          <cell r="AD807">
            <v>36.604919430000002</v>
          </cell>
        </row>
        <row r="808">
          <cell r="L808" t="str">
            <v>الراعي_جوبانلي</v>
          </cell>
          <cell r="M808" t="str">
            <v>C1462</v>
          </cell>
          <cell r="AC808">
            <v>36.734497070000003</v>
          </cell>
          <cell r="AD808">
            <v>36.697875979999999</v>
          </cell>
        </row>
        <row r="809">
          <cell r="L809" t="str">
            <v>حجمان</v>
          </cell>
          <cell r="M809" t="str">
            <v>C1463</v>
          </cell>
          <cell r="AC809">
            <v>36.688476559999998</v>
          </cell>
          <cell r="AD809">
            <v>36.708679199999999</v>
          </cell>
        </row>
        <row r="810">
          <cell r="L810" t="str">
            <v>الطاقية_كمرش</v>
          </cell>
          <cell r="M810" t="str">
            <v>C1464</v>
          </cell>
          <cell r="AC810">
            <v>36.623901369999999</v>
          </cell>
          <cell r="AD810">
            <v>36.627685550000002</v>
          </cell>
        </row>
        <row r="811">
          <cell r="L811" t="str">
            <v>بربند</v>
          </cell>
          <cell r="M811" t="str">
            <v>C1465</v>
          </cell>
          <cell r="AC811">
            <v>36.713500979999999</v>
          </cell>
          <cell r="AD811">
            <v>36.63372803</v>
          </cell>
        </row>
        <row r="812">
          <cell r="L812" t="str">
            <v>الضحاك فوقاني_كوليان فوقاني</v>
          </cell>
          <cell r="M812" t="str">
            <v>C1466</v>
          </cell>
          <cell r="AC812">
            <v>36.716491699999999</v>
          </cell>
          <cell r="AD812">
            <v>36.648315429999997</v>
          </cell>
        </row>
        <row r="813">
          <cell r="L813" t="str">
            <v>علمدار</v>
          </cell>
          <cell r="M813" t="str">
            <v>C1467</v>
          </cell>
          <cell r="AC813">
            <v>36.729125979999999</v>
          </cell>
          <cell r="AD813">
            <v>36.714721679999997</v>
          </cell>
        </row>
        <row r="814">
          <cell r="L814" t="str">
            <v>بلالية_بلاليكو</v>
          </cell>
          <cell r="M814" t="str">
            <v>C1468</v>
          </cell>
          <cell r="AC814">
            <v>36.684082029999999</v>
          </cell>
          <cell r="AD814">
            <v>36.750305179999998</v>
          </cell>
        </row>
        <row r="815">
          <cell r="L815" t="str">
            <v>الثلاثية</v>
          </cell>
          <cell r="M815" t="str">
            <v>C1469</v>
          </cell>
          <cell r="AC815">
            <v>36.697326660000002</v>
          </cell>
          <cell r="AD815">
            <v>36.784301759999998</v>
          </cell>
        </row>
        <row r="816">
          <cell r="L816" t="str">
            <v>الصوان الصغير_جقمق صغير</v>
          </cell>
          <cell r="M816" t="str">
            <v>C1470</v>
          </cell>
          <cell r="AC816">
            <v>36.718688970000002</v>
          </cell>
          <cell r="AD816">
            <v>36.709899900000003</v>
          </cell>
        </row>
        <row r="817">
          <cell r="L817" t="str">
            <v>البئرين_جتال قويو</v>
          </cell>
          <cell r="M817" t="str">
            <v>C1471</v>
          </cell>
          <cell r="AC817">
            <v>36.750122070000003</v>
          </cell>
          <cell r="AD817">
            <v>36.68450928</v>
          </cell>
        </row>
        <row r="818">
          <cell r="L818" t="str">
            <v>الثدي_مامالي</v>
          </cell>
          <cell r="M818" t="str">
            <v>C1472</v>
          </cell>
          <cell r="AC818">
            <v>36.670898440000002</v>
          </cell>
          <cell r="AD818">
            <v>36.701477050000001</v>
          </cell>
        </row>
        <row r="819">
          <cell r="L819" t="str">
            <v>بيت عدين</v>
          </cell>
          <cell r="M819" t="str">
            <v>C1473</v>
          </cell>
          <cell r="AC819">
            <v>36.689880369999997</v>
          </cell>
          <cell r="AD819">
            <v>36.620910649999999</v>
          </cell>
        </row>
        <row r="820">
          <cell r="L820" t="str">
            <v>الضحاك التحتاني_كوليان</v>
          </cell>
          <cell r="M820" t="str">
            <v>C1474</v>
          </cell>
          <cell r="AC820">
            <v>36.731689449999998</v>
          </cell>
          <cell r="AD820">
            <v>36.647705080000001</v>
          </cell>
        </row>
        <row r="821">
          <cell r="L821" t="str">
            <v>الجبلية_طاغ أوبه سي</v>
          </cell>
          <cell r="M821" t="str">
            <v>C1475</v>
          </cell>
          <cell r="AC821">
            <v>36.775878910000003</v>
          </cell>
          <cell r="AD821">
            <v>36.657470699999998</v>
          </cell>
        </row>
        <row r="822">
          <cell r="L822" t="str">
            <v>جنجلة</v>
          </cell>
          <cell r="M822" t="str">
            <v>C1476</v>
          </cell>
          <cell r="AC822">
            <v>36.708129880000001</v>
          </cell>
          <cell r="AD822">
            <v>36.704895020000002</v>
          </cell>
        </row>
        <row r="823">
          <cell r="L823" t="str">
            <v>جلقمة</v>
          </cell>
          <cell r="M823" t="str">
            <v>C1477</v>
          </cell>
          <cell r="AC823">
            <v>36.724670410000002</v>
          </cell>
          <cell r="AD823">
            <v>36.67028809</v>
          </cell>
        </row>
        <row r="824">
          <cell r="L824" t="str">
            <v>الصوان الكبير</v>
          </cell>
          <cell r="M824" t="str">
            <v>C1478</v>
          </cell>
          <cell r="AC824">
            <v>36.698120119999999</v>
          </cell>
          <cell r="AD824">
            <v>36.71508789</v>
          </cell>
        </row>
        <row r="825">
          <cell r="L825" t="str">
            <v>ادة</v>
          </cell>
          <cell r="M825" t="str">
            <v>C1479</v>
          </cell>
          <cell r="AC825">
            <v>36.660278320000003</v>
          </cell>
          <cell r="AD825">
            <v>36.766723630000001</v>
          </cell>
        </row>
        <row r="826">
          <cell r="L826" t="str">
            <v>القلم_بندرك</v>
          </cell>
          <cell r="M826" t="str">
            <v>C1480</v>
          </cell>
          <cell r="AC826">
            <v>36.724121089999997</v>
          </cell>
          <cell r="AD826">
            <v>36.817871089999997</v>
          </cell>
        </row>
        <row r="827">
          <cell r="L827" t="str">
            <v>عطمان</v>
          </cell>
          <cell r="M827" t="str">
            <v>C1481</v>
          </cell>
          <cell r="AC827">
            <v>36.654724119999997</v>
          </cell>
          <cell r="AD827">
            <v>36.655883789999997</v>
          </cell>
        </row>
        <row r="828">
          <cell r="L828" t="str">
            <v>شنكل</v>
          </cell>
          <cell r="M828" t="str">
            <v>C1482</v>
          </cell>
          <cell r="AC828">
            <v>36.742309570000003</v>
          </cell>
          <cell r="AD828">
            <v>36.811706540000003</v>
          </cell>
        </row>
        <row r="829">
          <cell r="L829" t="str">
            <v>الطلة_زركانلي</v>
          </cell>
          <cell r="M829" t="str">
            <v>C1483</v>
          </cell>
          <cell r="AC829">
            <v>36.740905759999997</v>
          </cell>
          <cell r="AD829">
            <v>36.703125</v>
          </cell>
        </row>
        <row r="830">
          <cell r="L830" t="str">
            <v>راجو</v>
          </cell>
          <cell r="M830" t="str">
            <v>C1484</v>
          </cell>
          <cell r="AC830">
            <v>36.664489750000001</v>
          </cell>
          <cell r="AD830">
            <v>36.676879880000001</v>
          </cell>
        </row>
        <row r="831">
          <cell r="L831" t="str">
            <v>الحجيج_حجي كانلي</v>
          </cell>
          <cell r="M831" t="str">
            <v>C1485</v>
          </cell>
          <cell r="AC831">
            <v>36.651123050000002</v>
          </cell>
          <cell r="AD831">
            <v>36.643920899999998</v>
          </cell>
        </row>
        <row r="832">
          <cell r="L832" t="str">
            <v>الأمسية_دونبللي</v>
          </cell>
          <cell r="M832" t="str">
            <v>C1486</v>
          </cell>
          <cell r="AC832">
            <v>36.679870610000002</v>
          </cell>
          <cell r="AD832">
            <v>36.61029053</v>
          </cell>
        </row>
        <row r="833">
          <cell r="L833" t="str">
            <v>موسيه_أوبه سي</v>
          </cell>
          <cell r="M833" t="str">
            <v>C1487</v>
          </cell>
          <cell r="AC833">
            <v>36.678894040000003</v>
          </cell>
          <cell r="AD833">
            <v>36.649108890000001</v>
          </cell>
        </row>
        <row r="834">
          <cell r="L834" t="str">
            <v>ميدان أكبس</v>
          </cell>
          <cell r="M834" t="str">
            <v>C1488</v>
          </cell>
          <cell r="AC834">
            <v>36.678283690000001</v>
          </cell>
          <cell r="AD834">
            <v>36.821289059999998</v>
          </cell>
        </row>
        <row r="835">
          <cell r="L835" t="str">
            <v>هليل_هوليلو</v>
          </cell>
          <cell r="M835" t="str">
            <v>C1489</v>
          </cell>
          <cell r="AC835">
            <v>36.694274900000003</v>
          </cell>
          <cell r="AD835">
            <v>36.690124509999997</v>
          </cell>
        </row>
        <row r="836">
          <cell r="L836" t="str">
            <v>كوسان</v>
          </cell>
          <cell r="M836" t="str">
            <v>C1490</v>
          </cell>
          <cell r="AC836">
            <v>36.717529300000002</v>
          </cell>
          <cell r="AD836">
            <v>36.810729979999998</v>
          </cell>
        </row>
        <row r="837">
          <cell r="L837" t="str">
            <v>ماسيكان</v>
          </cell>
          <cell r="M837" t="str">
            <v>C1491</v>
          </cell>
          <cell r="AC837">
            <v>36.655883789999997</v>
          </cell>
          <cell r="AD837">
            <v>36.690673830000001</v>
          </cell>
        </row>
        <row r="838">
          <cell r="L838" t="str">
            <v>كوران عفرين</v>
          </cell>
          <cell r="M838" t="str">
            <v>C1492</v>
          </cell>
          <cell r="AC838">
            <v>36.703674319999998</v>
          </cell>
          <cell r="AD838">
            <v>36.679870610000002</v>
          </cell>
        </row>
        <row r="839">
          <cell r="L839" t="str">
            <v>جمان</v>
          </cell>
          <cell r="M839" t="str">
            <v>C1493</v>
          </cell>
          <cell r="AC839">
            <v>36.939697270000003</v>
          </cell>
          <cell r="AD839">
            <v>36.647094729999999</v>
          </cell>
        </row>
        <row r="840">
          <cell r="L840" t="str">
            <v>ديرصوان</v>
          </cell>
          <cell r="M840" t="str">
            <v>C1494</v>
          </cell>
          <cell r="AC840">
            <v>36.995117190000002</v>
          </cell>
          <cell r="AD840">
            <v>36.714721679999997</v>
          </cell>
        </row>
        <row r="841">
          <cell r="L841" t="str">
            <v>دامة_أيكي دام</v>
          </cell>
          <cell r="M841" t="str">
            <v>C1495</v>
          </cell>
          <cell r="AC841">
            <v>37.029479979999998</v>
          </cell>
          <cell r="AD841">
            <v>36.73071289</v>
          </cell>
        </row>
        <row r="842">
          <cell r="L842" t="str">
            <v>البستان الكبير</v>
          </cell>
          <cell r="M842" t="str">
            <v>C1496</v>
          </cell>
          <cell r="AC842">
            <v>36.923278809999999</v>
          </cell>
          <cell r="AD842">
            <v>36.658508300000001</v>
          </cell>
        </row>
        <row r="843">
          <cell r="L843" t="str">
            <v>شران</v>
          </cell>
          <cell r="M843" t="str">
            <v>C1497</v>
          </cell>
          <cell r="AC843">
            <v>36.941711429999998</v>
          </cell>
          <cell r="AD843">
            <v>36.621276860000002</v>
          </cell>
        </row>
        <row r="844">
          <cell r="L844" t="str">
            <v>تل الاسود</v>
          </cell>
          <cell r="M844" t="str">
            <v>C1498</v>
          </cell>
          <cell r="AC844">
            <v>36.895080569999998</v>
          </cell>
          <cell r="AD844">
            <v>36.5546875</v>
          </cell>
        </row>
        <row r="845">
          <cell r="L845" t="str">
            <v>زيتونة</v>
          </cell>
          <cell r="M845" t="str">
            <v>C1499</v>
          </cell>
          <cell r="AC845">
            <v>36.942687990000003</v>
          </cell>
          <cell r="AD845">
            <v>36.725708009999998</v>
          </cell>
        </row>
        <row r="846">
          <cell r="L846" t="str">
            <v>اليجي</v>
          </cell>
          <cell r="M846" t="str">
            <v>C1500</v>
          </cell>
          <cell r="AC846">
            <v>36.922729490000002</v>
          </cell>
          <cell r="AD846">
            <v>36.6796875</v>
          </cell>
        </row>
        <row r="847">
          <cell r="L847" t="str">
            <v>حلوبي صغير</v>
          </cell>
          <cell r="M847" t="str">
            <v>C1501</v>
          </cell>
          <cell r="AC847">
            <v>36.885314940000001</v>
          </cell>
          <cell r="AD847">
            <v>36.603698729999998</v>
          </cell>
        </row>
        <row r="848">
          <cell r="L848" t="str">
            <v>المحببة_ناز أوشاغي</v>
          </cell>
          <cell r="M848" t="str">
            <v>C1502</v>
          </cell>
          <cell r="AC848">
            <v>36.872070309999998</v>
          </cell>
          <cell r="AD848">
            <v>36.660522460000003</v>
          </cell>
        </row>
        <row r="849">
          <cell r="L849" t="str">
            <v>البياعة</v>
          </cell>
          <cell r="M849" t="str">
            <v>C1503</v>
          </cell>
          <cell r="AC849">
            <v>36.97290039</v>
          </cell>
          <cell r="AD849">
            <v>36.694702149999998</v>
          </cell>
        </row>
        <row r="850">
          <cell r="L850" t="str">
            <v>حلوبي كبير</v>
          </cell>
          <cell r="M850" t="str">
            <v>C1504</v>
          </cell>
          <cell r="AC850">
            <v>36.88049316</v>
          </cell>
          <cell r="AD850">
            <v>36.620300290000003</v>
          </cell>
        </row>
        <row r="851">
          <cell r="L851" t="str">
            <v>الميدان عفرين</v>
          </cell>
          <cell r="M851" t="str">
            <v>C1505</v>
          </cell>
          <cell r="AC851">
            <v>36.882080080000001</v>
          </cell>
          <cell r="AD851">
            <v>36.642272949999999</v>
          </cell>
        </row>
        <row r="852">
          <cell r="L852" t="str">
            <v>دوراقا</v>
          </cell>
          <cell r="M852" t="str">
            <v>C1506</v>
          </cell>
          <cell r="AC852">
            <v>36.910095220000002</v>
          </cell>
          <cell r="AD852">
            <v>36.706481930000002</v>
          </cell>
        </row>
        <row r="853">
          <cell r="L853" t="str">
            <v>بافليون</v>
          </cell>
          <cell r="M853" t="str">
            <v>C1507</v>
          </cell>
          <cell r="AC853">
            <v>36.981506349999997</v>
          </cell>
          <cell r="AD853">
            <v>36.611083979999997</v>
          </cell>
        </row>
        <row r="854">
          <cell r="L854" t="str">
            <v>السعر_سعرنجاك</v>
          </cell>
          <cell r="M854" t="str">
            <v>C1508</v>
          </cell>
          <cell r="AC854">
            <v>36.91131592</v>
          </cell>
          <cell r="AD854">
            <v>36.725891109999999</v>
          </cell>
        </row>
        <row r="855">
          <cell r="L855" t="str">
            <v>القارة</v>
          </cell>
          <cell r="M855" t="str">
            <v>C1509</v>
          </cell>
          <cell r="AC855">
            <v>36.901306150000003</v>
          </cell>
          <cell r="AD855">
            <v>36.674072270000003</v>
          </cell>
        </row>
        <row r="856">
          <cell r="L856" t="str">
            <v>العمرية عفرين</v>
          </cell>
          <cell r="M856" t="str">
            <v>C1510</v>
          </cell>
          <cell r="AC856">
            <v>36.956298830000001</v>
          </cell>
          <cell r="AD856">
            <v>36.658874509999997</v>
          </cell>
        </row>
        <row r="857">
          <cell r="L857" t="str">
            <v>العمود</v>
          </cell>
          <cell r="M857" t="str">
            <v>C1511</v>
          </cell>
          <cell r="AC857">
            <v>37.014892580000001</v>
          </cell>
          <cell r="AD857">
            <v>36.662719729999999</v>
          </cell>
        </row>
        <row r="858">
          <cell r="L858" t="str">
            <v>علي بازان</v>
          </cell>
          <cell r="M858" t="str">
            <v>C1512</v>
          </cell>
          <cell r="AC858">
            <v>36.919494630000003</v>
          </cell>
          <cell r="AD858">
            <v>36.65209961</v>
          </cell>
        </row>
        <row r="859">
          <cell r="L859" t="str">
            <v>الديب الكبير</v>
          </cell>
          <cell r="M859" t="str">
            <v>C1513</v>
          </cell>
          <cell r="AC859">
            <v>36.885681150000003</v>
          </cell>
          <cell r="AD859">
            <v>36.580688479999999</v>
          </cell>
        </row>
        <row r="860">
          <cell r="L860" t="str">
            <v>القسطل</v>
          </cell>
          <cell r="M860" t="str">
            <v>C1514</v>
          </cell>
          <cell r="AC860">
            <v>36.878112790000003</v>
          </cell>
          <cell r="AD860">
            <v>36.549072270000003</v>
          </cell>
        </row>
        <row r="861">
          <cell r="L861" t="str">
            <v>الضحى</v>
          </cell>
          <cell r="M861" t="str">
            <v>C1515</v>
          </cell>
          <cell r="AC861">
            <v>36.930725099999997</v>
          </cell>
          <cell r="AD861">
            <v>36.595886229999998</v>
          </cell>
        </row>
        <row r="862">
          <cell r="L862" t="str">
            <v>الديب الصغير</v>
          </cell>
          <cell r="M862" t="str">
            <v>C1516</v>
          </cell>
          <cell r="AC862">
            <v>36.883117679999998</v>
          </cell>
          <cell r="AD862">
            <v>36.5703125</v>
          </cell>
        </row>
        <row r="863">
          <cell r="L863" t="str">
            <v>السيم_العمرية</v>
          </cell>
          <cell r="M863" t="str">
            <v>C1517</v>
          </cell>
          <cell r="AC863">
            <v>36.928710940000002</v>
          </cell>
          <cell r="AD863">
            <v>36.73413086</v>
          </cell>
        </row>
        <row r="864">
          <cell r="L864" t="str">
            <v>كفر جنة</v>
          </cell>
          <cell r="M864" t="str">
            <v>C1518</v>
          </cell>
          <cell r="AC864">
            <v>36.949707029999999</v>
          </cell>
          <cell r="AD864">
            <v>36.58410645</v>
          </cell>
        </row>
        <row r="865">
          <cell r="L865" t="str">
            <v>قطيرة</v>
          </cell>
          <cell r="M865" t="str">
            <v>C1519</v>
          </cell>
          <cell r="AC865">
            <v>36.908691410000003</v>
          </cell>
          <cell r="AD865">
            <v>36.62591553</v>
          </cell>
        </row>
        <row r="866">
          <cell r="L866" t="str">
            <v>مشعلة</v>
          </cell>
          <cell r="M866" t="str">
            <v>C1520</v>
          </cell>
          <cell r="AC866">
            <v>36.929870610000002</v>
          </cell>
          <cell r="AD866">
            <v>36.578674319999998</v>
          </cell>
        </row>
        <row r="867">
          <cell r="L867" t="str">
            <v>قسطل جند</v>
          </cell>
          <cell r="M867" t="str">
            <v>C1521</v>
          </cell>
          <cell r="AC867">
            <v>37.017883300000001</v>
          </cell>
          <cell r="AD867">
            <v>36.632080080000001</v>
          </cell>
        </row>
        <row r="868">
          <cell r="L868" t="str">
            <v>كفرروم</v>
          </cell>
          <cell r="M868" t="str">
            <v>C1522</v>
          </cell>
          <cell r="AC868">
            <v>36.859313970000002</v>
          </cell>
          <cell r="AD868">
            <v>36.590271000000001</v>
          </cell>
        </row>
        <row r="869">
          <cell r="L869" t="str">
            <v>مرساوا</v>
          </cell>
          <cell r="M869" t="str">
            <v>C1523</v>
          </cell>
          <cell r="AC869">
            <v>36.953674319999998</v>
          </cell>
          <cell r="AD869">
            <v>36.763122559999999</v>
          </cell>
        </row>
        <row r="870">
          <cell r="L870" t="str">
            <v>قاطمة عفرين</v>
          </cell>
          <cell r="M870" t="str">
            <v>C1524</v>
          </cell>
          <cell r="AC870">
            <v>36.963073729999998</v>
          </cell>
          <cell r="AD870">
            <v>36.587280270000001</v>
          </cell>
        </row>
        <row r="871">
          <cell r="L871" t="str">
            <v>شيخ الحديد</v>
          </cell>
          <cell r="M871" t="str">
            <v>C1525</v>
          </cell>
          <cell r="AC871">
            <v>36.599304199999999</v>
          </cell>
          <cell r="AD871">
            <v>36.501708979999997</v>
          </cell>
        </row>
        <row r="872">
          <cell r="L872" t="str">
            <v>تل الثعالب_شيخ جقاللي</v>
          </cell>
          <cell r="M872" t="str">
            <v>C1526</v>
          </cell>
          <cell r="AC872">
            <v>36.61328125</v>
          </cell>
          <cell r="AD872">
            <v>36.557312009999997</v>
          </cell>
        </row>
        <row r="873">
          <cell r="L873" t="str">
            <v>خزفية_قرة متلق</v>
          </cell>
          <cell r="M873" t="str">
            <v>C1527</v>
          </cell>
          <cell r="AC873">
            <v>36.570678710000003</v>
          </cell>
          <cell r="AD873">
            <v>36.522888180000002</v>
          </cell>
        </row>
        <row r="874">
          <cell r="L874" t="str">
            <v>انقلة</v>
          </cell>
          <cell r="M874" t="str">
            <v>C1528</v>
          </cell>
          <cell r="AC874">
            <v>36.606689449999998</v>
          </cell>
          <cell r="AD874">
            <v>36.462280270000001</v>
          </cell>
        </row>
        <row r="875">
          <cell r="L875" t="str">
            <v>سنارة</v>
          </cell>
          <cell r="M875" t="str">
            <v>C1529</v>
          </cell>
          <cell r="AC875">
            <v>36.606689449999998</v>
          </cell>
          <cell r="AD875">
            <v>36.469116210000003</v>
          </cell>
        </row>
        <row r="876">
          <cell r="L876" t="str">
            <v>المزينة_أرندة</v>
          </cell>
          <cell r="M876" t="str">
            <v>C1530</v>
          </cell>
          <cell r="AC876">
            <v>36.62268066</v>
          </cell>
          <cell r="AD876">
            <v>36.530700680000002</v>
          </cell>
        </row>
        <row r="877">
          <cell r="L877" t="str">
            <v>درمش_درمشكانلي</v>
          </cell>
          <cell r="M877" t="str">
            <v>C1531</v>
          </cell>
          <cell r="AC877">
            <v>36.655700680000002</v>
          </cell>
          <cell r="AD877">
            <v>36.527893069999998</v>
          </cell>
        </row>
        <row r="878">
          <cell r="L878" t="str">
            <v>وادي الثعالب_جقال تحتاني</v>
          </cell>
          <cell r="M878" t="str">
            <v>C1532</v>
          </cell>
          <cell r="AC878">
            <v>36.602111819999998</v>
          </cell>
          <cell r="AD878">
            <v>36.554504399999999</v>
          </cell>
        </row>
        <row r="879">
          <cell r="L879" t="str">
            <v>مغار_مغار جق</v>
          </cell>
          <cell r="M879" t="str">
            <v>C1533</v>
          </cell>
          <cell r="AC879">
            <v>36.658691410000003</v>
          </cell>
          <cell r="AD879">
            <v>36.534484859999999</v>
          </cell>
        </row>
        <row r="880">
          <cell r="L880" t="str">
            <v>مستكان</v>
          </cell>
          <cell r="M880" t="str">
            <v>C1534</v>
          </cell>
          <cell r="AC880">
            <v>36.618286130000001</v>
          </cell>
          <cell r="AD880">
            <v>36.542297359999999</v>
          </cell>
        </row>
        <row r="881">
          <cell r="L881" t="str">
            <v>برماجة</v>
          </cell>
          <cell r="M881" t="str">
            <v>C1535</v>
          </cell>
          <cell r="AC881">
            <v>36.702087400000003</v>
          </cell>
          <cell r="AD881">
            <v>36.549499509999997</v>
          </cell>
        </row>
        <row r="882">
          <cell r="L882" t="str">
            <v>الصرة_كوباك</v>
          </cell>
          <cell r="M882" t="str">
            <v>C1536</v>
          </cell>
          <cell r="AC882">
            <v>36.755126949999998</v>
          </cell>
          <cell r="AD882">
            <v>36.629882809999998</v>
          </cell>
        </row>
        <row r="883">
          <cell r="L883" t="str">
            <v>عاشور</v>
          </cell>
          <cell r="M883" t="str">
            <v>C1537</v>
          </cell>
          <cell r="AC883">
            <v>36.675476070000002</v>
          </cell>
          <cell r="AD883">
            <v>36.52850342</v>
          </cell>
        </row>
        <row r="884">
          <cell r="L884" t="str">
            <v>حمو راجو</v>
          </cell>
          <cell r="M884" t="str">
            <v>C1538</v>
          </cell>
          <cell r="AC884">
            <v>36.679321289999997</v>
          </cell>
          <cell r="AD884">
            <v>36.540100099999997</v>
          </cell>
        </row>
        <row r="885">
          <cell r="L885" t="str">
            <v>الشوربة</v>
          </cell>
          <cell r="M885" t="str">
            <v>C1539</v>
          </cell>
          <cell r="AC885">
            <v>36.832092289999999</v>
          </cell>
          <cell r="AD885">
            <v>36.638122559999999</v>
          </cell>
        </row>
        <row r="886">
          <cell r="L886" t="str">
            <v>شيركان_شيركانلي</v>
          </cell>
          <cell r="M886" t="str">
            <v>C1540</v>
          </cell>
          <cell r="AC886">
            <v>36.711303710000003</v>
          </cell>
          <cell r="AD886">
            <v>36.531677250000001</v>
          </cell>
        </row>
        <row r="887">
          <cell r="L887" t="str">
            <v>حاج قاسم</v>
          </cell>
          <cell r="M887" t="str">
            <v>C1541</v>
          </cell>
          <cell r="AC887">
            <v>36.671508789999997</v>
          </cell>
          <cell r="AD887">
            <v>36.518676759999998</v>
          </cell>
        </row>
        <row r="888">
          <cell r="L888" t="str">
            <v>دار كبير</v>
          </cell>
          <cell r="M888" t="str">
            <v>C1542</v>
          </cell>
          <cell r="AC888">
            <v>36.765930179999998</v>
          </cell>
          <cell r="AD888">
            <v>36.543518069999998</v>
          </cell>
        </row>
        <row r="889">
          <cell r="L889" t="str">
            <v>الأميرية_ميركان</v>
          </cell>
          <cell r="M889" t="str">
            <v>C1543</v>
          </cell>
          <cell r="AC889">
            <v>36.715698240000002</v>
          </cell>
          <cell r="AD889">
            <v>36.53747559</v>
          </cell>
        </row>
        <row r="890">
          <cell r="L890" t="str">
            <v>الجمركية</v>
          </cell>
          <cell r="M890" t="str">
            <v>C1544</v>
          </cell>
          <cell r="AC890">
            <v>36.837707520000002</v>
          </cell>
          <cell r="AD890">
            <v>36.620483399999998</v>
          </cell>
        </row>
        <row r="891">
          <cell r="L891" t="str">
            <v>اليتيمة_أوكسوزلي</v>
          </cell>
          <cell r="M891" t="str">
            <v>C1545</v>
          </cell>
          <cell r="AC891">
            <v>36.731323240000002</v>
          </cell>
          <cell r="AD891">
            <v>36.627502440000001</v>
          </cell>
        </row>
        <row r="892">
          <cell r="L892" t="str">
            <v>المعصرة_معصرةجق</v>
          </cell>
          <cell r="M892" t="str">
            <v>C1546</v>
          </cell>
          <cell r="AC892">
            <v>36.665527339999997</v>
          </cell>
          <cell r="AD892">
            <v>36.548706060000001</v>
          </cell>
        </row>
        <row r="893">
          <cell r="L893" t="str">
            <v>أبرز</v>
          </cell>
          <cell r="M893" t="str">
            <v>C1547</v>
          </cell>
          <cell r="AC893">
            <v>36.76171875</v>
          </cell>
          <cell r="AD893">
            <v>36.626708979999997</v>
          </cell>
        </row>
        <row r="894">
          <cell r="L894" t="str">
            <v>أولاد العرب_عرب أوشاغي</v>
          </cell>
          <cell r="M894" t="str">
            <v>C1548</v>
          </cell>
          <cell r="AC894">
            <v>36.708923339999998</v>
          </cell>
          <cell r="AD894">
            <v>36.574707029999999</v>
          </cell>
        </row>
        <row r="895">
          <cell r="L895" t="str">
            <v>أنبار</v>
          </cell>
          <cell r="M895" t="str">
            <v>C1549</v>
          </cell>
          <cell r="AC895">
            <v>36.81408691</v>
          </cell>
          <cell r="AD895">
            <v>36.609924319999998</v>
          </cell>
        </row>
        <row r="896">
          <cell r="L896" t="str">
            <v>السمال</v>
          </cell>
          <cell r="M896" t="str">
            <v>C1550</v>
          </cell>
          <cell r="AC896">
            <v>36.819274900000003</v>
          </cell>
          <cell r="AD896">
            <v>36.630920410000002</v>
          </cell>
        </row>
        <row r="897">
          <cell r="L897" t="str">
            <v>الجزرونية</v>
          </cell>
          <cell r="M897" t="str">
            <v>C1551</v>
          </cell>
          <cell r="AC897">
            <v>36.783081060000001</v>
          </cell>
          <cell r="AD897">
            <v>36.551879880000001</v>
          </cell>
        </row>
        <row r="898">
          <cell r="L898" t="str">
            <v>المعبطلي</v>
          </cell>
          <cell r="M898" t="str">
            <v>C1552</v>
          </cell>
          <cell r="AC898">
            <v>36.736877440000001</v>
          </cell>
          <cell r="AD898">
            <v>36.563293459999997</v>
          </cell>
        </row>
        <row r="899">
          <cell r="L899" t="str">
            <v>المعزولة_روطانلي</v>
          </cell>
          <cell r="M899" t="str">
            <v>C1553</v>
          </cell>
          <cell r="AC899">
            <v>36.67852783</v>
          </cell>
          <cell r="AD899">
            <v>36.5020752</v>
          </cell>
        </row>
        <row r="900">
          <cell r="L900" t="str">
            <v>الشيخ الأقرع_كيلو</v>
          </cell>
          <cell r="M900" t="str">
            <v>C1554</v>
          </cell>
          <cell r="AC900">
            <v>36.741699220000001</v>
          </cell>
          <cell r="AD900">
            <v>36.614074709999997</v>
          </cell>
        </row>
        <row r="901">
          <cell r="L901" t="str">
            <v>ياخور_أيكي أخور</v>
          </cell>
          <cell r="M901" t="str">
            <v>C1555</v>
          </cell>
          <cell r="AC901">
            <v>36.70428467</v>
          </cell>
          <cell r="AD901">
            <v>36.51470947</v>
          </cell>
        </row>
        <row r="902">
          <cell r="L902" t="str">
            <v>سيجراز</v>
          </cell>
          <cell r="M902" t="str">
            <v>C1556</v>
          </cell>
          <cell r="AC902">
            <v>37.016906740000003</v>
          </cell>
          <cell r="AD902">
            <v>36.574096679999997</v>
          </cell>
        </row>
        <row r="903">
          <cell r="L903" t="str">
            <v>شمارخ</v>
          </cell>
          <cell r="M903" t="str">
            <v>C1557</v>
          </cell>
          <cell r="AC903">
            <v>37.12408447</v>
          </cell>
          <cell r="AD903">
            <v>36.643676759999998</v>
          </cell>
        </row>
        <row r="904">
          <cell r="L904" t="str">
            <v>طاطية</v>
          </cell>
          <cell r="M904" t="str">
            <v>C1558</v>
          </cell>
          <cell r="AC904">
            <v>37.115478520000003</v>
          </cell>
          <cell r="AD904">
            <v>36.621704100000002</v>
          </cell>
        </row>
        <row r="905">
          <cell r="L905" t="str">
            <v>تليل الشام</v>
          </cell>
          <cell r="M905" t="str">
            <v>C1559</v>
          </cell>
          <cell r="AC905">
            <v>37.104492190000002</v>
          </cell>
          <cell r="AD905">
            <v>36.651306150000003</v>
          </cell>
        </row>
        <row r="906">
          <cell r="L906" t="str">
            <v>الفيرزية</v>
          </cell>
          <cell r="M906" t="str">
            <v>C1560</v>
          </cell>
          <cell r="AC906">
            <v>37.145080569999998</v>
          </cell>
          <cell r="AD906">
            <v>36.596923830000001</v>
          </cell>
        </row>
        <row r="907">
          <cell r="L907" t="str">
            <v>السلامة</v>
          </cell>
          <cell r="M907" t="str">
            <v>C1561</v>
          </cell>
          <cell r="AC907">
            <v>37.076110839999998</v>
          </cell>
          <cell r="AD907">
            <v>36.619079589999998</v>
          </cell>
        </row>
        <row r="908">
          <cell r="L908" t="str">
            <v>جارز</v>
          </cell>
          <cell r="M908" t="str">
            <v>C1562</v>
          </cell>
          <cell r="AC908">
            <v>37.150695800000001</v>
          </cell>
          <cell r="AD908">
            <v>36.570922850000002</v>
          </cell>
        </row>
        <row r="909">
          <cell r="L909" t="str">
            <v>المالكية</v>
          </cell>
          <cell r="M909" t="str">
            <v>C1563</v>
          </cell>
          <cell r="AC909">
            <v>36.992309570000003</v>
          </cell>
          <cell r="AD909">
            <v>36.54388428</v>
          </cell>
        </row>
        <row r="910">
          <cell r="L910" t="str">
            <v>أعزاز</v>
          </cell>
          <cell r="M910" t="str">
            <v>C1564</v>
          </cell>
          <cell r="AC910">
            <v>37.043273929999998</v>
          </cell>
          <cell r="AD910">
            <v>36.584899900000003</v>
          </cell>
        </row>
        <row r="911">
          <cell r="L911" t="str">
            <v>الكروم</v>
          </cell>
          <cell r="M911" t="str">
            <v>C1565</v>
          </cell>
          <cell r="AC911">
            <v>37.047302250000001</v>
          </cell>
          <cell r="AD911">
            <v>36.653320309999998</v>
          </cell>
        </row>
        <row r="912">
          <cell r="L912" t="str">
            <v>شمارين</v>
          </cell>
          <cell r="M912" t="str">
            <v>C1566</v>
          </cell>
          <cell r="AC912">
            <v>37.129089360000002</v>
          </cell>
          <cell r="AD912">
            <v>36.661499020000001</v>
          </cell>
        </row>
        <row r="913">
          <cell r="L913" t="str">
            <v>كفر خاشر</v>
          </cell>
          <cell r="M913" t="str">
            <v>C1567</v>
          </cell>
          <cell r="AC913">
            <v>37.065124509999997</v>
          </cell>
          <cell r="AD913">
            <v>36.549072270000003</v>
          </cell>
        </row>
        <row r="914">
          <cell r="L914" t="str">
            <v>كفر كلبين</v>
          </cell>
          <cell r="M914" t="str">
            <v>C1568</v>
          </cell>
          <cell r="AC914">
            <v>37.08868408</v>
          </cell>
          <cell r="AD914">
            <v>36.555480959999997</v>
          </cell>
        </row>
        <row r="915">
          <cell r="L915" t="str">
            <v>منق</v>
          </cell>
          <cell r="M915" t="str">
            <v>C1569</v>
          </cell>
          <cell r="AC915">
            <v>37.048278809999999</v>
          </cell>
          <cell r="AD915">
            <v>36.5255127</v>
          </cell>
        </row>
        <row r="916">
          <cell r="L916" t="str">
            <v>مرعناز</v>
          </cell>
          <cell r="M916" t="str">
            <v>C1570</v>
          </cell>
          <cell r="AC916">
            <v>37.016113279999999</v>
          </cell>
          <cell r="AD916">
            <v>36.550292970000001</v>
          </cell>
        </row>
        <row r="917">
          <cell r="L917" t="str">
            <v>يحمول</v>
          </cell>
          <cell r="M917" t="str">
            <v>C1571</v>
          </cell>
          <cell r="AC917">
            <v>37.132080080000001</v>
          </cell>
          <cell r="AD917">
            <v>36.58227539</v>
          </cell>
        </row>
        <row r="918">
          <cell r="L918" t="str">
            <v>ندة</v>
          </cell>
          <cell r="M918" t="str">
            <v>C1572</v>
          </cell>
          <cell r="AC918">
            <v>37.087707520000002</v>
          </cell>
          <cell r="AD918">
            <v>36.58410645</v>
          </cell>
        </row>
        <row r="919">
          <cell r="L919" t="str">
            <v>نيارة</v>
          </cell>
          <cell r="M919" t="str">
            <v>C1573</v>
          </cell>
          <cell r="AC919">
            <v>37.110717770000001</v>
          </cell>
          <cell r="AD919">
            <v>36.608276369999999</v>
          </cell>
        </row>
        <row r="920">
          <cell r="L920" t="str">
            <v>معرين</v>
          </cell>
          <cell r="M920" t="str">
            <v>C1574</v>
          </cell>
          <cell r="AC920">
            <v>37.030700680000002</v>
          </cell>
          <cell r="AD920">
            <v>36.621887209999997</v>
          </cell>
        </row>
        <row r="921">
          <cell r="L921" t="str">
            <v>كلجبرين</v>
          </cell>
          <cell r="M921" t="str">
            <v>C1575</v>
          </cell>
          <cell r="AC921">
            <v>37.116088869999999</v>
          </cell>
          <cell r="AD921">
            <v>36.537292479999998</v>
          </cell>
        </row>
        <row r="922">
          <cell r="L922" t="str">
            <v>خلفتلي</v>
          </cell>
          <cell r="M922" t="str">
            <v>C1576</v>
          </cell>
          <cell r="AC922">
            <v>37.323730470000001</v>
          </cell>
          <cell r="AD922">
            <v>36.656921390000001</v>
          </cell>
        </row>
        <row r="923">
          <cell r="L923" t="str">
            <v>بحورته</v>
          </cell>
          <cell r="M923" t="str">
            <v>C1577</v>
          </cell>
          <cell r="AC923">
            <v>37.316101070000002</v>
          </cell>
          <cell r="AD923">
            <v>36.575500490000003</v>
          </cell>
        </row>
        <row r="924">
          <cell r="L924" t="str">
            <v>العزيزية</v>
          </cell>
          <cell r="M924" t="str">
            <v>C1578</v>
          </cell>
          <cell r="AC924">
            <v>37.313903809999999</v>
          </cell>
          <cell r="AD924">
            <v>36.530883789999997</v>
          </cell>
        </row>
        <row r="925">
          <cell r="L925" t="str">
            <v>زيادية</v>
          </cell>
          <cell r="M925" t="str">
            <v>C1579</v>
          </cell>
          <cell r="AC925">
            <v>37.364074709999997</v>
          </cell>
          <cell r="AD925">
            <v>36.556701660000002</v>
          </cell>
        </row>
        <row r="926">
          <cell r="L926" t="str">
            <v>البياضية_آق برهان</v>
          </cell>
          <cell r="M926" t="str">
            <v>C1580</v>
          </cell>
          <cell r="AC926">
            <v>37.384704589999998</v>
          </cell>
          <cell r="AD926">
            <v>36.49768066</v>
          </cell>
        </row>
        <row r="927">
          <cell r="L927" t="str">
            <v>أخترين</v>
          </cell>
          <cell r="M927" t="str">
            <v>C1581</v>
          </cell>
          <cell r="AC927">
            <v>37.335876470000002</v>
          </cell>
          <cell r="AD927">
            <v>36.509704589999998</v>
          </cell>
        </row>
        <row r="928">
          <cell r="L928" t="str">
            <v>باروزة</v>
          </cell>
          <cell r="M928" t="str">
            <v>C1582</v>
          </cell>
          <cell r="AC928">
            <v>37.348693849999997</v>
          </cell>
          <cell r="AD928">
            <v>36.479675290000003</v>
          </cell>
        </row>
        <row r="929">
          <cell r="L929" t="str">
            <v>بليخة</v>
          </cell>
          <cell r="M929" t="str">
            <v>C1583</v>
          </cell>
          <cell r="AC929">
            <v>37.42852783</v>
          </cell>
          <cell r="AD929">
            <v>36.521911619999997</v>
          </cell>
        </row>
        <row r="930">
          <cell r="L930" t="str">
            <v>عبلة</v>
          </cell>
          <cell r="M930" t="str">
            <v>C1584</v>
          </cell>
          <cell r="AC930">
            <v>37.355102539999997</v>
          </cell>
          <cell r="AD930">
            <v>36.433105470000001</v>
          </cell>
        </row>
        <row r="931">
          <cell r="L931" t="str">
            <v>الحردانة</v>
          </cell>
          <cell r="M931" t="str">
            <v>C1585</v>
          </cell>
          <cell r="AC931">
            <v>37.338073729999998</v>
          </cell>
          <cell r="AD931">
            <v>36.544921879999997</v>
          </cell>
        </row>
        <row r="932">
          <cell r="L932" t="str">
            <v>دوير الهوا</v>
          </cell>
          <cell r="M932" t="str">
            <v>C1586</v>
          </cell>
          <cell r="AC932">
            <v>37.365478520000003</v>
          </cell>
          <cell r="AD932">
            <v>36.448913570000002</v>
          </cell>
        </row>
        <row r="933">
          <cell r="L933" t="str">
            <v>عويلين</v>
          </cell>
          <cell r="M933" t="str">
            <v>C1587</v>
          </cell>
          <cell r="AC933">
            <v>37.399719240000003</v>
          </cell>
          <cell r="AD933">
            <v>36.557128910000003</v>
          </cell>
        </row>
        <row r="934">
          <cell r="L934" t="str">
            <v>صندرة</v>
          </cell>
          <cell r="M934" t="str">
            <v>C1588</v>
          </cell>
          <cell r="AC934">
            <v>37.331909179999997</v>
          </cell>
          <cell r="AD934">
            <v>36.595520020000002</v>
          </cell>
        </row>
        <row r="935">
          <cell r="L935" t="str">
            <v>طويس</v>
          </cell>
          <cell r="M935" t="str">
            <v>C1589</v>
          </cell>
          <cell r="AC935">
            <v>37.30310059</v>
          </cell>
          <cell r="AD935">
            <v>36.436279300000002</v>
          </cell>
        </row>
        <row r="936">
          <cell r="L936" t="str">
            <v>طعانة</v>
          </cell>
          <cell r="M936" t="str">
            <v>C1590</v>
          </cell>
          <cell r="AC936">
            <v>37.328308110000002</v>
          </cell>
          <cell r="AD936">
            <v>36.382080080000001</v>
          </cell>
        </row>
        <row r="937">
          <cell r="L937" t="str">
            <v>دوديان</v>
          </cell>
          <cell r="M937" t="str">
            <v>C1591</v>
          </cell>
          <cell r="AC937">
            <v>37.288513180000002</v>
          </cell>
          <cell r="AD937">
            <v>36.634094240000003</v>
          </cell>
        </row>
        <row r="938">
          <cell r="L938" t="str">
            <v>تل شعير اعزاز</v>
          </cell>
          <cell r="M938" t="str">
            <v>C1592</v>
          </cell>
          <cell r="AC938">
            <v>37.343688970000002</v>
          </cell>
          <cell r="AD938">
            <v>36.614685059999999</v>
          </cell>
        </row>
        <row r="939">
          <cell r="L939" t="str">
            <v>بغيدين</v>
          </cell>
          <cell r="M939" t="str">
            <v>C1593</v>
          </cell>
          <cell r="AC939">
            <v>37.300903320000003</v>
          </cell>
          <cell r="AD939">
            <v>36.655273440000002</v>
          </cell>
        </row>
        <row r="940">
          <cell r="L940" t="str">
            <v>تل عار شرقية</v>
          </cell>
          <cell r="M940" t="str">
            <v>C1594</v>
          </cell>
          <cell r="AC940">
            <v>37.404296879999997</v>
          </cell>
          <cell r="AD940">
            <v>36.580322270000003</v>
          </cell>
        </row>
        <row r="941">
          <cell r="L941" t="str">
            <v>تل عار غربية</v>
          </cell>
          <cell r="M941" t="str">
            <v>C1595</v>
          </cell>
          <cell r="AC941">
            <v>37.391296390000001</v>
          </cell>
          <cell r="AD941">
            <v>36.580078129999997</v>
          </cell>
        </row>
        <row r="942">
          <cell r="L942" t="str">
            <v>سموقة اعزاز</v>
          </cell>
          <cell r="M942" t="str">
            <v>C1596</v>
          </cell>
          <cell r="AC942">
            <v>37.246521000000001</v>
          </cell>
          <cell r="AD942">
            <v>36.434692380000001</v>
          </cell>
        </row>
        <row r="943">
          <cell r="L943" t="str">
            <v>دابق</v>
          </cell>
          <cell r="M943" t="str">
            <v>C1597</v>
          </cell>
          <cell r="AC943">
            <v>37.268127440000001</v>
          </cell>
          <cell r="AD943">
            <v>36.538696289999997</v>
          </cell>
        </row>
        <row r="944">
          <cell r="L944" t="str">
            <v>اكسار</v>
          </cell>
          <cell r="M944" t="str">
            <v>C1598</v>
          </cell>
          <cell r="AC944">
            <v>37.30950928</v>
          </cell>
          <cell r="AD944">
            <v>36.427917479999998</v>
          </cell>
        </row>
        <row r="945">
          <cell r="L945" t="str">
            <v>المسعودية</v>
          </cell>
          <cell r="M945" t="str">
            <v>C1599</v>
          </cell>
          <cell r="AC945">
            <v>37.34350586</v>
          </cell>
          <cell r="AD945">
            <v>36.494873050000002</v>
          </cell>
        </row>
        <row r="946">
          <cell r="L946" t="str">
            <v>جكة</v>
          </cell>
          <cell r="M946" t="str">
            <v>C1600</v>
          </cell>
          <cell r="AC946">
            <v>37.296508789999997</v>
          </cell>
          <cell r="AD946">
            <v>36.606872559999999</v>
          </cell>
        </row>
        <row r="947">
          <cell r="L947" t="str">
            <v>تل بطال شرقي</v>
          </cell>
          <cell r="M947" t="str">
            <v>C1601</v>
          </cell>
          <cell r="AC947">
            <v>37.436279300000002</v>
          </cell>
          <cell r="AD947">
            <v>36.501281740000003</v>
          </cell>
        </row>
        <row r="948">
          <cell r="L948" t="str">
            <v>طاط حمس</v>
          </cell>
          <cell r="M948" t="str">
            <v>C1602</v>
          </cell>
          <cell r="AC948">
            <v>37.376098630000001</v>
          </cell>
          <cell r="AD948">
            <v>36.618530270000001</v>
          </cell>
        </row>
        <row r="949">
          <cell r="L949" t="str">
            <v>غرور</v>
          </cell>
          <cell r="M949" t="str">
            <v>C1603</v>
          </cell>
          <cell r="AC949">
            <v>37.379882809999998</v>
          </cell>
          <cell r="AD949">
            <v>36.555725099999997</v>
          </cell>
        </row>
        <row r="950">
          <cell r="L950" t="str">
            <v>عين الاسود</v>
          </cell>
          <cell r="M950" t="str">
            <v>C1604</v>
          </cell>
          <cell r="AC950">
            <v>37.356506349999997</v>
          </cell>
          <cell r="AD950">
            <v>36.602294919999999</v>
          </cell>
        </row>
        <row r="951">
          <cell r="L951" t="str">
            <v>تركمان بارح</v>
          </cell>
          <cell r="M951" t="str">
            <v>C1605</v>
          </cell>
          <cell r="AC951">
            <v>37.321105959999997</v>
          </cell>
          <cell r="AD951">
            <v>36.541687009999997</v>
          </cell>
        </row>
        <row r="952">
          <cell r="L952" t="str">
            <v>تلتانة</v>
          </cell>
          <cell r="M952" t="str">
            <v>C1606</v>
          </cell>
          <cell r="AC952">
            <v>37.343688970000002</v>
          </cell>
          <cell r="AD952">
            <v>36.445678710000003</v>
          </cell>
        </row>
        <row r="953">
          <cell r="L953" t="str">
            <v>الغوز</v>
          </cell>
          <cell r="M953" t="str">
            <v>C1607</v>
          </cell>
          <cell r="AC953">
            <v>37.293518069999998</v>
          </cell>
          <cell r="AD953">
            <v>36.465881349999997</v>
          </cell>
        </row>
        <row r="954">
          <cell r="L954" t="str">
            <v>الغيلانية</v>
          </cell>
          <cell r="M954" t="str">
            <v>C1608</v>
          </cell>
          <cell r="AC954">
            <v>37.29711914</v>
          </cell>
          <cell r="AD954">
            <v>36.52069092</v>
          </cell>
        </row>
        <row r="955">
          <cell r="L955" t="str">
            <v>كعيبة</v>
          </cell>
          <cell r="M955" t="str">
            <v>C1609</v>
          </cell>
          <cell r="AC955">
            <v>37.416687009999997</v>
          </cell>
          <cell r="AD955">
            <v>36.541076660000002</v>
          </cell>
        </row>
        <row r="956">
          <cell r="L956" t="str">
            <v>كدريش</v>
          </cell>
          <cell r="M956" t="str">
            <v>C1610</v>
          </cell>
          <cell r="AC956">
            <v>37.344116210000003</v>
          </cell>
          <cell r="AD956">
            <v>36.583923339999998</v>
          </cell>
        </row>
        <row r="957">
          <cell r="L957" t="str">
            <v>قبتان</v>
          </cell>
          <cell r="M957" t="str">
            <v>C1611</v>
          </cell>
          <cell r="AC957">
            <v>37.363891600000002</v>
          </cell>
          <cell r="AD957">
            <v>36.526123050000002</v>
          </cell>
        </row>
        <row r="958">
          <cell r="L958" t="str">
            <v>قره مزرعة</v>
          </cell>
          <cell r="M958" t="str">
            <v>C1612</v>
          </cell>
          <cell r="AC958">
            <v>37.281311039999999</v>
          </cell>
          <cell r="AD958">
            <v>36.652282720000002</v>
          </cell>
        </row>
        <row r="959">
          <cell r="L959" t="str">
            <v>قزم_قصه جك</v>
          </cell>
          <cell r="M959" t="str">
            <v>C1613</v>
          </cell>
          <cell r="AC959">
            <v>37.349121089999997</v>
          </cell>
          <cell r="AD959">
            <v>36.634704589999998</v>
          </cell>
        </row>
        <row r="960">
          <cell r="L960" t="str">
            <v>غيطون</v>
          </cell>
          <cell r="M960" t="str">
            <v>C1614</v>
          </cell>
          <cell r="AC960">
            <v>37.3046875</v>
          </cell>
          <cell r="AD960">
            <v>36.48529053</v>
          </cell>
        </row>
        <row r="961">
          <cell r="L961" t="str">
            <v>واش</v>
          </cell>
          <cell r="M961" t="str">
            <v>C1615</v>
          </cell>
          <cell r="AC961">
            <v>37.371704100000002</v>
          </cell>
          <cell r="AD961">
            <v>36.484680179999998</v>
          </cell>
        </row>
        <row r="962">
          <cell r="L962" t="str">
            <v>قعر كلبين</v>
          </cell>
          <cell r="M962" t="str">
            <v>C1616</v>
          </cell>
          <cell r="AC962">
            <v>37.407104490000002</v>
          </cell>
          <cell r="AD962">
            <v>36.501892089999998</v>
          </cell>
        </row>
        <row r="963">
          <cell r="L963" t="str">
            <v>تل جبين</v>
          </cell>
          <cell r="M963" t="str">
            <v>C1617</v>
          </cell>
          <cell r="AC963">
            <v>37.142089839999997</v>
          </cell>
          <cell r="AD963">
            <v>36.355529789999999</v>
          </cell>
        </row>
        <row r="964">
          <cell r="L964" t="str">
            <v>تلعجار</v>
          </cell>
          <cell r="M964" t="str">
            <v>C1618</v>
          </cell>
          <cell r="AC964">
            <v>37.033508300000001</v>
          </cell>
          <cell r="AD964">
            <v>36.493286130000001</v>
          </cell>
        </row>
        <row r="965">
          <cell r="L965" t="str">
            <v>تنب</v>
          </cell>
          <cell r="M965" t="str">
            <v>C1619</v>
          </cell>
          <cell r="AC965">
            <v>37.003478999999999</v>
          </cell>
          <cell r="AD965">
            <v>36.496521000000001</v>
          </cell>
        </row>
        <row r="966">
          <cell r="L966" t="str">
            <v>دير جمال</v>
          </cell>
          <cell r="M966" t="str">
            <v>C1620</v>
          </cell>
          <cell r="AC966">
            <v>37.027893069999998</v>
          </cell>
          <cell r="AD966">
            <v>36.446716309999999</v>
          </cell>
        </row>
        <row r="967">
          <cell r="L967" t="str">
            <v>تل رفعت</v>
          </cell>
          <cell r="M967" t="str">
            <v>C1621</v>
          </cell>
          <cell r="AC967">
            <v>37.094116210000003</v>
          </cell>
          <cell r="AD967">
            <v>36.472717289999999</v>
          </cell>
        </row>
        <row r="968">
          <cell r="L968" t="str">
            <v>طاطمراش</v>
          </cell>
          <cell r="M968" t="str">
            <v>C1622</v>
          </cell>
          <cell r="AC968">
            <v>37.010314940000001</v>
          </cell>
          <cell r="AD968">
            <v>36.509277339999997</v>
          </cell>
        </row>
        <row r="969">
          <cell r="L969" t="str">
            <v>احرص</v>
          </cell>
          <cell r="M969" t="str">
            <v>C1623</v>
          </cell>
          <cell r="AC969">
            <v>37.145324709999997</v>
          </cell>
          <cell r="AD969">
            <v>36.400329589999998</v>
          </cell>
        </row>
        <row r="970">
          <cell r="L970" t="str">
            <v>الشيخ عيسى</v>
          </cell>
          <cell r="M970" t="str">
            <v>C1624</v>
          </cell>
          <cell r="AC970">
            <v>37.14569092</v>
          </cell>
          <cell r="AD970">
            <v>36.479125979999999</v>
          </cell>
        </row>
        <row r="971">
          <cell r="L971" t="str">
            <v>كشتعار</v>
          </cell>
          <cell r="M971" t="str">
            <v>C1625</v>
          </cell>
          <cell r="AC971">
            <v>37.015686039999999</v>
          </cell>
          <cell r="AD971">
            <v>36.487487790000003</v>
          </cell>
        </row>
        <row r="972">
          <cell r="L972" t="str">
            <v>كفرنايا</v>
          </cell>
          <cell r="M972" t="str">
            <v>C1626</v>
          </cell>
          <cell r="AC972">
            <v>37.073730470000001</v>
          </cell>
          <cell r="AD972">
            <v>36.421691899999999</v>
          </cell>
        </row>
        <row r="973">
          <cell r="L973" t="str">
            <v>مسقان</v>
          </cell>
          <cell r="M973" t="str">
            <v>C1627</v>
          </cell>
          <cell r="AC973">
            <v>37.113891600000002</v>
          </cell>
          <cell r="AD973">
            <v>36.397705080000001</v>
          </cell>
        </row>
        <row r="974">
          <cell r="L974" t="str">
            <v>كفر ناصح تل رفعت</v>
          </cell>
          <cell r="M974" t="str">
            <v>C1628</v>
          </cell>
          <cell r="AC974">
            <v>37.113708500000001</v>
          </cell>
          <cell r="AD974">
            <v>36.427490229999997</v>
          </cell>
        </row>
        <row r="975">
          <cell r="L975" t="str">
            <v>اسنبل</v>
          </cell>
          <cell r="M975" t="str">
            <v>C1629</v>
          </cell>
          <cell r="AC975">
            <v>37.246704100000002</v>
          </cell>
          <cell r="AD975">
            <v>36.483703609999999</v>
          </cell>
        </row>
        <row r="976">
          <cell r="L976" t="str">
            <v>الساعد_قولسروج</v>
          </cell>
          <cell r="M976" t="str">
            <v>C1630</v>
          </cell>
          <cell r="AC976">
            <v>37.26147461</v>
          </cell>
          <cell r="AD976">
            <v>36.417114259999998</v>
          </cell>
        </row>
        <row r="977">
          <cell r="L977" t="str">
            <v>حربل</v>
          </cell>
          <cell r="M977" t="str">
            <v>C1631</v>
          </cell>
          <cell r="AC977">
            <v>37.166870119999999</v>
          </cell>
          <cell r="AD977">
            <v>36.430725099999997</v>
          </cell>
        </row>
        <row r="978">
          <cell r="L978" t="str">
            <v>تلالين</v>
          </cell>
          <cell r="M978" t="str">
            <v>C1632</v>
          </cell>
          <cell r="AC978">
            <v>37.198730470000001</v>
          </cell>
          <cell r="AD978">
            <v>36.526123050000002</v>
          </cell>
        </row>
        <row r="979">
          <cell r="L979" t="str">
            <v>السيد علي</v>
          </cell>
          <cell r="M979" t="str">
            <v>C1633</v>
          </cell>
          <cell r="AC979">
            <v>37.230529789999999</v>
          </cell>
          <cell r="AD979">
            <v>36.439514160000002</v>
          </cell>
        </row>
        <row r="980">
          <cell r="L980" t="str">
            <v>الحسنية_حساجك</v>
          </cell>
          <cell r="M980" t="str">
            <v>C1634</v>
          </cell>
          <cell r="AC980">
            <v>37.245727539999997</v>
          </cell>
          <cell r="AD980">
            <v>36.395080569999998</v>
          </cell>
        </row>
        <row r="981">
          <cell r="L981" t="str">
            <v>تل مضيق</v>
          </cell>
          <cell r="M981" t="str">
            <v>C1635</v>
          </cell>
          <cell r="AC981">
            <v>37.290710449999999</v>
          </cell>
          <cell r="AD981">
            <v>36.416076660000002</v>
          </cell>
        </row>
        <row r="982">
          <cell r="L982" t="str">
            <v>حوار النهر</v>
          </cell>
          <cell r="M982" t="str">
            <v>C1636</v>
          </cell>
          <cell r="AC982">
            <v>37.248291020000003</v>
          </cell>
          <cell r="AD982">
            <v>36.503478999999999</v>
          </cell>
        </row>
        <row r="983">
          <cell r="L983" t="str">
            <v>الحصية</v>
          </cell>
          <cell r="M983" t="str">
            <v>C1637</v>
          </cell>
          <cell r="AC983">
            <v>37.236877440000001</v>
          </cell>
          <cell r="AD983">
            <v>36.416687009999997</v>
          </cell>
        </row>
        <row r="984">
          <cell r="L984" t="str">
            <v>تلقراح</v>
          </cell>
          <cell r="M984" t="str">
            <v>C1638</v>
          </cell>
          <cell r="AC984">
            <v>37.177307130000003</v>
          </cell>
          <cell r="AD984">
            <v>36.374877929999997</v>
          </cell>
        </row>
        <row r="985">
          <cell r="L985" t="str">
            <v>قرامل</v>
          </cell>
          <cell r="M985" t="str">
            <v>C1639</v>
          </cell>
          <cell r="AC985">
            <v>37.273071289999997</v>
          </cell>
          <cell r="AD985">
            <v>36.37890625</v>
          </cell>
        </row>
        <row r="986">
          <cell r="L986" t="str">
            <v>فافين</v>
          </cell>
          <cell r="M986" t="str">
            <v>C1640</v>
          </cell>
          <cell r="AC986">
            <v>37.245483399999998</v>
          </cell>
          <cell r="AD986">
            <v>36.34790039</v>
          </cell>
        </row>
        <row r="987">
          <cell r="L987" t="str">
            <v>معراتة أم حوش</v>
          </cell>
          <cell r="M987" t="str">
            <v>C1641</v>
          </cell>
          <cell r="AC987">
            <v>37.211914059999998</v>
          </cell>
          <cell r="AD987">
            <v>36.410888669999999</v>
          </cell>
        </row>
        <row r="988">
          <cell r="L988" t="str">
            <v>كفر الورد</v>
          </cell>
          <cell r="M988" t="str">
            <v>C1642</v>
          </cell>
          <cell r="AC988">
            <v>37.255310059999999</v>
          </cell>
          <cell r="AD988">
            <v>36.458129880000001</v>
          </cell>
        </row>
        <row r="989">
          <cell r="L989" t="str">
            <v>مارع</v>
          </cell>
          <cell r="M989" t="str">
            <v>C1643</v>
          </cell>
          <cell r="AC989">
            <v>37.19647217</v>
          </cell>
          <cell r="AD989">
            <v>36.482727050000001</v>
          </cell>
        </row>
        <row r="990">
          <cell r="L990" t="str">
            <v>وحشية</v>
          </cell>
          <cell r="M990" t="str">
            <v>C1644</v>
          </cell>
          <cell r="AC990">
            <v>37.217895509999998</v>
          </cell>
          <cell r="AD990">
            <v>36.378478999999999</v>
          </cell>
        </row>
        <row r="991">
          <cell r="L991" t="str">
            <v>زوق الكبير</v>
          </cell>
          <cell r="M991" t="str">
            <v>C1645</v>
          </cell>
          <cell r="AC991">
            <v>36.954101559999998</v>
          </cell>
          <cell r="AD991">
            <v>36.339721679999997</v>
          </cell>
        </row>
        <row r="992">
          <cell r="L992" t="str">
            <v>الزهراء</v>
          </cell>
          <cell r="M992" t="str">
            <v>C1646</v>
          </cell>
          <cell r="AC992">
            <v>37.012329100000002</v>
          </cell>
          <cell r="AD992">
            <v>36.359924319999998</v>
          </cell>
        </row>
        <row r="993">
          <cell r="L993" t="str">
            <v>حردتنين</v>
          </cell>
          <cell r="M993" t="str">
            <v>C1647</v>
          </cell>
          <cell r="AC993">
            <v>37.10247803</v>
          </cell>
          <cell r="AD993">
            <v>36.365722660000003</v>
          </cell>
        </row>
        <row r="994">
          <cell r="L994" t="str">
            <v>برج القاص</v>
          </cell>
          <cell r="M994" t="str">
            <v>C1648</v>
          </cell>
          <cell r="AC994">
            <v>36.940307619999999</v>
          </cell>
          <cell r="AD994">
            <v>36.366882320000002</v>
          </cell>
        </row>
        <row r="995">
          <cell r="L995" t="str">
            <v>بيانون</v>
          </cell>
          <cell r="M995" t="str">
            <v>C1649</v>
          </cell>
          <cell r="AC995">
            <v>37.049499509999997</v>
          </cell>
          <cell r="AD995">
            <v>36.341491699999999</v>
          </cell>
        </row>
        <row r="996">
          <cell r="L996" t="str">
            <v>باشمرة</v>
          </cell>
          <cell r="M996" t="str">
            <v>C1650</v>
          </cell>
          <cell r="AC996">
            <v>36.978698729999998</v>
          </cell>
          <cell r="AD996">
            <v>36.310119630000003</v>
          </cell>
        </row>
        <row r="997">
          <cell r="L997" t="str">
            <v>رتيان</v>
          </cell>
          <cell r="M997" t="str">
            <v>C1651</v>
          </cell>
          <cell r="AC997">
            <v>37.093688970000002</v>
          </cell>
          <cell r="AD997">
            <v>36.347290039999997</v>
          </cell>
        </row>
        <row r="998">
          <cell r="L998" t="str">
            <v>كفين</v>
          </cell>
          <cell r="M998" t="str">
            <v>C1652</v>
          </cell>
          <cell r="AC998">
            <v>37.045104979999998</v>
          </cell>
          <cell r="AD998">
            <v>36.413330080000001</v>
          </cell>
        </row>
        <row r="999">
          <cell r="L999" t="str">
            <v>معرسة الخان</v>
          </cell>
          <cell r="M999" t="str">
            <v>C1653</v>
          </cell>
          <cell r="AC999">
            <v>37.074707029999999</v>
          </cell>
          <cell r="AD999">
            <v>36.38049316</v>
          </cell>
        </row>
        <row r="1000">
          <cell r="L1000" t="str">
            <v>مياسة</v>
          </cell>
          <cell r="M1000" t="str">
            <v>C1654</v>
          </cell>
          <cell r="AC1000">
            <v>36.946105959999997</v>
          </cell>
          <cell r="AD1000">
            <v>36.397094729999999</v>
          </cell>
        </row>
        <row r="1001">
          <cell r="L1001" t="str">
            <v>نبل</v>
          </cell>
          <cell r="M1001" t="str">
            <v>C1655</v>
          </cell>
          <cell r="AC1001">
            <v>36.996521000000001</v>
          </cell>
          <cell r="AD1001">
            <v>36.375122070000003</v>
          </cell>
        </row>
        <row r="1002">
          <cell r="L1002" t="str">
            <v>ماير</v>
          </cell>
          <cell r="M1002" t="str">
            <v>C1656</v>
          </cell>
          <cell r="AC1002">
            <v>37.024475099999997</v>
          </cell>
          <cell r="AD1002">
            <v>36.38647461</v>
          </cell>
        </row>
        <row r="1003">
          <cell r="L1003" t="str">
            <v>اليعربية</v>
          </cell>
          <cell r="M1003" t="str">
            <v>C1657</v>
          </cell>
          <cell r="AC1003">
            <v>37.235473630000001</v>
          </cell>
          <cell r="AD1003">
            <v>36.646484379999997</v>
          </cell>
        </row>
        <row r="1004">
          <cell r="L1004" t="str">
            <v>الزيزفون_إيكدة</v>
          </cell>
          <cell r="M1004" t="str">
            <v>C1658</v>
          </cell>
          <cell r="AC1004">
            <v>37.180725099999997</v>
          </cell>
          <cell r="AD1004">
            <v>36.649902339999997</v>
          </cell>
        </row>
        <row r="1005">
          <cell r="L1005" t="str">
            <v>دويبق</v>
          </cell>
          <cell r="M1005" t="str">
            <v>C1659</v>
          </cell>
          <cell r="AC1005">
            <v>37.274108890000001</v>
          </cell>
          <cell r="AD1005">
            <v>36.564270020000002</v>
          </cell>
        </row>
        <row r="1006">
          <cell r="L1006" t="str">
            <v>شويرين</v>
          </cell>
          <cell r="M1006" t="str">
            <v>C1660</v>
          </cell>
          <cell r="AC1006">
            <v>37.292480470000001</v>
          </cell>
          <cell r="AD1006">
            <v>36.58227539</v>
          </cell>
        </row>
        <row r="1007">
          <cell r="L1007" t="str">
            <v>حوار كلس</v>
          </cell>
          <cell r="M1007" t="str">
            <v>C1661</v>
          </cell>
          <cell r="AC1007">
            <v>37.212890629999997</v>
          </cell>
          <cell r="AD1007">
            <v>36.658874509999997</v>
          </cell>
        </row>
        <row r="1008">
          <cell r="L1008" t="str">
            <v>الجديدة</v>
          </cell>
          <cell r="M1008" t="str">
            <v>C1662</v>
          </cell>
          <cell r="AC1008">
            <v>37.266113279999999</v>
          </cell>
          <cell r="AD1008">
            <v>36.61810303</v>
          </cell>
        </row>
        <row r="1009">
          <cell r="L1009" t="str">
            <v>براغيدة</v>
          </cell>
          <cell r="M1009" t="str">
            <v>C1663</v>
          </cell>
          <cell r="AC1009">
            <v>37.213073729999998</v>
          </cell>
          <cell r="AD1009">
            <v>36.633300779999999</v>
          </cell>
        </row>
        <row r="1010">
          <cell r="L1010" t="str">
            <v>صوران</v>
          </cell>
          <cell r="M1010" t="str">
            <v>C1664</v>
          </cell>
          <cell r="AC1010">
            <v>37.21392822</v>
          </cell>
          <cell r="AD1010">
            <v>36.566711429999998</v>
          </cell>
        </row>
        <row r="1011">
          <cell r="L1011" t="str">
            <v>راعل</v>
          </cell>
          <cell r="M1011" t="str">
            <v>C1665</v>
          </cell>
          <cell r="AC1011">
            <v>37.268676759999998</v>
          </cell>
          <cell r="AD1011">
            <v>36.589111330000001</v>
          </cell>
        </row>
        <row r="1012">
          <cell r="L1012" t="str">
            <v>الظاهرية أعزاز</v>
          </cell>
          <cell r="M1012" t="str">
            <v>C1666</v>
          </cell>
          <cell r="AC1012">
            <v>37.231079100000002</v>
          </cell>
          <cell r="AD1012">
            <v>36.580078129999997</v>
          </cell>
        </row>
        <row r="1013">
          <cell r="L1013" t="str">
            <v>احتيملات</v>
          </cell>
          <cell r="M1013" t="str">
            <v>C1667</v>
          </cell>
          <cell r="AC1013">
            <v>37.250305179999998</v>
          </cell>
          <cell r="AD1013">
            <v>36.563476559999998</v>
          </cell>
        </row>
        <row r="1014">
          <cell r="L1014" t="str">
            <v>العدية</v>
          </cell>
          <cell r="M1014" t="str">
            <v>C1668</v>
          </cell>
          <cell r="AC1014">
            <v>37.233520509999998</v>
          </cell>
          <cell r="AD1014">
            <v>36.591674810000001</v>
          </cell>
        </row>
        <row r="1015">
          <cell r="L1015" t="str">
            <v>البل</v>
          </cell>
          <cell r="M1015" t="str">
            <v>C1669</v>
          </cell>
          <cell r="AC1015">
            <v>37.189270020000002</v>
          </cell>
          <cell r="AD1015">
            <v>36.595092770000001</v>
          </cell>
        </row>
        <row r="1016">
          <cell r="L1016" t="str">
            <v>مريغل</v>
          </cell>
          <cell r="M1016" t="str">
            <v>C1670</v>
          </cell>
          <cell r="AC1016">
            <v>37.256103520000003</v>
          </cell>
          <cell r="AD1016">
            <v>36.602905270000001</v>
          </cell>
        </row>
        <row r="1017">
          <cell r="L1017" t="str">
            <v>كفر بارجة</v>
          </cell>
          <cell r="M1017" t="str">
            <v>C1671</v>
          </cell>
          <cell r="AC1017">
            <v>37.14727783</v>
          </cell>
          <cell r="AD1017">
            <v>36.628478999999999</v>
          </cell>
        </row>
        <row r="1018">
          <cell r="L1018" t="str">
            <v>كفرة</v>
          </cell>
          <cell r="M1018" t="str">
            <v>C1672</v>
          </cell>
          <cell r="AC1018">
            <v>37.16247559</v>
          </cell>
          <cell r="AD1018">
            <v>36.567687990000003</v>
          </cell>
        </row>
        <row r="1019">
          <cell r="L1019" t="str">
            <v>كفرشوش</v>
          </cell>
          <cell r="M1019" t="str">
            <v>C1673</v>
          </cell>
          <cell r="AC1019">
            <v>37.167114259999998</v>
          </cell>
          <cell r="AD1019">
            <v>36.634277339999997</v>
          </cell>
        </row>
        <row r="1020">
          <cell r="L1020" t="str">
            <v>رسم المشرفة</v>
          </cell>
          <cell r="M1020" t="str">
            <v>C1674</v>
          </cell>
          <cell r="AC1020">
            <v>38.061706540000003</v>
          </cell>
          <cell r="AD1020">
            <v>36.532470699999998</v>
          </cell>
        </row>
        <row r="1021">
          <cell r="L1021" t="str">
            <v>خربة الحصان</v>
          </cell>
          <cell r="M1021" t="str">
            <v>C1675</v>
          </cell>
          <cell r="AC1021">
            <v>38.074523929999998</v>
          </cell>
          <cell r="AD1021">
            <v>36.619323729999998</v>
          </cell>
        </row>
        <row r="1022">
          <cell r="L1022" t="str">
            <v>تل ياسطي</v>
          </cell>
          <cell r="M1022" t="str">
            <v>C1676</v>
          </cell>
          <cell r="AC1022">
            <v>37.998291020000003</v>
          </cell>
          <cell r="AD1022">
            <v>36.561279300000002</v>
          </cell>
        </row>
        <row r="1023">
          <cell r="L1023" t="str">
            <v>بطوشية منبج</v>
          </cell>
          <cell r="M1023" t="str">
            <v>C1677</v>
          </cell>
          <cell r="AC1023">
            <v>37.766479490000002</v>
          </cell>
          <cell r="AD1023">
            <v>36.49450684</v>
          </cell>
        </row>
        <row r="1024">
          <cell r="L1024" t="str">
            <v>عسلية</v>
          </cell>
          <cell r="M1024" t="str">
            <v>C1678</v>
          </cell>
          <cell r="AC1024">
            <v>37.802673339999998</v>
          </cell>
          <cell r="AD1024">
            <v>36.548095699999998</v>
          </cell>
        </row>
        <row r="1025">
          <cell r="L1025" t="str">
            <v>الفارات</v>
          </cell>
          <cell r="M1025" t="str">
            <v>C1679</v>
          </cell>
          <cell r="AC1025">
            <v>37.806091309999999</v>
          </cell>
          <cell r="AD1025">
            <v>36.574279789999999</v>
          </cell>
        </row>
        <row r="1026">
          <cell r="L1026" t="str">
            <v>خربة الشياب</v>
          </cell>
          <cell r="M1026" t="str">
            <v>C1680</v>
          </cell>
          <cell r="AC1026">
            <v>37.787292479999998</v>
          </cell>
          <cell r="AD1026">
            <v>36.522888180000002</v>
          </cell>
        </row>
        <row r="1027">
          <cell r="L1027" t="str">
            <v>أم جلود</v>
          </cell>
          <cell r="M1027" t="str">
            <v>C1681</v>
          </cell>
          <cell r="AC1027">
            <v>37.789672850000002</v>
          </cell>
          <cell r="AD1027">
            <v>36.619873050000002</v>
          </cell>
        </row>
        <row r="1028">
          <cell r="L1028" t="str">
            <v>عوسجلي صغير</v>
          </cell>
          <cell r="M1028" t="str">
            <v>C1682</v>
          </cell>
          <cell r="AC1028">
            <v>37.763122559999999</v>
          </cell>
          <cell r="AD1028">
            <v>36.465881349999997</v>
          </cell>
        </row>
        <row r="1029">
          <cell r="L1029" t="str">
            <v>عرب حسن كبير</v>
          </cell>
          <cell r="M1029" t="str">
            <v>C1683</v>
          </cell>
          <cell r="AC1029">
            <v>37.848083500000001</v>
          </cell>
          <cell r="AD1029">
            <v>36.649719240000003</v>
          </cell>
        </row>
        <row r="1030">
          <cell r="L1030" t="str">
            <v>جب القادر</v>
          </cell>
          <cell r="M1030" t="str">
            <v>C1684</v>
          </cell>
          <cell r="AC1030">
            <v>38.180297850000002</v>
          </cell>
          <cell r="AD1030">
            <v>36.551330569999998</v>
          </cell>
        </row>
        <row r="1031">
          <cell r="L1031" t="str">
            <v>أم جلال</v>
          </cell>
          <cell r="M1031" t="str">
            <v>C1685</v>
          </cell>
          <cell r="AC1031">
            <v>38.207519529999999</v>
          </cell>
          <cell r="AD1031">
            <v>36.538696289999997</v>
          </cell>
        </row>
        <row r="1032">
          <cell r="L1032" t="str">
            <v>طوق الخليل</v>
          </cell>
          <cell r="M1032" t="str">
            <v>C1686</v>
          </cell>
          <cell r="AC1032">
            <v>37.864929199999999</v>
          </cell>
          <cell r="AD1032">
            <v>36.436706540000003</v>
          </cell>
        </row>
        <row r="1033">
          <cell r="L1033" t="str">
            <v>عوسجلي كبير</v>
          </cell>
          <cell r="M1033" t="str">
            <v>C1687</v>
          </cell>
          <cell r="AC1033">
            <v>37.779479979999998</v>
          </cell>
          <cell r="AD1033">
            <v>36.464111330000001</v>
          </cell>
        </row>
        <row r="1034">
          <cell r="L1034" t="str">
            <v>دندنية</v>
          </cell>
          <cell r="M1034" t="str">
            <v>C1688</v>
          </cell>
          <cell r="AC1034">
            <v>37.762695309999998</v>
          </cell>
          <cell r="AD1034">
            <v>36.576904300000002</v>
          </cell>
        </row>
        <row r="1035">
          <cell r="L1035" t="str">
            <v>تل رفيع</v>
          </cell>
          <cell r="M1035" t="str">
            <v>C1689</v>
          </cell>
          <cell r="AC1035">
            <v>37.995300290000003</v>
          </cell>
          <cell r="AD1035">
            <v>36.580078129999997</v>
          </cell>
        </row>
        <row r="1036">
          <cell r="L1036" t="str">
            <v>جب مخزوم</v>
          </cell>
          <cell r="M1036" t="str">
            <v>C1690</v>
          </cell>
          <cell r="AC1036">
            <v>37.745483399999998</v>
          </cell>
          <cell r="AD1036">
            <v>36.432495119999999</v>
          </cell>
        </row>
        <row r="1037">
          <cell r="L1037" t="str">
            <v>طوال</v>
          </cell>
          <cell r="M1037" t="str">
            <v>C1691</v>
          </cell>
          <cell r="AC1037">
            <v>38.108886720000001</v>
          </cell>
          <cell r="AD1037">
            <v>36.60430908</v>
          </cell>
        </row>
        <row r="1038">
          <cell r="L1038" t="str">
            <v>البيرة منبج</v>
          </cell>
          <cell r="M1038" t="str">
            <v>C1692</v>
          </cell>
          <cell r="AC1038">
            <v>37.852905270000001</v>
          </cell>
          <cell r="AD1038">
            <v>36.3848877</v>
          </cell>
        </row>
        <row r="1039">
          <cell r="L1039" t="str">
            <v>عامودية</v>
          </cell>
          <cell r="M1039" t="str">
            <v>C1693</v>
          </cell>
          <cell r="AC1039">
            <v>37.790527339999997</v>
          </cell>
          <cell r="AD1039">
            <v>36.32971191</v>
          </cell>
        </row>
        <row r="1040">
          <cell r="L1040" t="str">
            <v>تل أبو جدحة_طيارة</v>
          </cell>
          <cell r="M1040" t="str">
            <v>C1694</v>
          </cell>
          <cell r="AC1040">
            <v>37.8848877</v>
          </cell>
          <cell r="AD1040">
            <v>36.273315429999997</v>
          </cell>
        </row>
        <row r="1041">
          <cell r="L1041" t="str">
            <v>جب الحمام سلطان</v>
          </cell>
          <cell r="M1041" t="str">
            <v>C1695</v>
          </cell>
          <cell r="AC1041">
            <v>37.776123050000002</v>
          </cell>
          <cell r="AD1041">
            <v>36.363098149999999</v>
          </cell>
        </row>
        <row r="1042">
          <cell r="L1042" t="str">
            <v>خشفة ام عدسة</v>
          </cell>
          <cell r="M1042" t="str">
            <v>C1696</v>
          </cell>
          <cell r="AC1042">
            <v>37.929077149999998</v>
          </cell>
          <cell r="AD1042">
            <v>36.455688479999999</v>
          </cell>
        </row>
        <row r="1043">
          <cell r="L1043" t="str">
            <v>جب الثور_عكرش</v>
          </cell>
          <cell r="M1043" t="str">
            <v>C1697</v>
          </cell>
          <cell r="AC1043">
            <v>37.880676270000002</v>
          </cell>
          <cell r="AD1043">
            <v>36.467895509999998</v>
          </cell>
        </row>
        <row r="1044">
          <cell r="L1044" t="str">
            <v>أم خرزة منبج</v>
          </cell>
          <cell r="M1044" t="str">
            <v>C1698</v>
          </cell>
          <cell r="AC1044">
            <v>37.787719729999999</v>
          </cell>
          <cell r="AD1044">
            <v>36.416870119999999</v>
          </cell>
        </row>
        <row r="1045">
          <cell r="L1045" t="str">
            <v>عنزاوية منبج</v>
          </cell>
          <cell r="M1045" t="str">
            <v>C1699</v>
          </cell>
          <cell r="AC1045">
            <v>38.184082029999999</v>
          </cell>
          <cell r="AD1045">
            <v>36.58868408</v>
          </cell>
        </row>
        <row r="1046">
          <cell r="L1046" t="str">
            <v>أم السطح</v>
          </cell>
          <cell r="M1046" t="str">
            <v>C1700</v>
          </cell>
          <cell r="AC1046">
            <v>37.881530759999997</v>
          </cell>
          <cell r="AD1046">
            <v>36.502685550000002</v>
          </cell>
        </row>
        <row r="1047">
          <cell r="L1047" t="str">
            <v>جب ابيض</v>
          </cell>
          <cell r="M1047" t="str">
            <v>C1701</v>
          </cell>
          <cell r="AC1047">
            <v>38.223083500000001</v>
          </cell>
          <cell r="AD1047">
            <v>36.560729979999998</v>
          </cell>
        </row>
        <row r="1048">
          <cell r="L1048" t="str">
            <v>جاموسية</v>
          </cell>
          <cell r="M1048" t="str">
            <v>C1702</v>
          </cell>
          <cell r="AC1048">
            <v>37.779479979999998</v>
          </cell>
          <cell r="AD1048">
            <v>36.5703125</v>
          </cell>
        </row>
        <row r="1049">
          <cell r="L1049" t="str">
            <v>جب الخفي_منبج</v>
          </cell>
          <cell r="M1049" t="str">
            <v>C1703</v>
          </cell>
          <cell r="AC1049">
            <v>37.776916499999999</v>
          </cell>
          <cell r="AD1049">
            <v>36.400085449999999</v>
          </cell>
        </row>
        <row r="1050">
          <cell r="L1050" t="str">
            <v>رفيعة</v>
          </cell>
          <cell r="M1050" t="str">
            <v>C1704</v>
          </cell>
          <cell r="AC1050">
            <v>38.038085940000002</v>
          </cell>
          <cell r="AD1050">
            <v>36.629516600000002</v>
          </cell>
        </row>
        <row r="1051">
          <cell r="L1051" t="str">
            <v>تليلة منبج</v>
          </cell>
          <cell r="M1051" t="str">
            <v>C1705</v>
          </cell>
          <cell r="AC1051">
            <v>37.825073240000002</v>
          </cell>
          <cell r="AD1051">
            <v>36.296691899999999</v>
          </cell>
        </row>
        <row r="1052">
          <cell r="L1052" t="str">
            <v>جب الكلب كبير</v>
          </cell>
          <cell r="M1052" t="str">
            <v>C1706</v>
          </cell>
          <cell r="AC1052">
            <v>37.940917970000001</v>
          </cell>
          <cell r="AD1052">
            <v>36.470275880000003</v>
          </cell>
        </row>
        <row r="1053">
          <cell r="L1053" t="str">
            <v>بوير</v>
          </cell>
          <cell r="M1053" t="str">
            <v>C1707</v>
          </cell>
          <cell r="AC1053">
            <v>37.876281740000003</v>
          </cell>
          <cell r="AD1053">
            <v>36.60571289</v>
          </cell>
        </row>
        <row r="1054">
          <cell r="L1054" t="str">
            <v>خربة ماصي</v>
          </cell>
          <cell r="M1054" t="str">
            <v>C1708</v>
          </cell>
          <cell r="AC1054">
            <v>37.988708500000001</v>
          </cell>
          <cell r="AD1054">
            <v>36.60913086</v>
          </cell>
        </row>
        <row r="1055">
          <cell r="L1055" t="str">
            <v>خربة نفخ</v>
          </cell>
          <cell r="M1055" t="str">
            <v>C1709</v>
          </cell>
          <cell r="AC1055">
            <v>37.832702640000001</v>
          </cell>
          <cell r="AD1055">
            <v>36.594299319999998</v>
          </cell>
        </row>
        <row r="1056">
          <cell r="L1056" t="str">
            <v>عمرية</v>
          </cell>
          <cell r="M1056" t="str">
            <v>C1710</v>
          </cell>
          <cell r="AC1056">
            <v>38.025085449999999</v>
          </cell>
          <cell r="AD1056">
            <v>36.53631592</v>
          </cell>
        </row>
        <row r="1057">
          <cell r="L1057" t="str">
            <v>تل اخضر</v>
          </cell>
          <cell r="M1057" t="str">
            <v>C1711</v>
          </cell>
          <cell r="AC1057">
            <v>37.850891109999999</v>
          </cell>
          <cell r="AD1057">
            <v>36.564880369999997</v>
          </cell>
        </row>
        <row r="1058">
          <cell r="L1058" t="str">
            <v>الحمدونية</v>
          </cell>
          <cell r="M1058" t="str">
            <v>C1712</v>
          </cell>
          <cell r="AC1058">
            <v>37.96368408</v>
          </cell>
          <cell r="AD1058">
            <v>36.490478520000003</v>
          </cell>
        </row>
        <row r="1059">
          <cell r="L1059" t="str">
            <v>أبو جرين منبج</v>
          </cell>
          <cell r="M1059" t="str">
            <v>C1713</v>
          </cell>
          <cell r="AC1059">
            <v>37.809875490000003</v>
          </cell>
          <cell r="AD1059">
            <v>36.273925779999999</v>
          </cell>
        </row>
        <row r="1060">
          <cell r="L1060" t="str">
            <v>بئر خللو</v>
          </cell>
          <cell r="M1060" t="str">
            <v>C1714</v>
          </cell>
          <cell r="AC1060">
            <v>38.177673339999998</v>
          </cell>
          <cell r="AD1060">
            <v>36.572509770000003</v>
          </cell>
        </row>
        <row r="1061">
          <cell r="L1061" t="str">
            <v>سعن الغزال_بوز كيج</v>
          </cell>
          <cell r="M1061" t="str">
            <v>C1715</v>
          </cell>
          <cell r="AC1061">
            <v>37.906921390000001</v>
          </cell>
          <cell r="AD1061">
            <v>36.610717770000001</v>
          </cell>
        </row>
        <row r="1062">
          <cell r="L1062" t="str">
            <v>خرفان</v>
          </cell>
          <cell r="M1062" t="str">
            <v>C1716</v>
          </cell>
          <cell r="AC1062">
            <v>38.154296879999997</v>
          </cell>
          <cell r="AD1062">
            <v>36.595275880000003</v>
          </cell>
        </row>
        <row r="1063">
          <cell r="L1063" t="str">
            <v>دادات</v>
          </cell>
          <cell r="M1063" t="str">
            <v>C1717</v>
          </cell>
          <cell r="AC1063">
            <v>37.93591309</v>
          </cell>
          <cell r="AD1063">
            <v>36.633483890000001</v>
          </cell>
        </row>
        <row r="1064">
          <cell r="L1064" t="str">
            <v>زونقل</v>
          </cell>
          <cell r="M1064" t="str">
            <v>C1719</v>
          </cell>
          <cell r="AC1064">
            <v>37.833923339999998</v>
          </cell>
          <cell r="AD1064">
            <v>36.608703609999999</v>
          </cell>
        </row>
        <row r="1065">
          <cell r="L1065" t="str">
            <v>سعيدية</v>
          </cell>
          <cell r="M1065" t="str">
            <v>C1720</v>
          </cell>
          <cell r="AC1065">
            <v>37.809082029999999</v>
          </cell>
          <cell r="AD1065">
            <v>36.516479490000002</v>
          </cell>
        </row>
        <row r="1066">
          <cell r="L1066" t="str">
            <v>سلطانية</v>
          </cell>
          <cell r="M1066" t="str">
            <v>C1721</v>
          </cell>
          <cell r="AC1066">
            <v>38.020080569999998</v>
          </cell>
          <cell r="AD1066">
            <v>36.510681150000003</v>
          </cell>
        </row>
        <row r="1067">
          <cell r="L1067" t="str">
            <v>جب العروس</v>
          </cell>
          <cell r="M1067" t="str">
            <v>C1722</v>
          </cell>
          <cell r="AC1067">
            <v>37.830688479999999</v>
          </cell>
          <cell r="AD1067">
            <v>36.559875490000003</v>
          </cell>
        </row>
        <row r="1068">
          <cell r="L1068" t="str">
            <v>المحسنة_باك ويران</v>
          </cell>
          <cell r="M1068" t="str">
            <v>C1723</v>
          </cell>
          <cell r="AC1068">
            <v>37.7755127</v>
          </cell>
          <cell r="AD1068">
            <v>36.550476070000002</v>
          </cell>
        </row>
        <row r="1069">
          <cell r="L1069" t="str">
            <v>حمام صغير</v>
          </cell>
          <cell r="M1069" t="str">
            <v>C1724</v>
          </cell>
          <cell r="AC1069">
            <v>38.132690429999997</v>
          </cell>
          <cell r="AD1069">
            <v>36.646911619999997</v>
          </cell>
        </row>
        <row r="1070">
          <cell r="L1070" t="str">
            <v>حيمر جيس</v>
          </cell>
          <cell r="M1070" t="str">
            <v>C1725</v>
          </cell>
          <cell r="AC1070">
            <v>37.877502440000001</v>
          </cell>
          <cell r="AD1070">
            <v>36.34008789</v>
          </cell>
        </row>
        <row r="1071">
          <cell r="L1071" t="str">
            <v>أم عدسة قرب منبج</v>
          </cell>
          <cell r="M1071" t="str">
            <v>C1726</v>
          </cell>
          <cell r="AC1071">
            <v>37.945129399999999</v>
          </cell>
          <cell r="AD1071">
            <v>36.447082520000002</v>
          </cell>
        </row>
        <row r="1072">
          <cell r="L1072" t="str">
            <v>الحمران</v>
          </cell>
          <cell r="M1072" t="str">
            <v>C1727</v>
          </cell>
          <cell r="AC1072">
            <v>37.768310550000002</v>
          </cell>
          <cell r="AD1072">
            <v>36.618530270000001</v>
          </cell>
        </row>
        <row r="1073">
          <cell r="L1073" t="str">
            <v>حليسية</v>
          </cell>
          <cell r="M1073" t="str">
            <v>C1728</v>
          </cell>
          <cell r="AC1073">
            <v>37.793518069999998</v>
          </cell>
          <cell r="AD1073">
            <v>36.347473149999999</v>
          </cell>
        </row>
        <row r="1074">
          <cell r="L1074" t="str">
            <v>عين النخيل</v>
          </cell>
          <cell r="M1074" t="str">
            <v>C1729</v>
          </cell>
          <cell r="AC1074">
            <v>37.98828125</v>
          </cell>
          <cell r="AD1074">
            <v>36.566284179999997</v>
          </cell>
        </row>
        <row r="1075">
          <cell r="L1075" t="str">
            <v>أم عدسة الفارات</v>
          </cell>
          <cell r="M1075" t="str">
            <v>C1730</v>
          </cell>
          <cell r="AC1075">
            <v>37.794677729999997</v>
          </cell>
          <cell r="AD1075">
            <v>36.601074220000001</v>
          </cell>
        </row>
        <row r="1076">
          <cell r="L1076" t="str">
            <v>حية كبيرة</v>
          </cell>
          <cell r="M1076" t="str">
            <v>C1731</v>
          </cell>
          <cell r="AC1076">
            <v>38.1348877</v>
          </cell>
          <cell r="AD1076">
            <v>36.566711429999998</v>
          </cell>
        </row>
        <row r="1077">
          <cell r="L1077" t="str">
            <v>أربعة صغيرة</v>
          </cell>
          <cell r="M1077" t="str">
            <v>C1732</v>
          </cell>
          <cell r="AC1077">
            <v>37.920104979999998</v>
          </cell>
          <cell r="AD1077">
            <v>36.332519529999999</v>
          </cell>
        </row>
        <row r="1078">
          <cell r="L1078" t="str">
            <v>خاروفية صغيرة</v>
          </cell>
          <cell r="M1078" t="str">
            <v>C1733</v>
          </cell>
          <cell r="AC1078">
            <v>37.868530270000001</v>
          </cell>
          <cell r="AD1078">
            <v>36.417480470000001</v>
          </cell>
        </row>
        <row r="1079">
          <cell r="L1079" t="str">
            <v>أم ميال جفتلك</v>
          </cell>
          <cell r="M1079" t="str">
            <v>C1734</v>
          </cell>
          <cell r="AC1079">
            <v>37.833312990000003</v>
          </cell>
          <cell r="AD1079">
            <v>36.464294430000002</v>
          </cell>
        </row>
        <row r="1080">
          <cell r="L1080" t="str">
            <v>صغيرة</v>
          </cell>
          <cell r="M1080" t="str">
            <v>C1735</v>
          </cell>
          <cell r="AC1080">
            <v>37.840698240000002</v>
          </cell>
          <cell r="AD1080">
            <v>36.524108890000001</v>
          </cell>
        </row>
        <row r="1081">
          <cell r="L1081" t="str">
            <v>أم ميال ميري</v>
          </cell>
          <cell r="M1081" t="str">
            <v>C1736</v>
          </cell>
          <cell r="AC1081">
            <v>37.81091309</v>
          </cell>
          <cell r="AD1081">
            <v>36.323486330000001</v>
          </cell>
        </row>
        <row r="1082">
          <cell r="L1082" t="str">
            <v>صيادة</v>
          </cell>
          <cell r="M1082" t="str">
            <v>C1737</v>
          </cell>
          <cell r="AC1082">
            <v>37.75091553</v>
          </cell>
          <cell r="AD1082">
            <v>36.554870610000002</v>
          </cell>
        </row>
        <row r="1083">
          <cell r="L1083" t="str">
            <v>المنكوبة</v>
          </cell>
          <cell r="M1083" t="str">
            <v>C1738</v>
          </cell>
          <cell r="AC1083">
            <v>37.96850586</v>
          </cell>
          <cell r="AD1083">
            <v>36.54571533</v>
          </cell>
        </row>
        <row r="1084">
          <cell r="L1084" t="str">
            <v>رسم الأخضر</v>
          </cell>
          <cell r="M1084" t="str">
            <v>C1739</v>
          </cell>
          <cell r="AC1084">
            <v>38.010070800000001</v>
          </cell>
          <cell r="AD1084">
            <v>36.48669434</v>
          </cell>
        </row>
        <row r="1085">
          <cell r="L1085" t="str">
            <v>ابو منديل</v>
          </cell>
          <cell r="M1085" t="str">
            <v>C1740</v>
          </cell>
          <cell r="AC1085">
            <v>37.8125</v>
          </cell>
          <cell r="AD1085">
            <v>36.410095220000002</v>
          </cell>
        </row>
        <row r="1086">
          <cell r="L1086" t="str">
            <v>جوتة</v>
          </cell>
          <cell r="M1086" t="str">
            <v>C1741</v>
          </cell>
          <cell r="AC1086">
            <v>38.143493650000003</v>
          </cell>
          <cell r="AD1086">
            <v>36.624694820000002</v>
          </cell>
        </row>
        <row r="1087">
          <cell r="L1087" t="str">
            <v>راطونية</v>
          </cell>
          <cell r="M1087" t="str">
            <v>C1742</v>
          </cell>
          <cell r="AC1087">
            <v>38.177307130000003</v>
          </cell>
          <cell r="AD1087">
            <v>36.533508300000001</v>
          </cell>
        </row>
        <row r="1088">
          <cell r="L1088" t="str">
            <v>شويحة خزناوي</v>
          </cell>
          <cell r="M1088" t="str">
            <v>C1743</v>
          </cell>
          <cell r="AC1088">
            <v>37.878295899999998</v>
          </cell>
          <cell r="AD1088">
            <v>36.566101070000002</v>
          </cell>
        </row>
        <row r="1089">
          <cell r="L1089" t="str">
            <v>جناة صالح الطيب</v>
          </cell>
          <cell r="M1089" t="str">
            <v>C1744</v>
          </cell>
          <cell r="AC1089">
            <v>37.791076660000002</v>
          </cell>
          <cell r="AD1089">
            <v>36.269103999999999</v>
          </cell>
        </row>
        <row r="1090">
          <cell r="L1090" t="str">
            <v>جناة ابو جدحةجركس</v>
          </cell>
          <cell r="M1090" t="str">
            <v>C1745</v>
          </cell>
          <cell r="AC1090">
            <v>37.868713380000003</v>
          </cell>
          <cell r="AD1090">
            <v>36.29412842</v>
          </cell>
        </row>
        <row r="1091">
          <cell r="L1091" t="str">
            <v>أم عظام</v>
          </cell>
          <cell r="M1091" t="str">
            <v>C1746</v>
          </cell>
          <cell r="AC1091">
            <v>38.079895020000002</v>
          </cell>
          <cell r="AD1091">
            <v>36.589904789999999</v>
          </cell>
        </row>
        <row r="1092">
          <cell r="L1092" t="str">
            <v>شنهصة</v>
          </cell>
          <cell r="M1092" t="str">
            <v>C1747</v>
          </cell>
          <cell r="AC1092">
            <v>37.766296390000001</v>
          </cell>
          <cell r="AD1092">
            <v>36.284728999999999</v>
          </cell>
        </row>
        <row r="1093">
          <cell r="L1093" t="str">
            <v>الكبيرة منبج_باشلي</v>
          </cell>
          <cell r="M1093" t="str">
            <v>C1748</v>
          </cell>
          <cell r="AC1093">
            <v>37.771301270000002</v>
          </cell>
          <cell r="AD1093">
            <v>36.600280759999997</v>
          </cell>
        </row>
        <row r="1094">
          <cell r="L1094" t="str">
            <v>طحنة كبيرة</v>
          </cell>
          <cell r="M1094" t="str">
            <v>C1749</v>
          </cell>
          <cell r="AC1094">
            <v>37.857482910000002</v>
          </cell>
          <cell r="AD1094">
            <v>36.490478520000003</v>
          </cell>
        </row>
        <row r="1095">
          <cell r="L1095" t="str">
            <v>شيخ يحيى</v>
          </cell>
          <cell r="M1095" t="str">
            <v>C1750</v>
          </cell>
          <cell r="AC1095">
            <v>37.850280759999997</v>
          </cell>
          <cell r="AD1095">
            <v>36.544311520000001</v>
          </cell>
        </row>
        <row r="1096">
          <cell r="L1096" t="str">
            <v>أبو طويل</v>
          </cell>
          <cell r="M1096" t="str">
            <v>C1751</v>
          </cell>
          <cell r="AC1096">
            <v>37.805114750000001</v>
          </cell>
          <cell r="AD1096">
            <v>36.298095699999998</v>
          </cell>
        </row>
        <row r="1097">
          <cell r="L1097" t="str">
            <v>حية صغيرة</v>
          </cell>
          <cell r="M1097" t="str">
            <v>C1752</v>
          </cell>
          <cell r="AC1097">
            <v>38.11352539</v>
          </cell>
          <cell r="AD1097">
            <v>36.567687990000003</v>
          </cell>
        </row>
        <row r="1098">
          <cell r="L1098" t="str">
            <v>صافي</v>
          </cell>
          <cell r="M1098" t="str">
            <v>C1753</v>
          </cell>
          <cell r="AC1098">
            <v>38.040710449999999</v>
          </cell>
          <cell r="AD1098">
            <v>36.591491699999999</v>
          </cell>
        </row>
        <row r="1099">
          <cell r="L1099" t="str">
            <v>خاروفية كبيرة</v>
          </cell>
          <cell r="M1099" t="str">
            <v>C1754</v>
          </cell>
          <cell r="AC1099">
            <v>37.900329589999998</v>
          </cell>
          <cell r="AD1099">
            <v>36.410278320000003</v>
          </cell>
        </row>
        <row r="1100">
          <cell r="L1100" t="str">
            <v>الحجر الأبيض</v>
          </cell>
          <cell r="M1100" t="str">
            <v>C1755</v>
          </cell>
          <cell r="AC1100">
            <v>38.189697270000003</v>
          </cell>
          <cell r="AD1100">
            <v>36.522094729999999</v>
          </cell>
        </row>
        <row r="1101">
          <cell r="L1101" t="str">
            <v>جرن كبير</v>
          </cell>
          <cell r="M1101" t="str">
            <v>C1756</v>
          </cell>
          <cell r="AC1101">
            <v>38.241088869999999</v>
          </cell>
          <cell r="AD1101">
            <v>36.541320800000001</v>
          </cell>
        </row>
        <row r="1102">
          <cell r="L1102" t="str">
            <v>أبو كهف</v>
          </cell>
          <cell r="M1102" t="str">
            <v>C1757</v>
          </cell>
          <cell r="AC1102">
            <v>37.834899900000003</v>
          </cell>
          <cell r="AD1102">
            <v>36.359313970000002</v>
          </cell>
        </row>
        <row r="1103">
          <cell r="L1103" t="str">
            <v>ارنبية_دوشان</v>
          </cell>
          <cell r="M1103" t="str">
            <v>C1758</v>
          </cell>
          <cell r="AC1103">
            <v>38.123718259999997</v>
          </cell>
          <cell r="AD1103">
            <v>36.617919919999999</v>
          </cell>
        </row>
        <row r="1104">
          <cell r="L1104" t="str">
            <v>أبو جدحة كبير</v>
          </cell>
          <cell r="M1104" t="str">
            <v>C1759</v>
          </cell>
          <cell r="AC1104">
            <v>37.863098149999999</v>
          </cell>
          <cell r="AD1104">
            <v>36.263916020000003</v>
          </cell>
        </row>
        <row r="1105">
          <cell r="L1105" t="str">
            <v>تايهة</v>
          </cell>
          <cell r="M1105" t="str">
            <v>C1760</v>
          </cell>
          <cell r="AC1105">
            <v>37.814270020000002</v>
          </cell>
          <cell r="AD1105">
            <v>36.367919919999999</v>
          </cell>
        </row>
        <row r="1106">
          <cell r="L1106" t="str">
            <v>جرن صغير</v>
          </cell>
          <cell r="M1106" t="str">
            <v>C1761</v>
          </cell>
          <cell r="AC1106">
            <v>38.226684570000003</v>
          </cell>
          <cell r="AD1106">
            <v>36.52850342</v>
          </cell>
        </row>
        <row r="1107">
          <cell r="L1107" t="str">
            <v>أوشرية</v>
          </cell>
          <cell r="M1107" t="str">
            <v>C1762</v>
          </cell>
          <cell r="AC1107">
            <v>38.068115229999997</v>
          </cell>
          <cell r="AD1107">
            <v>36.655273440000002</v>
          </cell>
        </row>
        <row r="1108">
          <cell r="L1108" t="str">
            <v>مجرى تحتاني</v>
          </cell>
          <cell r="M1108" t="str">
            <v>C1763</v>
          </cell>
          <cell r="AC1108">
            <v>37.945129399999999</v>
          </cell>
          <cell r="AD1108">
            <v>36.598510740000002</v>
          </cell>
        </row>
        <row r="1109">
          <cell r="L1109" t="str">
            <v>هدهد</v>
          </cell>
          <cell r="M1109" t="str">
            <v>C1764</v>
          </cell>
          <cell r="AC1109">
            <v>38.007690429999997</v>
          </cell>
          <cell r="AD1109">
            <v>36.573730470000001</v>
          </cell>
        </row>
        <row r="1110">
          <cell r="L1110" t="str">
            <v>مغيرات</v>
          </cell>
          <cell r="M1110" t="str">
            <v>C1765</v>
          </cell>
          <cell r="AC1110">
            <v>38.208496089999997</v>
          </cell>
          <cell r="AD1110">
            <v>36.57788086</v>
          </cell>
        </row>
        <row r="1111">
          <cell r="L1111" t="str">
            <v>مناظر الجرف</v>
          </cell>
          <cell r="M1111" t="str">
            <v>C1766</v>
          </cell>
          <cell r="AC1111">
            <v>37.750488279999999</v>
          </cell>
          <cell r="AD1111">
            <v>36.265075680000002</v>
          </cell>
        </row>
        <row r="1112">
          <cell r="L1112" t="str">
            <v>منبج</v>
          </cell>
          <cell r="M1112" t="str">
            <v>C1767</v>
          </cell>
          <cell r="AC1112">
            <v>37.951110839999998</v>
          </cell>
          <cell r="AD1112">
            <v>36.525878910000003</v>
          </cell>
        </row>
        <row r="1113">
          <cell r="L1113" t="str">
            <v>كرسان</v>
          </cell>
          <cell r="M1113" t="str">
            <v>C1768</v>
          </cell>
          <cell r="AC1113">
            <v>38.089904789999999</v>
          </cell>
          <cell r="AD1113">
            <v>36.543273929999998</v>
          </cell>
        </row>
        <row r="1114">
          <cell r="L1114" t="str">
            <v>قناة الغرة</v>
          </cell>
          <cell r="M1114" t="str">
            <v>C1769</v>
          </cell>
          <cell r="AC1114">
            <v>37.909484859999999</v>
          </cell>
          <cell r="AD1114">
            <v>36.48712158</v>
          </cell>
        </row>
        <row r="1115">
          <cell r="L1115" t="str">
            <v>مستريحة جفتلك</v>
          </cell>
          <cell r="M1115" t="str">
            <v>C1770</v>
          </cell>
          <cell r="AC1115">
            <v>37.912292479999998</v>
          </cell>
          <cell r="AD1115">
            <v>36.36029053</v>
          </cell>
        </row>
        <row r="1116">
          <cell r="L1116" t="str">
            <v>قاطمة منبج_قطمة</v>
          </cell>
          <cell r="M1116" t="str">
            <v>C1771</v>
          </cell>
          <cell r="AC1116">
            <v>37.85571289</v>
          </cell>
          <cell r="AD1116">
            <v>36.455322270000003</v>
          </cell>
        </row>
        <row r="1117">
          <cell r="L1117" t="str">
            <v>منلا اسعد</v>
          </cell>
          <cell r="M1117" t="str">
            <v>C1772</v>
          </cell>
          <cell r="AC1117">
            <v>38.033081060000001</v>
          </cell>
          <cell r="AD1117">
            <v>36.615295410000002</v>
          </cell>
        </row>
        <row r="1118">
          <cell r="L1118" t="str">
            <v>مجرى فوقاني</v>
          </cell>
          <cell r="M1118" t="str">
            <v>C1773</v>
          </cell>
          <cell r="AC1118">
            <v>37.903686520000001</v>
          </cell>
          <cell r="AD1118">
            <v>36.559692380000001</v>
          </cell>
        </row>
        <row r="1119">
          <cell r="L1119" t="str">
            <v>وريدة المركز</v>
          </cell>
          <cell r="M1119" t="str">
            <v>C1774</v>
          </cell>
          <cell r="AC1119">
            <v>37.757690429999997</v>
          </cell>
          <cell r="AD1119">
            <v>36.531677250000001</v>
          </cell>
        </row>
        <row r="1120">
          <cell r="L1120" t="str">
            <v>مشرفة البوير</v>
          </cell>
          <cell r="M1120" t="str">
            <v>C1775</v>
          </cell>
          <cell r="AC1120">
            <v>37.85913086</v>
          </cell>
          <cell r="AD1120">
            <v>36.600280759999997</v>
          </cell>
        </row>
        <row r="1121">
          <cell r="L1121" t="str">
            <v>نحلية_ناحلية</v>
          </cell>
          <cell r="M1121" t="str">
            <v>C1776</v>
          </cell>
          <cell r="AC1121">
            <v>37.893127440000001</v>
          </cell>
          <cell r="AD1121">
            <v>36.38787842</v>
          </cell>
        </row>
        <row r="1122">
          <cell r="L1122" t="str">
            <v>قلعة نجم</v>
          </cell>
          <cell r="M1122" t="str">
            <v>C1777</v>
          </cell>
          <cell r="AC1122">
            <v>38.257873539999999</v>
          </cell>
          <cell r="AD1122">
            <v>36.552490229999997</v>
          </cell>
        </row>
        <row r="1123">
          <cell r="L1123" t="str">
            <v>مقبلة البيرة</v>
          </cell>
          <cell r="M1123" t="str">
            <v>C1778</v>
          </cell>
          <cell r="AC1123">
            <v>37.831298830000001</v>
          </cell>
          <cell r="AD1123">
            <v>36.376281740000003</v>
          </cell>
        </row>
        <row r="1124">
          <cell r="L1124" t="str">
            <v>قرعة كبيرة</v>
          </cell>
          <cell r="M1124" t="str">
            <v>C1779</v>
          </cell>
          <cell r="AC1124">
            <v>37.941284179999997</v>
          </cell>
          <cell r="AD1124">
            <v>36.43127441</v>
          </cell>
        </row>
        <row r="1125">
          <cell r="L1125" t="str">
            <v>مدنة صغير</v>
          </cell>
          <cell r="M1125" t="str">
            <v>C1780</v>
          </cell>
          <cell r="AC1125">
            <v>37.865905759999997</v>
          </cell>
          <cell r="AD1125">
            <v>36.51928711</v>
          </cell>
        </row>
        <row r="1126">
          <cell r="L1126" t="str">
            <v>مدنة كبيرة</v>
          </cell>
          <cell r="M1126" t="str">
            <v>C1781</v>
          </cell>
          <cell r="AC1126">
            <v>37.879272460000003</v>
          </cell>
          <cell r="AD1126">
            <v>36.530883789999997</v>
          </cell>
        </row>
        <row r="1127">
          <cell r="L1127" t="str">
            <v>محترق كبير</v>
          </cell>
          <cell r="M1127" t="str">
            <v>C1782</v>
          </cell>
          <cell r="AC1127">
            <v>37.894103999999999</v>
          </cell>
          <cell r="AD1127">
            <v>36.438903809999999</v>
          </cell>
        </row>
        <row r="1128">
          <cell r="L1128" t="str">
            <v>كابر كبير_كابرجة كبيرة</v>
          </cell>
          <cell r="M1128" t="str">
            <v>C1783</v>
          </cell>
          <cell r="AC1128">
            <v>37.972473149999999</v>
          </cell>
          <cell r="AD1128">
            <v>36.466674810000001</v>
          </cell>
        </row>
        <row r="1129">
          <cell r="L1129" t="str">
            <v>محترق صغير</v>
          </cell>
          <cell r="M1129" t="str">
            <v>C1784</v>
          </cell>
          <cell r="AC1129">
            <v>37.897705080000001</v>
          </cell>
          <cell r="AD1129">
            <v>36.464904789999999</v>
          </cell>
        </row>
        <row r="1130">
          <cell r="L1130" t="str">
            <v>قبر إيمو</v>
          </cell>
          <cell r="M1130" t="str">
            <v>C1785</v>
          </cell>
          <cell r="AC1130">
            <v>38.163696289999997</v>
          </cell>
          <cell r="AD1130">
            <v>36.608093259999997</v>
          </cell>
        </row>
        <row r="1131">
          <cell r="L1131" t="str">
            <v>لابدة_ميلو يران</v>
          </cell>
          <cell r="M1131" t="str">
            <v>C1786</v>
          </cell>
          <cell r="AC1131">
            <v>37.772888180000002</v>
          </cell>
          <cell r="AD1131">
            <v>36.434692380000001</v>
          </cell>
        </row>
        <row r="1132">
          <cell r="L1132" t="str">
            <v>مقتلة</v>
          </cell>
          <cell r="M1132" t="str">
            <v>C1787</v>
          </cell>
          <cell r="AC1132">
            <v>37.784301759999998</v>
          </cell>
          <cell r="AD1132">
            <v>36.380920410000002</v>
          </cell>
        </row>
        <row r="1133">
          <cell r="L1133" t="str">
            <v>مروح منبج</v>
          </cell>
          <cell r="M1133" t="str">
            <v>C1788</v>
          </cell>
          <cell r="AC1133">
            <v>37.866088869999999</v>
          </cell>
          <cell r="AD1133">
            <v>36.355529789999999</v>
          </cell>
        </row>
        <row r="1134">
          <cell r="L1134" t="str">
            <v>معيصرة</v>
          </cell>
          <cell r="M1134" t="str">
            <v>C1789</v>
          </cell>
          <cell r="AC1134">
            <v>37.74908447</v>
          </cell>
          <cell r="AD1134">
            <v>36.515686039999999</v>
          </cell>
        </row>
        <row r="1135">
          <cell r="L1135" t="str">
            <v>كابر صغير_كابرجة صغيرة</v>
          </cell>
          <cell r="M1135" t="str">
            <v>C1790</v>
          </cell>
          <cell r="AC1135">
            <v>37.97149658</v>
          </cell>
          <cell r="AD1135">
            <v>36.482299810000001</v>
          </cell>
        </row>
        <row r="1136">
          <cell r="L1136" t="str">
            <v>قبب بنية_قراجلة</v>
          </cell>
          <cell r="M1136" t="str">
            <v>C1791</v>
          </cell>
          <cell r="AC1136">
            <v>38.021728520000003</v>
          </cell>
          <cell r="AD1136">
            <v>36.589721679999997</v>
          </cell>
        </row>
        <row r="1137">
          <cell r="L1137" t="str">
            <v>مقطع حجر كبير</v>
          </cell>
          <cell r="M1137" t="str">
            <v>C1792</v>
          </cell>
          <cell r="AC1137">
            <v>37.83868408</v>
          </cell>
          <cell r="AD1137">
            <v>36.412292479999998</v>
          </cell>
        </row>
        <row r="1138">
          <cell r="L1138" t="str">
            <v>مجرى وسطاني</v>
          </cell>
          <cell r="M1138" t="str">
            <v>C1793</v>
          </cell>
          <cell r="AC1138">
            <v>37.925292970000001</v>
          </cell>
          <cell r="AD1138">
            <v>36.59008789</v>
          </cell>
        </row>
        <row r="1139">
          <cell r="L1139" t="str">
            <v>مقطع الحجر صغير</v>
          </cell>
          <cell r="M1139" t="str">
            <v>C1794</v>
          </cell>
          <cell r="AC1139">
            <v>37.862487790000003</v>
          </cell>
          <cell r="AD1139">
            <v>36.406311039999999</v>
          </cell>
        </row>
        <row r="1140">
          <cell r="L1140" t="str">
            <v>ميلويران</v>
          </cell>
          <cell r="M1140" t="str">
            <v>C1795</v>
          </cell>
          <cell r="AC1140">
            <v>37.758911130000001</v>
          </cell>
          <cell r="AD1140">
            <v>36.421875</v>
          </cell>
        </row>
        <row r="1141">
          <cell r="L1141" t="str">
            <v>حيمر لابدة</v>
          </cell>
          <cell r="M1141" t="str">
            <v>C1796</v>
          </cell>
          <cell r="AC1141">
            <v>37.97631836</v>
          </cell>
          <cell r="AD1141">
            <v>36.387695309999998</v>
          </cell>
        </row>
        <row r="1142">
          <cell r="L1142" t="str">
            <v>خفية أبو قلقل</v>
          </cell>
          <cell r="M1142" t="str">
            <v>C1797</v>
          </cell>
          <cell r="AC1142">
            <v>38.086730959999997</v>
          </cell>
          <cell r="AD1142">
            <v>36.451904300000002</v>
          </cell>
        </row>
        <row r="1143">
          <cell r="L1143" t="str">
            <v>أبو قلقل</v>
          </cell>
          <cell r="M1143" t="str">
            <v>C1798</v>
          </cell>
          <cell r="AC1143">
            <v>38.094299319999998</v>
          </cell>
          <cell r="AD1143">
            <v>36.435119630000003</v>
          </cell>
        </row>
        <row r="1144">
          <cell r="L1144" t="str">
            <v>خربة العشرة</v>
          </cell>
          <cell r="M1144" t="str">
            <v>C1799</v>
          </cell>
          <cell r="AC1144">
            <v>38.07788086</v>
          </cell>
          <cell r="AD1144">
            <v>36.421691899999999</v>
          </cell>
        </row>
        <row r="1145">
          <cell r="L1145" t="str">
            <v>حالولة</v>
          </cell>
          <cell r="M1145" t="str">
            <v>C1800</v>
          </cell>
          <cell r="AC1145">
            <v>38.181884770000003</v>
          </cell>
          <cell r="AD1145">
            <v>36.428710940000002</v>
          </cell>
        </row>
        <row r="1146">
          <cell r="L1146" t="str">
            <v>جديدة فرس</v>
          </cell>
          <cell r="M1146" t="str">
            <v>C1801</v>
          </cell>
          <cell r="AC1146">
            <v>38.17852783</v>
          </cell>
          <cell r="AD1146">
            <v>36.469116210000003</v>
          </cell>
        </row>
        <row r="1147">
          <cell r="L1147" t="str">
            <v>جب النشامة</v>
          </cell>
          <cell r="M1147" t="str">
            <v>C1802</v>
          </cell>
          <cell r="AC1147">
            <v>38.038330080000001</v>
          </cell>
          <cell r="AD1147">
            <v>36.407287599999997</v>
          </cell>
        </row>
        <row r="1148">
          <cell r="L1148" t="str">
            <v>أم جرن منبج</v>
          </cell>
          <cell r="M1148" t="str">
            <v>C1803</v>
          </cell>
          <cell r="AC1148">
            <v>38.004272460000003</v>
          </cell>
          <cell r="AD1148">
            <v>36.382873539999999</v>
          </cell>
        </row>
        <row r="1149">
          <cell r="L1149" t="str">
            <v>جب الكجلي</v>
          </cell>
          <cell r="M1149" t="str">
            <v>C1804</v>
          </cell>
          <cell r="AC1149">
            <v>38.009277339999997</v>
          </cell>
          <cell r="AD1149">
            <v>36.400085449999999</v>
          </cell>
        </row>
        <row r="1150">
          <cell r="L1150" t="str">
            <v>حما كبير</v>
          </cell>
          <cell r="M1150" t="str">
            <v>C1805</v>
          </cell>
          <cell r="AC1150">
            <v>38.223876949999998</v>
          </cell>
          <cell r="AD1150">
            <v>36.495910649999999</v>
          </cell>
        </row>
        <row r="1151">
          <cell r="L1151" t="str">
            <v>شجيف ذهبية</v>
          </cell>
          <cell r="M1151" t="str">
            <v>C1806</v>
          </cell>
          <cell r="AC1151">
            <v>38.073120119999999</v>
          </cell>
          <cell r="AD1151">
            <v>36.473083500000001</v>
          </cell>
        </row>
        <row r="1152">
          <cell r="L1152" t="str">
            <v>جعيفية الماشي</v>
          </cell>
          <cell r="M1152" t="str">
            <v>C1807</v>
          </cell>
          <cell r="AC1152">
            <v>38.056091309999999</v>
          </cell>
          <cell r="AD1152">
            <v>36.351684570000003</v>
          </cell>
        </row>
        <row r="1153">
          <cell r="L1153" t="str">
            <v>الحيزة</v>
          </cell>
          <cell r="M1153" t="str">
            <v>C1808</v>
          </cell>
          <cell r="AC1153">
            <v>38.07629395</v>
          </cell>
          <cell r="AD1153">
            <v>36.345703129999997</v>
          </cell>
        </row>
        <row r="1154">
          <cell r="L1154" t="str">
            <v>سكاوية</v>
          </cell>
          <cell r="M1154" t="str">
            <v>C1809</v>
          </cell>
          <cell r="AC1154">
            <v>38.155273440000002</v>
          </cell>
          <cell r="AD1154">
            <v>36.438720699999998</v>
          </cell>
        </row>
        <row r="1155">
          <cell r="L1155" t="str">
            <v>غرة كبيرة</v>
          </cell>
          <cell r="M1155" t="str">
            <v>C1810</v>
          </cell>
          <cell r="AC1155">
            <v>38.051513669999999</v>
          </cell>
          <cell r="AD1155">
            <v>36.382873539999999</v>
          </cell>
        </row>
        <row r="1156">
          <cell r="L1156" t="str">
            <v>جب الطويل</v>
          </cell>
          <cell r="M1156" t="str">
            <v>C1811</v>
          </cell>
          <cell r="AC1156">
            <v>38.036682130000003</v>
          </cell>
          <cell r="AD1156">
            <v>36.477905270000001</v>
          </cell>
        </row>
        <row r="1157">
          <cell r="L1157" t="str">
            <v>خربة السودة منبج</v>
          </cell>
          <cell r="M1157" t="str">
            <v>C1812</v>
          </cell>
          <cell r="AC1157">
            <v>37.933288570000002</v>
          </cell>
          <cell r="AD1157">
            <v>36.414123539999999</v>
          </cell>
        </row>
        <row r="1158">
          <cell r="L1158" t="str">
            <v>صندلية كبيرة</v>
          </cell>
          <cell r="M1158" t="str">
            <v>C1813</v>
          </cell>
          <cell r="AC1158">
            <v>38.240112310000001</v>
          </cell>
          <cell r="AD1158">
            <v>36.462280270000001</v>
          </cell>
        </row>
        <row r="1159">
          <cell r="L1159" t="str">
            <v>خربة الروس</v>
          </cell>
          <cell r="M1159" t="str">
            <v>C1814</v>
          </cell>
          <cell r="AC1159">
            <v>38.052490229999997</v>
          </cell>
          <cell r="AD1159">
            <v>36.409484859999999</v>
          </cell>
        </row>
        <row r="1160">
          <cell r="L1160" t="str">
            <v>غرة صغيرة</v>
          </cell>
          <cell r="M1160" t="str">
            <v>C1815</v>
          </cell>
          <cell r="AC1160">
            <v>38.040893560000001</v>
          </cell>
          <cell r="AD1160">
            <v>36.370117190000002</v>
          </cell>
        </row>
        <row r="1161">
          <cell r="L1161" t="str">
            <v>خربة بشار</v>
          </cell>
          <cell r="M1161" t="str">
            <v>C1816</v>
          </cell>
          <cell r="AC1161">
            <v>38.206726070000002</v>
          </cell>
          <cell r="AD1161">
            <v>36.475891109999999</v>
          </cell>
        </row>
        <row r="1162">
          <cell r="L1162" t="str">
            <v>جب ناهد</v>
          </cell>
          <cell r="M1162" t="str">
            <v>C1817</v>
          </cell>
          <cell r="AC1162">
            <v>38.004516600000002</v>
          </cell>
          <cell r="AD1162">
            <v>36.473876949999998</v>
          </cell>
        </row>
        <row r="1163">
          <cell r="L1163" t="str">
            <v>تل عريش جنوبي</v>
          </cell>
          <cell r="M1163" t="str">
            <v>C1818</v>
          </cell>
          <cell r="AC1163">
            <v>38.145874020000001</v>
          </cell>
          <cell r="AD1163">
            <v>36.434082029999999</v>
          </cell>
        </row>
        <row r="1164">
          <cell r="L1164" t="str">
            <v>جب حسن آغا</v>
          </cell>
          <cell r="M1164" t="str">
            <v>C1819</v>
          </cell>
          <cell r="AC1164">
            <v>38.039672850000002</v>
          </cell>
          <cell r="AD1164">
            <v>36.448730470000001</v>
          </cell>
        </row>
        <row r="1165">
          <cell r="L1165" t="str">
            <v>خربة زمالة</v>
          </cell>
          <cell r="M1165" t="str">
            <v>C1820</v>
          </cell>
          <cell r="AC1165">
            <v>38.15991211</v>
          </cell>
          <cell r="AD1165">
            <v>36.338073729999998</v>
          </cell>
        </row>
        <row r="1166">
          <cell r="L1166" t="str">
            <v>خربة خالد</v>
          </cell>
          <cell r="M1166" t="str">
            <v>C1821</v>
          </cell>
          <cell r="AC1166">
            <v>38.16912842</v>
          </cell>
          <cell r="AD1166">
            <v>36.366699220000001</v>
          </cell>
        </row>
        <row r="1167">
          <cell r="L1167" t="str">
            <v>جب حمزة</v>
          </cell>
          <cell r="M1167" t="str">
            <v>C1822</v>
          </cell>
          <cell r="AC1167">
            <v>37.943115229999997</v>
          </cell>
          <cell r="AD1167">
            <v>36.390686039999999</v>
          </cell>
        </row>
        <row r="1168">
          <cell r="L1168" t="str">
            <v>جب شيخ عبيد</v>
          </cell>
          <cell r="M1168" t="str">
            <v>C1823</v>
          </cell>
          <cell r="AC1168">
            <v>38.082519529999999</v>
          </cell>
          <cell r="AD1168">
            <v>36.364501949999998</v>
          </cell>
        </row>
        <row r="1169">
          <cell r="L1169" t="str">
            <v>قنا تحتاني</v>
          </cell>
          <cell r="M1169" t="str">
            <v>C1824</v>
          </cell>
          <cell r="AC1169">
            <v>38.130920410000002</v>
          </cell>
          <cell r="AD1169">
            <v>36.443298339999998</v>
          </cell>
        </row>
        <row r="1170">
          <cell r="L1170" t="str">
            <v>قنا شمالي</v>
          </cell>
          <cell r="M1170" t="str">
            <v>C1825</v>
          </cell>
          <cell r="AC1170">
            <v>38.120117190000002</v>
          </cell>
          <cell r="AD1170">
            <v>36.438476559999998</v>
          </cell>
        </row>
        <row r="1171">
          <cell r="L1171" t="str">
            <v>قناقبلي</v>
          </cell>
          <cell r="M1171" t="str">
            <v>C1826</v>
          </cell>
          <cell r="AC1171">
            <v>38.124328609999999</v>
          </cell>
          <cell r="AD1171">
            <v>36.428283690000001</v>
          </cell>
        </row>
        <row r="1172">
          <cell r="L1172" t="str">
            <v>والية_اكيردالي</v>
          </cell>
          <cell r="M1172" t="str">
            <v>C1827</v>
          </cell>
          <cell r="AC1172">
            <v>38.100708009999998</v>
          </cell>
          <cell r="AD1172">
            <v>36.48669434</v>
          </cell>
        </row>
        <row r="1173">
          <cell r="L1173" t="str">
            <v>محشية الطواحين</v>
          </cell>
          <cell r="M1173" t="str">
            <v>C1828</v>
          </cell>
          <cell r="AC1173">
            <v>38.149291990000002</v>
          </cell>
          <cell r="AD1173">
            <v>36.409301759999998</v>
          </cell>
        </row>
        <row r="1174">
          <cell r="L1174" t="str">
            <v>قوخار</v>
          </cell>
          <cell r="M1174" t="str">
            <v>C1829</v>
          </cell>
          <cell r="AC1174">
            <v>38.053283690000001</v>
          </cell>
          <cell r="AD1174">
            <v>36.496276860000002</v>
          </cell>
        </row>
        <row r="1175">
          <cell r="L1175" t="str">
            <v>فرس كبير</v>
          </cell>
          <cell r="M1175" t="str">
            <v>C1830</v>
          </cell>
          <cell r="AC1175">
            <v>38.135070800000001</v>
          </cell>
          <cell r="AD1175">
            <v>36.495910649999999</v>
          </cell>
        </row>
        <row r="1176">
          <cell r="L1176" t="str">
            <v>قرعة صغيرة</v>
          </cell>
          <cell r="M1176" t="str">
            <v>C1831</v>
          </cell>
          <cell r="AC1176">
            <v>37.961914059999998</v>
          </cell>
          <cell r="AD1176">
            <v>36.4296875</v>
          </cell>
        </row>
        <row r="1177">
          <cell r="L1177" t="str">
            <v>محشية الشيخ عبيد</v>
          </cell>
          <cell r="M1177" t="str">
            <v>C1832</v>
          </cell>
          <cell r="AC1177">
            <v>38.124328609999999</v>
          </cell>
          <cell r="AD1177">
            <v>36.376708979999997</v>
          </cell>
        </row>
        <row r="1178">
          <cell r="L1178" t="str">
            <v>فرس صغير</v>
          </cell>
          <cell r="M1178" t="str">
            <v>C1833</v>
          </cell>
          <cell r="AC1178">
            <v>38.159484859999999</v>
          </cell>
          <cell r="AD1178">
            <v>36.465515140000001</v>
          </cell>
        </row>
        <row r="1179">
          <cell r="L1179" t="str">
            <v>قشلة يوسف باشا</v>
          </cell>
          <cell r="M1179" t="str">
            <v>C1834</v>
          </cell>
          <cell r="AC1179">
            <v>38.14569092</v>
          </cell>
          <cell r="AD1179">
            <v>36.390075680000002</v>
          </cell>
        </row>
        <row r="1180">
          <cell r="L1180" t="str">
            <v>مقبلة حسن آغا</v>
          </cell>
          <cell r="M1180" t="str">
            <v>C1835</v>
          </cell>
          <cell r="AC1180">
            <v>38.043518069999998</v>
          </cell>
          <cell r="AD1180">
            <v>36.439514160000002</v>
          </cell>
        </row>
        <row r="1181">
          <cell r="L1181" t="str">
            <v>مدينة سد تشرين</v>
          </cell>
          <cell r="M1181" t="str">
            <v>C1836</v>
          </cell>
          <cell r="AC1181">
            <v>38.160522460000003</v>
          </cell>
          <cell r="AD1181">
            <v>36.388488770000002</v>
          </cell>
        </row>
        <row r="1182">
          <cell r="L1182" t="str">
            <v>نعيمة</v>
          </cell>
          <cell r="M1182" t="str">
            <v>C1837</v>
          </cell>
          <cell r="AC1182">
            <v>38.083129880000001</v>
          </cell>
          <cell r="AD1182">
            <v>36.404479979999998</v>
          </cell>
        </row>
        <row r="1183">
          <cell r="L1183" t="str">
            <v>خربة برغوث</v>
          </cell>
          <cell r="M1183" t="str">
            <v>C1838</v>
          </cell>
          <cell r="AC1183">
            <v>38.098510740000002</v>
          </cell>
          <cell r="AD1183">
            <v>36.280517580000001</v>
          </cell>
        </row>
        <row r="1184">
          <cell r="L1184" t="str">
            <v>جب ماضي</v>
          </cell>
          <cell r="M1184" t="str">
            <v>C1839</v>
          </cell>
          <cell r="AC1184">
            <v>37.889282229999999</v>
          </cell>
          <cell r="AD1184">
            <v>36.13671875</v>
          </cell>
        </row>
        <row r="1185">
          <cell r="L1185" t="str">
            <v>حديدي</v>
          </cell>
          <cell r="M1185" t="str">
            <v>C1840</v>
          </cell>
          <cell r="AC1185">
            <v>38.141723630000001</v>
          </cell>
          <cell r="AD1185">
            <v>36.276123050000002</v>
          </cell>
        </row>
        <row r="1186">
          <cell r="L1186" t="str">
            <v>رسم الأحمر</v>
          </cell>
          <cell r="M1186" t="str">
            <v>C1841</v>
          </cell>
          <cell r="AC1186">
            <v>37.945678710000003</v>
          </cell>
          <cell r="AD1186">
            <v>36.197692869999997</v>
          </cell>
        </row>
        <row r="1187">
          <cell r="L1187" t="str">
            <v>الناصرية فوقاني</v>
          </cell>
          <cell r="M1187" t="str">
            <v>C1842</v>
          </cell>
          <cell r="AC1187">
            <v>37.839111330000001</v>
          </cell>
          <cell r="AD1187">
            <v>36.014526369999999</v>
          </cell>
        </row>
        <row r="1188">
          <cell r="L1188" t="str">
            <v>رسم المسطاحة</v>
          </cell>
          <cell r="M1188" t="str">
            <v>C1843</v>
          </cell>
          <cell r="AC1188">
            <v>38.124328609999999</v>
          </cell>
          <cell r="AD1188">
            <v>36.301086429999998</v>
          </cell>
        </row>
        <row r="1189">
          <cell r="L1189" t="str">
            <v>عارودة كبير</v>
          </cell>
          <cell r="M1189" t="str">
            <v>C1844</v>
          </cell>
          <cell r="AC1189">
            <v>38.043273929999998</v>
          </cell>
          <cell r="AD1189">
            <v>36.208496089999997</v>
          </cell>
        </row>
        <row r="1190">
          <cell r="L1190" t="str">
            <v>غديني</v>
          </cell>
          <cell r="M1190" t="str">
            <v>C1845</v>
          </cell>
          <cell r="AC1190">
            <v>37.915710449999999</v>
          </cell>
          <cell r="AD1190">
            <v>36.229492190000002</v>
          </cell>
        </row>
        <row r="1191">
          <cell r="L1191" t="str">
            <v>عارودة صغيرة</v>
          </cell>
          <cell r="M1191" t="str">
            <v>C1846</v>
          </cell>
          <cell r="AC1191">
            <v>38.070129399999999</v>
          </cell>
          <cell r="AD1191">
            <v>36.20727539</v>
          </cell>
        </row>
        <row r="1192">
          <cell r="L1192" t="str">
            <v>جب قهوة</v>
          </cell>
          <cell r="M1192" t="str">
            <v>C1847</v>
          </cell>
          <cell r="AC1192">
            <v>37.966125490000003</v>
          </cell>
          <cell r="AD1192">
            <v>36.21368408</v>
          </cell>
        </row>
        <row r="1193">
          <cell r="L1193" t="str">
            <v>العاجوزية</v>
          </cell>
          <cell r="M1193" t="str">
            <v>C1848</v>
          </cell>
          <cell r="AC1193">
            <v>37.898498539999999</v>
          </cell>
          <cell r="AD1193">
            <v>35.850891109999999</v>
          </cell>
        </row>
        <row r="1194">
          <cell r="L1194" t="str">
            <v>جديدة الحمر</v>
          </cell>
          <cell r="M1194" t="str">
            <v>C1849</v>
          </cell>
          <cell r="AC1194">
            <v>37.937072749999999</v>
          </cell>
          <cell r="AD1194">
            <v>36.348693849999997</v>
          </cell>
        </row>
        <row r="1195">
          <cell r="L1195" t="str">
            <v>عشيني</v>
          </cell>
          <cell r="M1195" t="str">
            <v>C1850</v>
          </cell>
          <cell r="AC1195">
            <v>37.898315429999997</v>
          </cell>
          <cell r="AD1195">
            <v>36.214904789999999</v>
          </cell>
        </row>
        <row r="1196">
          <cell r="L1196" t="str">
            <v>خربة الخذراف</v>
          </cell>
          <cell r="M1196" t="str">
            <v>C1851</v>
          </cell>
          <cell r="AC1196">
            <v>37.931518560000001</v>
          </cell>
          <cell r="AD1196">
            <v>35.949523929999998</v>
          </cell>
        </row>
        <row r="1197">
          <cell r="L1197" t="str">
            <v>رسم الحرمل الكبير</v>
          </cell>
          <cell r="M1197" t="str">
            <v>C1852</v>
          </cell>
          <cell r="AC1197">
            <v>38.023071289999997</v>
          </cell>
          <cell r="AD1197">
            <v>36.19830322</v>
          </cell>
        </row>
        <row r="1198">
          <cell r="L1198" t="str">
            <v>أم رسوم</v>
          </cell>
          <cell r="M1198" t="str">
            <v>C1853</v>
          </cell>
          <cell r="AC1198">
            <v>37.993530270000001</v>
          </cell>
          <cell r="AD1198">
            <v>36.208496089999997</v>
          </cell>
        </row>
        <row r="1199">
          <cell r="L1199" t="str">
            <v>جديدة مسطاحة</v>
          </cell>
          <cell r="M1199" t="str">
            <v>C1854</v>
          </cell>
          <cell r="AC1199">
            <v>38.146484379999997</v>
          </cell>
          <cell r="AD1199">
            <v>36.3046875</v>
          </cell>
        </row>
        <row r="1200">
          <cell r="L1200" t="str">
            <v>رأس العين حمر</v>
          </cell>
          <cell r="M1200" t="str">
            <v>C1855</v>
          </cell>
          <cell r="AC1200">
            <v>37.952270509999998</v>
          </cell>
          <cell r="AD1200">
            <v>36.31549072</v>
          </cell>
        </row>
        <row r="1201">
          <cell r="L1201" t="str">
            <v>جب ابيض شمالي</v>
          </cell>
          <cell r="M1201" t="str">
            <v>C1856</v>
          </cell>
          <cell r="AC1201">
            <v>37.809875490000003</v>
          </cell>
          <cell r="AD1201">
            <v>36.180480959999997</v>
          </cell>
        </row>
        <row r="1202">
          <cell r="L1202" t="str">
            <v>عباجة</v>
          </cell>
          <cell r="M1202" t="str">
            <v>C1857</v>
          </cell>
          <cell r="AC1202">
            <v>37.913696289999997</v>
          </cell>
          <cell r="AD1202">
            <v>36.141296390000001</v>
          </cell>
        </row>
        <row r="1203">
          <cell r="L1203" t="str">
            <v>شيخ ابيض</v>
          </cell>
          <cell r="M1203" t="str">
            <v>C1858</v>
          </cell>
          <cell r="AC1203">
            <v>37.948913570000002</v>
          </cell>
          <cell r="AD1203">
            <v>36.274291990000002</v>
          </cell>
        </row>
        <row r="1204">
          <cell r="L1204" t="str">
            <v>المعمورة_المهدوم</v>
          </cell>
          <cell r="M1204" t="str">
            <v>C1859</v>
          </cell>
          <cell r="AC1204">
            <v>37.879882809999998</v>
          </cell>
          <cell r="AD1204">
            <v>36.103088380000003</v>
          </cell>
        </row>
        <row r="1205">
          <cell r="L1205" t="str">
            <v>رمانة</v>
          </cell>
          <cell r="M1205" t="str">
            <v>C1860</v>
          </cell>
          <cell r="AC1205">
            <v>38.082519529999999</v>
          </cell>
          <cell r="AD1205">
            <v>36.325317380000001</v>
          </cell>
        </row>
        <row r="1206">
          <cell r="L1206" t="str">
            <v>أم تينة منبج</v>
          </cell>
          <cell r="M1206" t="str">
            <v>C1861</v>
          </cell>
          <cell r="AC1206">
            <v>37.769103999999999</v>
          </cell>
          <cell r="AD1206">
            <v>36.187683110000002</v>
          </cell>
        </row>
        <row r="1207">
          <cell r="L1207" t="str">
            <v>جراح كبير</v>
          </cell>
          <cell r="M1207" t="str">
            <v>C1862</v>
          </cell>
          <cell r="AC1207">
            <v>37.918273929999998</v>
          </cell>
          <cell r="AD1207">
            <v>36.08410645</v>
          </cell>
        </row>
        <row r="1208">
          <cell r="L1208" t="str">
            <v>سخني</v>
          </cell>
          <cell r="M1208" t="str">
            <v>C1863</v>
          </cell>
          <cell r="AC1208">
            <v>38.063293459999997</v>
          </cell>
          <cell r="AD1208">
            <v>36.215881349999997</v>
          </cell>
        </row>
        <row r="1209">
          <cell r="L1209" t="str">
            <v>أبو حنايا</v>
          </cell>
          <cell r="M1209" t="str">
            <v>C1864</v>
          </cell>
          <cell r="AC1209">
            <v>37.881713869999999</v>
          </cell>
          <cell r="AD1209">
            <v>36.157470699999998</v>
          </cell>
        </row>
        <row r="1210">
          <cell r="L1210" t="str">
            <v>شاش حمدان</v>
          </cell>
          <cell r="M1210" t="str">
            <v>C1865</v>
          </cell>
          <cell r="AC1210">
            <v>38.162109379999997</v>
          </cell>
          <cell r="AD1210">
            <v>36.311889649999998</v>
          </cell>
        </row>
        <row r="1211">
          <cell r="L1211" t="str">
            <v>جناة سلامة</v>
          </cell>
          <cell r="M1211" t="str">
            <v>C1866</v>
          </cell>
          <cell r="AC1211">
            <v>37.722290039999997</v>
          </cell>
          <cell r="AD1211">
            <v>36.12109375</v>
          </cell>
        </row>
        <row r="1212">
          <cell r="L1212" t="str">
            <v>رسم الخميس غربي صغير</v>
          </cell>
          <cell r="M1212" t="str">
            <v>C1867</v>
          </cell>
          <cell r="AC1212">
            <v>37.830322270000003</v>
          </cell>
          <cell r="AD1212">
            <v>36.124877929999997</v>
          </cell>
        </row>
        <row r="1213">
          <cell r="L1213" t="str">
            <v>جب الحمام مسطاحة</v>
          </cell>
          <cell r="M1213" t="str">
            <v>C1868</v>
          </cell>
          <cell r="AC1213">
            <v>38.091125490000003</v>
          </cell>
          <cell r="AD1213">
            <v>36.306091309999999</v>
          </cell>
        </row>
        <row r="1214">
          <cell r="L1214" t="str">
            <v>رسم الجيس</v>
          </cell>
          <cell r="M1214" t="str">
            <v>C1869</v>
          </cell>
          <cell r="AC1214">
            <v>37.821105959999997</v>
          </cell>
          <cell r="AD1214">
            <v>36.159301759999998</v>
          </cell>
        </row>
        <row r="1215">
          <cell r="L1215" t="str">
            <v>تل عابر</v>
          </cell>
          <cell r="M1215" t="str">
            <v>C1870</v>
          </cell>
          <cell r="AC1215">
            <v>37.950927729999997</v>
          </cell>
          <cell r="AD1215">
            <v>36.104919430000002</v>
          </cell>
        </row>
        <row r="1216">
          <cell r="L1216" t="str">
            <v>أبو مقبرة</v>
          </cell>
          <cell r="M1216" t="str">
            <v>C1871</v>
          </cell>
          <cell r="AC1216">
            <v>37.802307130000003</v>
          </cell>
          <cell r="AD1216">
            <v>36.135070800000001</v>
          </cell>
        </row>
        <row r="1217">
          <cell r="L1217" t="str">
            <v>عطشانة جب ميري</v>
          </cell>
          <cell r="M1217" t="str">
            <v>C1872</v>
          </cell>
          <cell r="AC1217">
            <v>37.915710449999999</v>
          </cell>
          <cell r="AD1217">
            <v>36.119079589999998</v>
          </cell>
        </row>
        <row r="1218">
          <cell r="L1218" t="str">
            <v>رسم عبود جفتلك</v>
          </cell>
          <cell r="M1218" t="str">
            <v>C1873</v>
          </cell>
          <cell r="AC1218">
            <v>38.006103520000003</v>
          </cell>
          <cell r="AD1218">
            <v>36.181091309999999</v>
          </cell>
        </row>
        <row r="1219">
          <cell r="L1219" t="str">
            <v>جب خميس</v>
          </cell>
          <cell r="M1219" t="str">
            <v>C1874</v>
          </cell>
          <cell r="AC1219">
            <v>38.107116699999999</v>
          </cell>
          <cell r="AD1219">
            <v>36.286682130000003</v>
          </cell>
        </row>
        <row r="1220">
          <cell r="L1220" t="str">
            <v>جب حمد الشلال</v>
          </cell>
          <cell r="M1220" t="str">
            <v>C1875</v>
          </cell>
          <cell r="AC1220">
            <v>38.081298830000001</v>
          </cell>
          <cell r="AD1220">
            <v>36.283081060000001</v>
          </cell>
        </row>
        <row r="1221">
          <cell r="L1221" t="str">
            <v>الكسرة</v>
          </cell>
          <cell r="M1221" t="str">
            <v>C1876</v>
          </cell>
          <cell r="AC1221">
            <v>38.090698240000002</v>
          </cell>
          <cell r="AD1221">
            <v>36.259704589999998</v>
          </cell>
        </row>
        <row r="1222">
          <cell r="L1222" t="str">
            <v>أم عدسة خليلية</v>
          </cell>
          <cell r="M1222" t="str">
            <v>C1877</v>
          </cell>
          <cell r="AC1222">
            <v>37.762695309999998</v>
          </cell>
          <cell r="AD1222">
            <v>36.129699709999997</v>
          </cell>
        </row>
        <row r="1223">
          <cell r="L1223" t="str">
            <v>دخيرة</v>
          </cell>
          <cell r="M1223" t="str">
            <v>C1878</v>
          </cell>
          <cell r="AC1223">
            <v>38.018676759999998</v>
          </cell>
          <cell r="AD1223">
            <v>36.26171875</v>
          </cell>
        </row>
        <row r="1224">
          <cell r="L1224" t="str">
            <v>عطيرة</v>
          </cell>
          <cell r="M1224" t="str">
            <v>C1879</v>
          </cell>
          <cell r="AC1224">
            <v>37.893676759999998</v>
          </cell>
          <cell r="AD1224">
            <v>36.076721190000001</v>
          </cell>
        </row>
        <row r="1225">
          <cell r="L1225" t="str">
            <v>خفية الحمر</v>
          </cell>
          <cell r="M1225" t="str">
            <v>C1880</v>
          </cell>
          <cell r="AC1225">
            <v>37.946105959999997</v>
          </cell>
          <cell r="AD1225">
            <v>36.249877929999997</v>
          </cell>
        </row>
        <row r="1226">
          <cell r="L1226" t="str">
            <v>خان الحمر</v>
          </cell>
          <cell r="M1226" t="str">
            <v>C1881</v>
          </cell>
          <cell r="AC1226">
            <v>37.972473149999999</v>
          </cell>
          <cell r="AD1226">
            <v>36.301513669999999</v>
          </cell>
        </row>
        <row r="1227">
          <cell r="L1227" t="str">
            <v>رسم الحمام ميري</v>
          </cell>
          <cell r="M1227" t="str">
            <v>C1882</v>
          </cell>
          <cell r="AC1227">
            <v>37.888671879999997</v>
          </cell>
          <cell r="AD1227">
            <v>36.245483399999998</v>
          </cell>
        </row>
        <row r="1228">
          <cell r="L1228" t="str">
            <v>أربعة كبيرة</v>
          </cell>
          <cell r="M1228" t="str">
            <v>C1883</v>
          </cell>
          <cell r="AC1228">
            <v>37.963317869999997</v>
          </cell>
          <cell r="AD1228">
            <v>36.319274900000003</v>
          </cell>
        </row>
        <row r="1229">
          <cell r="L1229" t="str">
            <v>شعيب الحمركبير</v>
          </cell>
          <cell r="M1229" t="str">
            <v>C1884</v>
          </cell>
          <cell r="AC1229">
            <v>37.98529053</v>
          </cell>
          <cell r="AD1229">
            <v>36.27069092</v>
          </cell>
        </row>
        <row r="1230">
          <cell r="L1230" t="str">
            <v>جفر منصور منبج</v>
          </cell>
          <cell r="M1230" t="str">
            <v>C1885</v>
          </cell>
          <cell r="AC1230">
            <v>37.765319820000002</v>
          </cell>
          <cell r="AD1230">
            <v>36.103698729999998</v>
          </cell>
        </row>
        <row r="1231">
          <cell r="L1231" t="str">
            <v>المحسنة خفسة</v>
          </cell>
          <cell r="M1231" t="str">
            <v>C1886</v>
          </cell>
          <cell r="AC1231">
            <v>37.865722660000003</v>
          </cell>
          <cell r="AD1231">
            <v>35.967529300000002</v>
          </cell>
        </row>
        <row r="1232">
          <cell r="L1232" t="str">
            <v>تلحوذان</v>
          </cell>
          <cell r="M1232" t="str">
            <v>C1887</v>
          </cell>
          <cell r="AC1232">
            <v>38.048706060000001</v>
          </cell>
          <cell r="AD1232">
            <v>36.298706060000001</v>
          </cell>
        </row>
        <row r="1233">
          <cell r="L1233" t="str">
            <v>حبوبة صغيرة</v>
          </cell>
          <cell r="M1233" t="str">
            <v>C1888</v>
          </cell>
          <cell r="AC1233">
            <v>38.029296879999997</v>
          </cell>
          <cell r="AD1233">
            <v>36.177917479999998</v>
          </cell>
        </row>
        <row r="1234">
          <cell r="L1234" t="str">
            <v>شجرة</v>
          </cell>
          <cell r="M1234" t="str">
            <v>C1889</v>
          </cell>
          <cell r="AC1234">
            <v>38.173889160000002</v>
          </cell>
          <cell r="AD1234">
            <v>36.273498539999999</v>
          </cell>
        </row>
        <row r="1235">
          <cell r="L1235" t="str">
            <v>خربة سلامة</v>
          </cell>
          <cell r="M1235" t="str">
            <v>C1890</v>
          </cell>
          <cell r="AC1235">
            <v>38.0546875</v>
          </cell>
          <cell r="AD1235">
            <v>36.203674319999998</v>
          </cell>
        </row>
        <row r="1236">
          <cell r="L1236" t="str">
            <v>تل حسان</v>
          </cell>
          <cell r="M1236" t="str">
            <v>C1891</v>
          </cell>
          <cell r="AC1236">
            <v>37.850891109999999</v>
          </cell>
          <cell r="AD1236">
            <v>36.05950928</v>
          </cell>
        </row>
        <row r="1237">
          <cell r="L1237" t="str">
            <v>تل عاكولة</v>
          </cell>
          <cell r="M1237" t="str">
            <v>C1892</v>
          </cell>
          <cell r="AC1237">
            <v>37.737670899999998</v>
          </cell>
          <cell r="AD1237">
            <v>36.139099119999997</v>
          </cell>
        </row>
        <row r="1238">
          <cell r="L1238" t="str">
            <v>دريسية</v>
          </cell>
          <cell r="M1238" t="str">
            <v>C1893</v>
          </cell>
          <cell r="AC1238">
            <v>37.927124020000001</v>
          </cell>
          <cell r="AD1238">
            <v>36.111511229999998</v>
          </cell>
        </row>
        <row r="1239">
          <cell r="L1239" t="str">
            <v>الخفسة</v>
          </cell>
          <cell r="M1239" t="str">
            <v>C1894</v>
          </cell>
          <cell r="AC1239">
            <v>38.019714360000002</v>
          </cell>
          <cell r="AD1239">
            <v>36.230896000000001</v>
          </cell>
        </row>
        <row r="1240">
          <cell r="L1240" t="str">
            <v>تل اسود</v>
          </cell>
          <cell r="M1240" t="str">
            <v>C1895</v>
          </cell>
          <cell r="AC1240">
            <v>37.989318849999997</v>
          </cell>
          <cell r="AD1240">
            <v>36.291870119999999</v>
          </cell>
        </row>
        <row r="1241">
          <cell r="L1241" t="str">
            <v>رسم الخميس شرقي كبير</v>
          </cell>
          <cell r="M1241" t="str">
            <v>C1896</v>
          </cell>
          <cell r="AC1241">
            <v>37.856323240000002</v>
          </cell>
          <cell r="AD1241">
            <v>36.121704100000002</v>
          </cell>
        </row>
        <row r="1242">
          <cell r="L1242" t="str">
            <v>الكيصومة</v>
          </cell>
          <cell r="M1242" t="str">
            <v>C1897</v>
          </cell>
          <cell r="AC1242">
            <v>37.831481930000002</v>
          </cell>
          <cell r="AD1242">
            <v>36.095886229999998</v>
          </cell>
        </row>
        <row r="1243">
          <cell r="L1243" t="str">
            <v>جفيرة غزال</v>
          </cell>
          <cell r="M1243" t="str">
            <v>C1898</v>
          </cell>
          <cell r="AC1243">
            <v>37.833312990000003</v>
          </cell>
          <cell r="AD1243">
            <v>36.142883300000001</v>
          </cell>
        </row>
        <row r="1244">
          <cell r="L1244" t="str">
            <v>خربة شهاب</v>
          </cell>
          <cell r="M1244" t="str">
            <v>C1899</v>
          </cell>
          <cell r="AC1244">
            <v>37.981872559999999</v>
          </cell>
          <cell r="AD1244">
            <v>36.234313970000002</v>
          </cell>
        </row>
        <row r="1245">
          <cell r="L1245" t="str">
            <v>تبارة كلش</v>
          </cell>
          <cell r="M1245" t="str">
            <v>C1900</v>
          </cell>
          <cell r="AC1245">
            <v>37.867126470000002</v>
          </cell>
          <cell r="AD1245">
            <v>36.179321289999997</v>
          </cell>
        </row>
        <row r="1246">
          <cell r="L1246" t="str">
            <v>الدروبية كبيرة</v>
          </cell>
          <cell r="M1246" t="str">
            <v>C1901</v>
          </cell>
          <cell r="AC1246">
            <v>37.943115229999997</v>
          </cell>
          <cell r="AD1246">
            <v>36.084716800000002</v>
          </cell>
        </row>
        <row r="1247">
          <cell r="L1247" t="str">
            <v>حبوبة كبيرة</v>
          </cell>
          <cell r="M1247" t="str">
            <v>C1902</v>
          </cell>
          <cell r="AC1247">
            <v>38.018493650000003</v>
          </cell>
          <cell r="AD1247">
            <v>36.177917479999998</v>
          </cell>
        </row>
        <row r="1248">
          <cell r="L1248" t="str">
            <v>لاله محمد</v>
          </cell>
          <cell r="M1248" t="str">
            <v>C1903</v>
          </cell>
          <cell r="AC1248">
            <v>37.757080080000001</v>
          </cell>
          <cell r="AD1248">
            <v>36.15393066</v>
          </cell>
        </row>
        <row r="1249">
          <cell r="L1249" t="str">
            <v>كيارية</v>
          </cell>
          <cell r="M1249" t="str">
            <v>C1904</v>
          </cell>
          <cell r="AC1249">
            <v>37.98071289</v>
          </cell>
          <cell r="AD1249">
            <v>36.188110350000002</v>
          </cell>
        </row>
        <row r="1250">
          <cell r="L1250" t="str">
            <v>قبب كبير</v>
          </cell>
          <cell r="M1250" t="str">
            <v>C1905</v>
          </cell>
          <cell r="AC1250">
            <v>38.044311520000001</v>
          </cell>
          <cell r="AD1250">
            <v>36.23852539</v>
          </cell>
        </row>
        <row r="1251">
          <cell r="L1251" t="str">
            <v>مزيونة الجابري</v>
          </cell>
          <cell r="M1251" t="str">
            <v>C1906</v>
          </cell>
          <cell r="AC1251">
            <v>37.93591309</v>
          </cell>
          <cell r="AD1251">
            <v>36.069274900000003</v>
          </cell>
        </row>
        <row r="1252">
          <cell r="L1252" t="str">
            <v>مزيونة الحمر</v>
          </cell>
          <cell r="M1252" t="str">
            <v>C1907</v>
          </cell>
          <cell r="AC1252">
            <v>37.916870119999999</v>
          </cell>
          <cell r="AD1252">
            <v>36.298278809999999</v>
          </cell>
        </row>
        <row r="1253">
          <cell r="L1253" t="str">
            <v>معرضة كبيرة</v>
          </cell>
          <cell r="M1253" t="str">
            <v>C1908</v>
          </cell>
          <cell r="AC1253">
            <v>38.003478999999999</v>
          </cell>
          <cell r="AD1253">
            <v>36.255310059999999</v>
          </cell>
        </row>
        <row r="1254">
          <cell r="L1254" t="str">
            <v>مجمع مباقر مسكنة</v>
          </cell>
          <cell r="M1254" t="str">
            <v>C1909</v>
          </cell>
          <cell r="AC1254">
            <v>37.992309570000003</v>
          </cell>
          <cell r="AD1254">
            <v>35.981079100000002</v>
          </cell>
        </row>
        <row r="1255">
          <cell r="L1255" t="str">
            <v>قبب صغير</v>
          </cell>
          <cell r="M1255" t="str">
            <v>C1910</v>
          </cell>
          <cell r="AC1255">
            <v>38.052673339999998</v>
          </cell>
          <cell r="AD1255">
            <v>36.227111819999998</v>
          </cell>
        </row>
        <row r="1256">
          <cell r="L1256" t="str">
            <v>قصر هدلة</v>
          </cell>
          <cell r="M1256" t="str">
            <v>C1912</v>
          </cell>
          <cell r="AC1256">
            <v>37.83752441</v>
          </cell>
          <cell r="AD1256">
            <v>36.211486819999998</v>
          </cell>
        </row>
        <row r="1257">
          <cell r="L1257" t="str">
            <v>قصر سلوم_طنوزة</v>
          </cell>
          <cell r="M1257" t="str">
            <v>C1915</v>
          </cell>
          <cell r="AC1257">
            <v>37.911499020000001</v>
          </cell>
          <cell r="AD1257">
            <v>36.168273929999998</v>
          </cell>
        </row>
        <row r="1258">
          <cell r="L1258" t="str">
            <v>مشرفة قرب خفسة_الحامض</v>
          </cell>
          <cell r="M1258" t="str">
            <v>C1916</v>
          </cell>
          <cell r="AC1258">
            <v>37.991516109999999</v>
          </cell>
          <cell r="AD1258">
            <v>36.16772461</v>
          </cell>
        </row>
        <row r="1259">
          <cell r="L1259" t="str">
            <v>رسم البوخر</v>
          </cell>
          <cell r="M1259" t="str">
            <v>C1917</v>
          </cell>
          <cell r="AC1259">
            <v>37.954528809999999</v>
          </cell>
          <cell r="AD1259">
            <v>36.173095699999998</v>
          </cell>
        </row>
        <row r="1260">
          <cell r="L1260" t="str">
            <v>تل توتون</v>
          </cell>
          <cell r="M1260" t="str">
            <v>C1918</v>
          </cell>
          <cell r="AC1260">
            <v>37.965698240000002</v>
          </cell>
          <cell r="AD1260">
            <v>36.13830566</v>
          </cell>
        </row>
        <row r="1261">
          <cell r="L1261" t="str">
            <v>الحمرة</v>
          </cell>
          <cell r="M1261" t="str">
            <v>C1919</v>
          </cell>
          <cell r="AC1261">
            <v>37.98413086</v>
          </cell>
          <cell r="AD1261">
            <v>36.077087400000003</v>
          </cell>
        </row>
        <row r="1262">
          <cell r="L1262" t="str">
            <v>ردة كبيرة</v>
          </cell>
          <cell r="M1262" t="str">
            <v>C1920</v>
          </cell>
          <cell r="AC1262">
            <v>38.130310059999999</v>
          </cell>
          <cell r="AD1262">
            <v>35.925720220000002</v>
          </cell>
        </row>
        <row r="1263">
          <cell r="L1263" t="str">
            <v>جنوب جديعة</v>
          </cell>
          <cell r="M1263" t="str">
            <v>C1921</v>
          </cell>
          <cell r="AC1263">
            <v>38.044494630000003</v>
          </cell>
          <cell r="AD1263">
            <v>35.9005127</v>
          </cell>
        </row>
        <row r="1264">
          <cell r="L1264" t="str">
            <v>خربة صليب</v>
          </cell>
          <cell r="M1264" t="str">
            <v>C1922</v>
          </cell>
          <cell r="AC1264">
            <v>37.979125979999999</v>
          </cell>
          <cell r="AD1264">
            <v>36.11328125</v>
          </cell>
        </row>
        <row r="1265">
          <cell r="L1265" t="str">
            <v>النعيمية</v>
          </cell>
          <cell r="M1265" t="str">
            <v>C1923</v>
          </cell>
          <cell r="AC1265">
            <v>38.046325680000002</v>
          </cell>
          <cell r="AD1265">
            <v>35.879089360000002</v>
          </cell>
        </row>
        <row r="1266">
          <cell r="L1266" t="str">
            <v>المفتاحية</v>
          </cell>
          <cell r="M1266" t="str">
            <v>C1924</v>
          </cell>
          <cell r="AC1266">
            <v>38.05310059</v>
          </cell>
          <cell r="AD1266">
            <v>35.856689449999998</v>
          </cell>
        </row>
        <row r="1267">
          <cell r="L1267" t="str">
            <v>الحرية</v>
          </cell>
          <cell r="M1267" t="str">
            <v>C1925</v>
          </cell>
          <cell r="AC1267">
            <v>38.005676270000002</v>
          </cell>
          <cell r="AD1267">
            <v>36.137695309999998</v>
          </cell>
        </row>
        <row r="1268">
          <cell r="L1268" t="str">
            <v>الشهداء</v>
          </cell>
          <cell r="M1268" t="str">
            <v>C1926</v>
          </cell>
          <cell r="AC1268">
            <v>37.927124020000001</v>
          </cell>
          <cell r="AD1268">
            <v>35.936889649999998</v>
          </cell>
        </row>
        <row r="1269">
          <cell r="L1269" t="str">
            <v>سموقة منبج</v>
          </cell>
          <cell r="M1269" t="str">
            <v>C1927</v>
          </cell>
          <cell r="AC1269">
            <v>38.093688970000002</v>
          </cell>
          <cell r="AD1269">
            <v>35.931701660000002</v>
          </cell>
        </row>
        <row r="1270">
          <cell r="L1270" t="str">
            <v>جب الحمام جتالة</v>
          </cell>
          <cell r="M1270" t="str">
            <v>C1928</v>
          </cell>
          <cell r="AC1270">
            <v>37.998291020000003</v>
          </cell>
          <cell r="AD1270">
            <v>36.114685059999999</v>
          </cell>
        </row>
        <row r="1271">
          <cell r="L1271" t="str">
            <v>رجم الأقرع</v>
          </cell>
          <cell r="M1271" t="str">
            <v>C1929</v>
          </cell>
          <cell r="AC1271">
            <v>37.993530270000001</v>
          </cell>
          <cell r="AD1271">
            <v>36.140319820000002</v>
          </cell>
        </row>
        <row r="1272">
          <cell r="L1272" t="str">
            <v>خان الشعر</v>
          </cell>
          <cell r="M1272" t="str">
            <v>C1930</v>
          </cell>
          <cell r="AC1272">
            <v>38.010925290000003</v>
          </cell>
          <cell r="AD1272">
            <v>36.075683589999997</v>
          </cell>
        </row>
        <row r="1273">
          <cell r="L1273" t="str">
            <v>رأس العين البومانع</v>
          </cell>
          <cell r="M1273" t="str">
            <v>C1931</v>
          </cell>
          <cell r="AC1273">
            <v>37.990112310000001</v>
          </cell>
          <cell r="AD1273">
            <v>36.020324709999997</v>
          </cell>
        </row>
        <row r="1274">
          <cell r="L1274" t="str">
            <v>بابيري_بابيري تحتاني</v>
          </cell>
          <cell r="M1274" t="str">
            <v>C1932</v>
          </cell>
          <cell r="AC1274">
            <v>37.998474119999997</v>
          </cell>
          <cell r="AD1274">
            <v>36.125305179999998</v>
          </cell>
        </row>
        <row r="1275">
          <cell r="L1275" t="str">
            <v>مسكنة_عنيزة</v>
          </cell>
          <cell r="M1275" t="str">
            <v>C1933</v>
          </cell>
          <cell r="AC1275">
            <v>38.043273929999998</v>
          </cell>
          <cell r="AD1275">
            <v>35.964294430000002</v>
          </cell>
        </row>
        <row r="1276">
          <cell r="L1276" t="str">
            <v>قواص</v>
          </cell>
          <cell r="M1276" t="str">
            <v>C1934</v>
          </cell>
          <cell r="AC1276">
            <v>38.010314940000001</v>
          </cell>
          <cell r="AD1276">
            <v>36.094116210000003</v>
          </cell>
        </row>
        <row r="1277">
          <cell r="L1277" t="str">
            <v>مدينة الغار</v>
          </cell>
          <cell r="M1277" t="str">
            <v>C1935</v>
          </cell>
          <cell r="AC1277">
            <v>38.013916020000003</v>
          </cell>
          <cell r="AD1277">
            <v>35.917114259999998</v>
          </cell>
        </row>
        <row r="1278">
          <cell r="L1278" t="str">
            <v>القنطرة_قنطرة كيكان</v>
          </cell>
          <cell r="M1278" t="str">
            <v>C1936</v>
          </cell>
          <cell r="AC1278">
            <v>38.194885249999999</v>
          </cell>
          <cell r="AD1278">
            <v>36.833679199999999</v>
          </cell>
        </row>
        <row r="1279">
          <cell r="L1279" t="str">
            <v>زرافة_زرافيك</v>
          </cell>
          <cell r="M1279" t="str">
            <v>C1937</v>
          </cell>
          <cell r="AC1279">
            <v>38.23413086</v>
          </cell>
          <cell r="AD1279">
            <v>36.783081060000001</v>
          </cell>
        </row>
        <row r="1280">
          <cell r="L1280" t="str">
            <v>خالدية فوقاني_تحتك فوقاني</v>
          </cell>
          <cell r="M1280" t="str">
            <v>C1939</v>
          </cell>
          <cell r="AC1280">
            <v>38.52893066</v>
          </cell>
          <cell r="AD1280">
            <v>36.733703609999999</v>
          </cell>
        </row>
        <row r="1281">
          <cell r="L1281" t="str">
            <v>شران</v>
          </cell>
          <cell r="M1281" t="str">
            <v>C1940</v>
          </cell>
          <cell r="AC1281">
            <v>38.42669678</v>
          </cell>
          <cell r="AD1281">
            <v>36.866088869999999</v>
          </cell>
        </row>
        <row r="1282">
          <cell r="L1282" t="str">
            <v>تل ابيض تحتاني_بوزهيوك تحتاني</v>
          </cell>
          <cell r="M1282" t="str">
            <v>C1941</v>
          </cell>
          <cell r="AC1282">
            <v>38.539672850000002</v>
          </cell>
          <cell r="AD1282">
            <v>36.70910645</v>
          </cell>
        </row>
        <row r="1283">
          <cell r="L1283" t="str">
            <v>سلامة كبير_دونقوز كبير</v>
          </cell>
          <cell r="M1283" t="str">
            <v>C1942</v>
          </cell>
          <cell r="AC1283">
            <v>38.2755127</v>
          </cell>
          <cell r="AD1283">
            <v>36.75091553</v>
          </cell>
        </row>
        <row r="1284">
          <cell r="L1284" t="str">
            <v>غريب</v>
          </cell>
          <cell r="M1284" t="str">
            <v>C1943</v>
          </cell>
          <cell r="AC1284">
            <v>38.514526369999999</v>
          </cell>
          <cell r="AD1284">
            <v>36.85131836</v>
          </cell>
        </row>
        <row r="1285">
          <cell r="L1285" t="str">
            <v>سلامة صغير_دونقوز صغير</v>
          </cell>
          <cell r="M1285" t="str">
            <v>C1944</v>
          </cell>
          <cell r="AC1285">
            <v>38.300476070000002</v>
          </cell>
          <cell r="AD1285">
            <v>36.768676759999998</v>
          </cell>
        </row>
        <row r="1286">
          <cell r="L1286" t="str">
            <v>جبيلة تحتاني_قرة قوري</v>
          </cell>
          <cell r="M1286" t="str">
            <v>C1945</v>
          </cell>
          <cell r="AC1286">
            <v>38.165527339999997</v>
          </cell>
          <cell r="AD1286">
            <v>36.839111330000001</v>
          </cell>
        </row>
        <row r="1287">
          <cell r="L1287" t="str">
            <v>عين العرب</v>
          </cell>
          <cell r="M1287" t="str">
            <v>C1946</v>
          </cell>
          <cell r="AC1287">
            <v>38.352111819999998</v>
          </cell>
          <cell r="AD1287">
            <v>36.889282229999999</v>
          </cell>
        </row>
        <row r="1288">
          <cell r="L1288" t="str">
            <v>تل الحجر تحتاني_طاشلوك</v>
          </cell>
          <cell r="M1288" t="str">
            <v>C1947</v>
          </cell>
          <cell r="AC1288">
            <v>38.519714360000002</v>
          </cell>
          <cell r="AD1288">
            <v>36.765075680000002</v>
          </cell>
        </row>
        <row r="1289">
          <cell r="L1289" t="str">
            <v>زوبار_زورابي</v>
          </cell>
          <cell r="M1289" t="str">
            <v>C1948</v>
          </cell>
          <cell r="AC1289">
            <v>38.261108399999998</v>
          </cell>
          <cell r="AD1289">
            <v>36.908508300000001</v>
          </cell>
        </row>
        <row r="1290">
          <cell r="L1290" t="str">
            <v>تل حاجب</v>
          </cell>
          <cell r="M1290" t="str">
            <v>C1949</v>
          </cell>
          <cell r="AC1290">
            <v>38.438903809999999</v>
          </cell>
          <cell r="AD1290">
            <v>36.849670410000002</v>
          </cell>
        </row>
        <row r="1291">
          <cell r="L1291" t="str">
            <v>بيت لحم فوقاني_إيتويران</v>
          </cell>
          <cell r="M1291" t="str">
            <v>C1950</v>
          </cell>
          <cell r="AC1291">
            <v>38.583129880000001</v>
          </cell>
          <cell r="AD1291">
            <v>36.791076660000002</v>
          </cell>
        </row>
        <row r="1292">
          <cell r="L1292" t="str">
            <v>تل غزال</v>
          </cell>
          <cell r="M1292" t="str">
            <v>C1951</v>
          </cell>
          <cell r="AC1292">
            <v>38.364929199999999</v>
          </cell>
          <cell r="AD1292">
            <v>36.795898440000002</v>
          </cell>
        </row>
        <row r="1293">
          <cell r="L1293" t="str">
            <v>بيت لحم تحتاني__إيتويران</v>
          </cell>
          <cell r="M1293" t="str">
            <v>C1952</v>
          </cell>
          <cell r="AC1293">
            <v>38.57629395</v>
          </cell>
          <cell r="AD1293">
            <v>36.770324709999997</v>
          </cell>
        </row>
        <row r="1294">
          <cell r="L1294" t="str">
            <v>الميدان_كورك كيتان</v>
          </cell>
          <cell r="M1294" t="str">
            <v>C1953</v>
          </cell>
          <cell r="AC1294">
            <v>38.282287599999997</v>
          </cell>
          <cell r="AD1294">
            <v>36.800109859999999</v>
          </cell>
        </row>
        <row r="1295">
          <cell r="L1295" t="str">
            <v>الفرزدق_أرسلان طاش</v>
          </cell>
          <cell r="M1295" t="str">
            <v>C1954</v>
          </cell>
          <cell r="AC1295">
            <v>38.410522460000003</v>
          </cell>
          <cell r="AD1295">
            <v>36.848876949999998</v>
          </cell>
        </row>
        <row r="1296">
          <cell r="L1296" t="str">
            <v>تل حجر فوقاني</v>
          </cell>
          <cell r="M1296" t="str">
            <v>C1955</v>
          </cell>
          <cell r="AC1296">
            <v>38.490112310000001</v>
          </cell>
          <cell r="AD1296">
            <v>36.768676759999998</v>
          </cell>
        </row>
        <row r="1297">
          <cell r="L1297" t="str">
            <v>عروبة_كور علي</v>
          </cell>
          <cell r="M1297" t="str">
            <v>C1956</v>
          </cell>
          <cell r="AC1297">
            <v>38.140686039999999</v>
          </cell>
          <cell r="AD1297">
            <v>36.890686039999999</v>
          </cell>
        </row>
        <row r="1298">
          <cell r="L1298" t="str">
            <v>عين البط كبير</v>
          </cell>
          <cell r="M1298" t="str">
            <v>C1957</v>
          </cell>
          <cell r="AC1298">
            <v>38.527709960000003</v>
          </cell>
          <cell r="AD1298">
            <v>36.823486330000001</v>
          </cell>
        </row>
        <row r="1299">
          <cell r="L1299" t="str">
            <v>طفش_طفشو</v>
          </cell>
          <cell r="M1299" t="str">
            <v>C1958</v>
          </cell>
          <cell r="AC1299">
            <v>38.322875979999999</v>
          </cell>
          <cell r="AD1299">
            <v>36.774475099999997</v>
          </cell>
        </row>
        <row r="1300">
          <cell r="L1300" t="str">
            <v>بئر عمر</v>
          </cell>
          <cell r="M1300" t="str">
            <v>C1959</v>
          </cell>
          <cell r="AC1300">
            <v>38.5703125</v>
          </cell>
          <cell r="AD1300">
            <v>36.745483399999998</v>
          </cell>
        </row>
        <row r="1301">
          <cell r="L1301" t="str">
            <v>جوبان_الشيخ جوبان</v>
          </cell>
          <cell r="M1301" t="str">
            <v>C1960</v>
          </cell>
          <cell r="AC1301">
            <v>38.409484859999999</v>
          </cell>
          <cell r="AD1301">
            <v>36.777282720000002</v>
          </cell>
        </row>
        <row r="1302">
          <cell r="L1302" t="str">
            <v>بيجان_ترمك</v>
          </cell>
          <cell r="M1302" t="str">
            <v>C1961</v>
          </cell>
          <cell r="AC1302">
            <v>38.347473149999999</v>
          </cell>
          <cell r="AD1302">
            <v>36.872314449999998</v>
          </cell>
        </row>
        <row r="1303">
          <cell r="L1303" t="str">
            <v>النبعة_كوربينار</v>
          </cell>
          <cell r="M1303" t="str">
            <v>C1962</v>
          </cell>
          <cell r="AC1303">
            <v>38.379272460000003</v>
          </cell>
          <cell r="AD1303">
            <v>36.825317380000001</v>
          </cell>
        </row>
        <row r="1304">
          <cell r="L1304" t="str">
            <v>حزينة</v>
          </cell>
          <cell r="M1304" t="str">
            <v>C1963</v>
          </cell>
          <cell r="AC1304">
            <v>38.343872070000003</v>
          </cell>
          <cell r="AD1304">
            <v>36.780883789999997</v>
          </cell>
        </row>
        <row r="1305">
          <cell r="L1305" t="str">
            <v>جيل_جيلك</v>
          </cell>
          <cell r="M1305" t="str">
            <v>C1964</v>
          </cell>
          <cell r="AC1305">
            <v>38.468078609999999</v>
          </cell>
          <cell r="AD1305">
            <v>36.811523440000002</v>
          </cell>
        </row>
        <row r="1306">
          <cell r="L1306" t="str">
            <v>الناظرية_كوران</v>
          </cell>
          <cell r="M1306" t="str">
            <v>C1965</v>
          </cell>
          <cell r="AC1306">
            <v>38.605529789999999</v>
          </cell>
          <cell r="AD1306">
            <v>36.738708500000001</v>
          </cell>
        </row>
        <row r="1307">
          <cell r="L1307" t="str">
            <v>بابان_بوبان</v>
          </cell>
          <cell r="M1307" t="str">
            <v>C1966</v>
          </cell>
          <cell r="AC1307">
            <v>38.19647217</v>
          </cell>
          <cell r="AD1307">
            <v>36.895507809999998</v>
          </cell>
        </row>
        <row r="1308">
          <cell r="L1308" t="str">
            <v>خراب ناس</v>
          </cell>
          <cell r="M1308" t="str">
            <v>C1967</v>
          </cell>
          <cell r="AC1308">
            <v>38.55169678</v>
          </cell>
          <cell r="AD1308">
            <v>36.830322270000003</v>
          </cell>
        </row>
        <row r="1309">
          <cell r="L1309" t="str">
            <v>خراب كورت</v>
          </cell>
          <cell r="M1309" t="str">
            <v>C1968</v>
          </cell>
          <cell r="AC1309">
            <v>38.44830322</v>
          </cell>
          <cell r="AD1309">
            <v>36.814514160000002</v>
          </cell>
        </row>
        <row r="1310">
          <cell r="L1310" t="str">
            <v>ظهيرة_بيل ويران</v>
          </cell>
          <cell r="M1310" t="str">
            <v>C1969</v>
          </cell>
          <cell r="AC1310">
            <v>38.344116210000003</v>
          </cell>
          <cell r="AD1310">
            <v>36.735473630000001</v>
          </cell>
        </row>
        <row r="1311">
          <cell r="L1311" t="str">
            <v>الأيوبية_كاروز</v>
          </cell>
          <cell r="M1311" t="str">
            <v>C1970</v>
          </cell>
          <cell r="AC1311">
            <v>38.477111819999998</v>
          </cell>
          <cell r="AD1311">
            <v>36.727111819999998</v>
          </cell>
        </row>
        <row r="1312">
          <cell r="L1312" t="str">
            <v>الغسانية_قرة حلنج</v>
          </cell>
          <cell r="M1312" t="str">
            <v>C1971</v>
          </cell>
          <cell r="AC1312">
            <v>38.378478999999999</v>
          </cell>
          <cell r="AD1312">
            <v>36.85388184</v>
          </cell>
        </row>
        <row r="1313">
          <cell r="L1313" t="str">
            <v>جبيلة فوقاني_قرة قوري</v>
          </cell>
          <cell r="M1313" t="str">
            <v>C1972</v>
          </cell>
          <cell r="AC1313">
            <v>38.16107178</v>
          </cell>
          <cell r="AD1313">
            <v>36.857910160000003</v>
          </cell>
        </row>
        <row r="1314">
          <cell r="L1314" t="str">
            <v>الشروق_هولاقي</v>
          </cell>
          <cell r="M1314" t="str">
            <v>C1973</v>
          </cell>
          <cell r="AC1314">
            <v>38.53607178</v>
          </cell>
          <cell r="AD1314">
            <v>36.782104490000002</v>
          </cell>
        </row>
        <row r="1315">
          <cell r="L1315" t="str">
            <v>عزيزية_مومان عزو</v>
          </cell>
          <cell r="M1315" t="str">
            <v>C1974</v>
          </cell>
          <cell r="AC1315">
            <v>38.290893560000001</v>
          </cell>
          <cell r="AD1315">
            <v>36.871521000000001</v>
          </cell>
        </row>
        <row r="1316">
          <cell r="L1316" t="str">
            <v>الاستقامة_كوربا</v>
          </cell>
          <cell r="M1316" t="str">
            <v>C1975</v>
          </cell>
          <cell r="AC1316">
            <v>38.266906740000003</v>
          </cell>
          <cell r="AD1316">
            <v>36.899108890000001</v>
          </cell>
        </row>
        <row r="1317">
          <cell r="L1317" t="str">
            <v>الحباب_ يدي قوي</v>
          </cell>
          <cell r="M1317" t="str">
            <v>C1976</v>
          </cell>
          <cell r="AC1317">
            <v>38.320129399999999</v>
          </cell>
          <cell r="AD1317">
            <v>36.825500490000003</v>
          </cell>
        </row>
        <row r="1318">
          <cell r="L1318" t="str">
            <v>زوغر</v>
          </cell>
          <cell r="M1318" t="str">
            <v>C1977</v>
          </cell>
          <cell r="AC1318">
            <v>38.624511720000001</v>
          </cell>
          <cell r="AD1318">
            <v>36.703918459999997</v>
          </cell>
        </row>
        <row r="1319">
          <cell r="L1319" t="str">
            <v>دوحة كبير_قباجق كبير</v>
          </cell>
          <cell r="M1319" t="str">
            <v>C1978</v>
          </cell>
          <cell r="AC1319">
            <v>38.481079100000002</v>
          </cell>
          <cell r="AD1319">
            <v>36.822082520000002</v>
          </cell>
        </row>
        <row r="1320">
          <cell r="L1320" t="str">
            <v>سفت فوقاني_سفتك</v>
          </cell>
          <cell r="M1320" t="str">
            <v>C1979</v>
          </cell>
          <cell r="AC1320">
            <v>38.215698240000002</v>
          </cell>
          <cell r="AD1320">
            <v>36.904907229999999</v>
          </cell>
        </row>
        <row r="1321">
          <cell r="L1321" t="str">
            <v>صوص_صوصان</v>
          </cell>
          <cell r="M1321" t="str">
            <v>C1980</v>
          </cell>
          <cell r="AC1321">
            <v>38.212890629999997</v>
          </cell>
          <cell r="AD1321">
            <v>36.878723149999999</v>
          </cell>
        </row>
        <row r="1322">
          <cell r="L1322" t="str">
            <v>مزرعة صوفي كبير</v>
          </cell>
          <cell r="M1322" t="str">
            <v>C1981</v>
          </cell>
          <cell r="AC1322">
            <v>38.350280759999997</v>
          </cell>
          <cell r="AD1322">
            <v>36.802673339999998</v>
          </cell>
        </row>
        <row r="1323">
          <cell r="L1323" t="str">
            <v>مزرعة العامود</v>
          </cell>
          <cell r="M1323" t="str">
            <v>C1982</v>
          </cell>
          <cell r="AC1323">
            <v>38.300476070000002</v>
          </cell>
          <cell r="AD1323">
            <v>36.891113279999999</v>
          </cell>
        </row>
        <row r="1324">
          <cell r="L1324" t="str">
            <v>قنطرة بيت سري</v>
          </cell>
          <cell r="M1324" t="str">
            <v>C1983</v>
          </cell>
          <cell r="AC1324">
            <v>38.453491210000003</v>
          </cell>
          <cell r="AD1324">
            <v>36.751281740000003</v>
          </cell>
        </row>
        <row r="1325">
          <cell r="L1325" t="str">
            <v>قروف</v>
          </cell>
          <cell r="M1325" t="str">
            <v>C1985</v>
          </cell>
          <cell r="AC1325">
            <v>38.263122559999999</v>
          </cell>
          <cell r="AD1325">
            <v>36.824890140000001</v>
          </cell>
        </row>
        <row r="1326">
          <cell r="L1326" t="str">
            <v>مخرج</v>
          </cell>
          <cell r="M1326" t="str">
            <v>C1986</v>
          </cell>
          <cell r="AC1326">
            <v>38.378723149999999</v>
          </cell>
          <cell r="AD1326">
            <v>36.769897460000003</v>
          </cell>
        </row>
        <row r="1327">
          <cell r="L1327" t="str">
            <v>مرشد مرشد بينار</v>
          </cell>
          <cell r="M1327" t="str">
            <v>C1987</v>
          </cell>
          <cell r="AC1327">
            <v>38.300476070000002</v>
          </cell>
          <cell r="AD1327">
            <v>36.875305179999998</v>
          </cell>
        </row>
        <row r="1328">
          <cell r="L1328" t="str">
            <v>ناف كرب_كربناف</v>
          </cell>
          <cell r="M1328" t="str">
            <v>C1988</v>
          </cell>
          <cell r="AC1328">
            <v>38.498291020000003</v>
          </cell>
          <cell r="AD1328">
            <v>36.860717770000001</v>
          </cell>
        </row>
        <row r="1329">
          <cell r="L1329" t="str">
            <v>قولا</v>
          </cell>
          <cell r="M1329" t="str">
            <v>C1990</v>
          </cell>
          <cell r="AC1329">
            <v>38.200317380000001</v>
          </cell>
          <cell r="AD1329">
            <v>36.857727050000001</v>
          </cell>
        </row>
        <row r="1330">
          <cell r="L1330" t="str">
            <v>كرب_كربلك</v>
          </cell>
          <cell r="M1330" t="str">
            <v>C1991</v>
          </cell>
          <cell r="AC1330">
            <v>38.548889160000002</v>
          </cell>
          <cell r="AD1330">
            <v>36.740112310000001</v>
          </cell>
        </row>
        <row r="1331">
          <cell r="L1331" t="str">
            <v>كأس_كاسكان</v>
          </cell>
          <cell r="M1331" t="str">
            <v>C1992</v>
          </cell>
          <cell r="AC1331">
            <v>38.430725099999997</v>
          </cell>
          <cell r="AD1331">
            <v>36.88372803</v>
          </cell>
        </row>
        <row r="1332">
          <cell r="L1332" t="str">
            <v>الشاكرية_مشكو</v>
          </cell>
          <cell r="M1332" t="str">
            <v>C1994</v>
          </cell>
          <cell r="AC1332">
            <v>38.117492679999998</v>
          </cell>
          <cell r="AD1332">
            <v>36.83087158</v>
          </cell>
        </row>
        <row r="1333">
          <cell r="L1333" t="str">
            <v>جبنة</v>
          </cell>
          <cell r="M1333" t="str">
            <v>C1995</v>
          </cell>
          <cell r="AC1333">
            <v>38.090515140000001</v>
          </cell>
          <cell r="AD1333">
            <v>36.844299319999998</v>
          </cell>
        </row>
        <row r="1334">
          <cell r="L1334" t="str">
            <v>عوينة</v>
          </cell>
          <cell r="M1334" t="str">
            <v>C1996</v>
          </cell>
          <cell r="AC1334">
            <v>38.11212158</v>
          </cell>
          <cell r="AD1334">
            <v>36.754516600000002</v>
          </cell>
        </row>
        <row r="1335">
          <cell r="L1335" t="str">
            <v>رجبية_قوجلي وسط</v>
          </cell>
          <cell r="M1335" t="str">
            <v>C1997</v>
          </cell>
          <cell r="AC1335">
            <v>38.188293459999997</v>
          </cell>
          <cell r="AD1335">
            <v>36.763916020000003</v>
          </cell>
        </row>
        <row r="1336">
          <cell r="L1336" t="str">
            <v>الدوارة الكبيرة_جارقلي</v>
          </cell>
          <cell r="M1336" t="str">
            <v>C1998</v>
          </cell>
          <cell r="AC1336">
            <v>38.091674810000001</v>
          </cell>
          <cell r="AD1336">
            <v>36.857910160000003</v>
          </cell>
        </row>
        <row r="1337">
          <cell r="L1337" t="str">
            <v>صوانية_قملق</v>
          </cell>
          <cell r="M1337" t="str">
            <v>C1999</v>
          </cell>
          <cell r="AC1337">
            <v>38.104125979999999</v>
          </cell>
          <cell r="AD1337">
            <v>36.717102050000001</v>
          </cell>
        </row>
        <row r="1338">
          <cell r="L1338" t="str">
            <v>سيف علي</v>
          </cell>
          <cell r="M1338" t="str">
            <v>C2000</v>
          </cell>
          <cell r="AC1338">
            <v>38.145507809999998</v>
          </cell>
          <cell r="AD1338">
            <v>36.77069092</v>
          </cell>
        </row>
        <row r="1339">
          <cell r="L1339" t="str">
            <v>خربة عطو</v>
          </cell>
          <cell r="M1339" t="str">
            <v>C2001</v>
          </cell>
          <cell r="AC1339">
            <v>38.062683110000002</v>
          </cell>
          <cell r="AD1339">
            <v>36.817077640000001</v>
          </cell>
        </row>
        <row r="1340">
          <cell r="L1340" t="str">
            <v>شيوخ فوقاني</v>
          </cell>
          <cell r="M1340" t="str">
            <v>C2002</v>
          </cell>
          <cell r="AC1340">
            <v>38.047485350000002</v>
          </cell>
          <cell r="AD1340">
            <v>36.785888669999999</v>
          </cell>
        </row>
        <row r="1341">
          <cell r="L1341" t="str">
            <v>الواوية_جقل وبران</v>
          </cell>
          <cell r="M1341" t="str">
            <v>C2003</v>
          </cell>
          <cell r="AC1341">
            <v>38.166320800000001</v>
          </cell>
          <cell r="AD1341">
            <v>36.70288086</v>
          </cell>
        </row>
        <row r="1342">
          <cell r="L1342" t="str">
            <v>جب فرج كبير</v>
          </cell>
          <cell r="M1342" t="str">
            <v>C2004</v>
          </cell>
          <cell r="AC1342">
            <v>38.088073729999998</v>
          </cell>
          <cell r="AD1342">
            <v>36.793090820000003</v>
          </cell>
        </row>
        <row r="1343">
          <cell r="L1343" t="str">
            <v>دار الباز فوقاني</v>
          </cell>
          <cell r="M1343" t="str">
            <v>C2005</v>
          </cell>
          <cell r="AC1343">
            <v>38.109680179999998</v>
          </cell>
          <cell r="AD1343">
            <v>36.803710940000002</v>
          </cell>
        </row>
        <row r="1344">
          <cell r="L1344" t="str">
            <v>تعلا</v>
          </cell>
          <cell r="M1344" t="str">
            <v>C2006</v>
          </cell>
          <cell r="AC1344">
            <v>38.106872559999999</v>
          </cell>
          <cell r="AD1344">
            <v>36.780883789999997</v>
          </cell>
        </row>
        <row r="1345">
          <cell r="L1345" t="str">
            <v>شيوخ تحتاني</v>
          </cell>
          <cell r="M1345" t="str">
            <v>C2007</v>
          </cell>
          <cell r="AC1345">
            <v>38.080505369999997</v>
          </cell>
          <cell r="AD1345">
            <v>36.751525880000003</v>
          </cell>
        </row>
        <row r="1346">
          <cell r="L1346" t="str">
            <v>تل أحمر عين العرب</v>
          </cell>
          <cell r="M1346" t="str">
            <v>C2008</v>
          </cell>
          <cell r="AC1346">
            <v>38.11950684</v>
          </cell>
          <cell r="AD1346">
            <v>36.674499509999997</v>
          </cell>
        </row>
        <row r="1347">
          <cell r="L1347" t="str">
            <v>دادي_دادة لي</v>
          </cell>
          <cell r="M1347" t="str">
            <v>C2009</v>
          </cell>
          <cell r="AC1347">
            <v>38.159484859999999</v>
          </cell>
          <cell r="AD1347">
            <v>36.732299810000001</v>
          </cell>
        </row>
        <row r="1348">
          <cell r="L1348" t="str">
            <v>بلة</v>
          </cell>
          <cell r="M1348" t="str">
            <v>C2010</v>
          </cell>
          <cell r="AC1348">
            <v>38.186279300000002</v>
          </cell>
          <cell r="AD1348">
            <v>36.717529300000002</v>
          </cell>
        </row>
        <row r="1349">
          <cell r="L1349" t="str">
            <v>درب النوب</v>
          </cell>
          <cell r="M1349" t="str">
            <v>C2011</v>
          </cell>
          <cell r="AC1349">
            <v>38.151489259999998</v>
          </cell>
          <cell r="AD1349">
            <v>36.785522460000003</v>
          </cell>
        </row>
        <row r="1350">
          <cell r="L1350" t="str">
            <v>الشهامة_بندر</v>
          </cell>
          <cell r="M1350" t="str">
            <v>C2012</v>
          </cell>
          <cell r="AC1350">
            <v>38.154479979999998</v>
          </cell>
          <cell r="AD1350">
            <v>36.811889649999998</v>
          </cell>
        </row>
        <row r="1351">
          <cell r="L1351" t="str">
            <v>الحفيانة_بوغاز</v>
          </cell>
          <cell r="M1351" t="str">
            <v>C2013</v>
          </cell>
          <cell r="AC1351">
            <v>38.256713869999999</v>
          </cell>
          <cell r="AD1351">
            <v>36.72149658</v>
          </cell>
        </row>
        <row r="1352">
          <cell r="L1352" t="str">
            <v>الشمالية_بوراز أوغلي</v>
          </cell>
          <cell r="M1352" t="str">
            <v>C2014</v>
          </cell>
          <cell r="AC1352">
            <v>38.09649658</v>
          </cell>
          <cell r="AD1352">
            <v>36.729919430000002</v>
          </cell>
        </row>
        <row r="1353">
          <cell r="L1353" t="str">
            <v>تل العبر</v>
          </cell>
          <cell r="M1353" t="str">
            <v>C2015</v>
          </cell>
          <cell r="AC1353">
            <v>38.088073729999998</v>
          </cell>
          <cell r="AD1353">
            <v>36.682495119999999</v>
          </cell>
        </row>
        <row r="1354">
          <cell r="L1354" t="str">
            <v>خليل_خليلجك</v>
          </cell>
          <cell r="M1354" t="str">
            <v>C2016</v>
          </cell>
          <cell r="AC1354">
            <v>38.207702640000001</v>
          </cell>
          <cell r="AD1354">
            <v>36.720092770000001</v>
          </cell>
        </row>
        <row r="1355">
          <cell r="L1355" t="str">
            <v>مزدلفة_بستك</v>
          </cell>
          <cell r="M1355" t="str">
            <v>C2017</v>
          </cell>
          <cell r="AC1355">
            <v>38.174072270000003</v>
          </cell>
          <cell r="AD1355">
            <v>36.794311520000001</v>
          </cell>
        </row>
        <row r="1356">
          <cell r="L1356" t="str">
            <v>هلالة_كرد وسطاني</v>
          </cell>
          <cell r="M1356" t="str">
            <v>C2018</v>
          </cell>
          <cell r="AC1356">
            <v>38.233093259999997</v>
          </cell>
          <cell r="AD1356">
            <v>36.746276860000002</v>
          </cell>
        </row>
        <row r="1357">
          <cell r="L1357" t="str">
            <v>قناية</v>
          </cell>
          <cell r="M1357" t="str">
            <v>C2019</v>
          </cell>
          <cell r="AC1357">
            <v>38.126525880000003</v>
          </cell>
          <cell r="AD1357">
            <v>36.724670410000002</v>
          </cell>
        </row>
        <row r="1358">
          <cell r="L1358" t="str">
            <v>قبة</v>
          </cell>
          <cell r="M1358" t="str">
            <v>C2020</v>
          </cell>
          <cell r="AC1358">
            <v>38.156311039999999</v>
          </cell>
          <cell r="AD1358">
            <v>36.675720220000002</v>
          </cell>
        </row>
        <row r="1359">
          <cell r="L1359" t="str">
            <v>قران فوقاني</v>
          </cell>
          <cell r="M1359" t="str">
            <v>C2021</v>
          </cell>
          <cell r="AC1359">
            <v>38.112915039999997</v>
          </cell>
          <cell r="AD1359">
            <v>36.861511229999998</v>
          </cell>
        </row>
        <row r="1360">
          <cell r="L1360" t="str">
            <v>رميلة_الحنو</v>
          </cell>
          <cell r="M1360" t="str">
            <v>C2022</v>
          </cell>
          <cell r="AC1360">
            <v>38.223083500000001</v>
          </cell>
          <cell r="AD1360">
            <v>36.291503910000003</v>
          </cell>
        </row>
        <row r="1361">
          <cell r="L1361" t="str">
            <v>رمالة</v>
          </cell>
          <cell r="M1361" t="str">
            <v>C2023</v>
          </cell>
          <cell r="AC1361">
            <v>38.190307619999999</v>
          </cell>
          <cell r="AD1361">
            <v>36.357482910000002</v>
          </cell>
        </row>
        <row r="1362">
          <cell r="L1362" t="str">
            <v>تل البنات</v>
          </cell>
          <cell r="M1362" t="str">
            <v>C2024</v>
          </cell>
          <cell r="AC1362">
            <v>38.288513180000002</v>
          </cell>
          <cell r="AD1362">
            <v>36.422912599999997</v>
          </cell>
        </row>
        <row r="1363">
          <cell r="L1363" t="str">
            <v>ترمك تحتاني_ترمك شيخان تحتاني</v>
          </cell>
          <cell r="M1363" t="str">
            <v>C2025</v>
          </cell>
          <cell r="AC1363">
            <v>38.529479979999998</v>
          </cell>
          <cell r="AD1363">
            <v>36.662719729999999</v>
          </cell>
        </row>
        <row r="1364">
          <cell r="L1364" t="str">
            <v>تل الاخضر_كوكتبة تحتاني</v>
          </cell>
          <cell r="M1364" t="str">
            <v>C2026</v>
          </cell>
          <cell r="AC1364">
            <v>38.629699709999997</v>
          </cell>
          <cell r="AD1364">
            <v>36.564270020000002</v>
          </cell>
        </row>
        <row r="1365">
          <cell r="L1365" t="str">
            <v>البركة_دوبيرك</v>
          </cell>
          <cell r="M1365" t="str">
            <v>C2027</v>
          </cell>
          <cell r="AC1365">
            <v>38.5546875</v>
          </cell>
          <cell r="AD1365">
            <v>36.69049072</v>
          </cell>
        </row>
        <row r="1366">
          <cell r="L1366" t="str">
            <v>الطوق_طوقلي</v>
          </cell>
          <cell r="M1366" t="str">
            <v>C2028</v>
          </cell>
          <cell r="AC1366">
            <v>38.599304199999999</v>
          </cell>
          <cell r="AD1366">
            <v>36.48413086</v>
          </cell>
        </row>
        <row r="1367">
          <cell r="L1367" t="str">
            <v>الصفوانية_كورتك شيخان</v>
          </cell>
          <cell r="M1367" t="str">
            <v>C2029</v>
          </cell>
          <cell r="AC1367">
            <v>38.645080569999998</v>
          </cell>
          <cell r="AD1367">
            <v>36.623718259999997</v>
          </cell>
        </row>
        <row r="1368">
          <cell r="L1368" t="str">
            <v>الأعظمية_كرانة شرقي</v>
          </cell>
          <cell r="M1368" t="str">
            <v>C2030</v>
          </cell>
          <cell r="AC1368">
            <v>38.62731934</v>
          </cell>
          <cell r="AD1368">
            <v>36.41888428</v>
          </cell>
        </row>
        <row r="1369">
          <cell r="L1369" t="str">
            <v>البارودية</v>
          </cell>
          <cell r="M1369" t="str">
            <v>C2031</v>
          </cell>
          <cell r="AC1369">
            <v>38.314697270000003</v>
          </cell>
          <cell r="AD1369">
            <v>36.33752441</v>
          </cell>
        </row>
        <row r="1370">
          <cell r="L1370" t="str">
            <v>الأسد_آصلان كوي</v>
          </cell>
          <cell r="M1370" t="str">
            <v>C2032</v>
          </cell>
          <cell r="AC1370">
            <v>38.360717770000001</v>
          </cell>
          <cell r="AD1370">
            <v>36.633483890000001</v>
          </cell>
        </row>
        <row r="1371">
          <cell r="L1371" t="str">
            <v>الطيبة عين العرب</v>
          </cell>
          <cell r="M1371" t="str">
            <v>C2033</v>
          </cell>
          <cell r="AC1371">
            <v>38.600280759999997</v>
          </cell>
          <cell r="AD1371">
            <v>36.341674810000001</v>
          </cell>
        </row>
        <row r="1372">
          <cell r="L1372" t="str">
            <v>رأس العين قبلي</v>
          </cell>
          <cell r="M1372" t="str">
            <v>C2034</v>
          </cell>
          <cell r="AC1372">
            <v>38.361511229999998</v>
          </cell>
          <cell r="AD1372">
            <v>36.583923339999998</v>
          </cell>
        </row>
        <row r="1373">
          <cell r="L1373" t="str">
            <v>أم تليل</v>
          </cell>
          <cell r="M1373" t="str">
            <v>C2035</v>
          </cell>
          <cell r="AC1373">
            <v>38.569274900000003</v>
          </cell>
          <cell r="AD1373">
            <v>36.358886720000001</v>
          </cell>
        </row>
        <row r="1374">
          <cell r="L1374" t="str">
            <v>بئر بكار</v>
          </cell>
          <cell r="M1374" t="str">
            <v>C2036</v>
          </cell>
          <cell r="AC1374">
            <v>38.320129399999999</v>
          </cell>
          <cell r="AD1374">
            <v>36.413085940000002</v>
          </cell>
        </row>
        <row r="1375">
          <cell r="L1375" t="str">
            <v>خان ماميد_خان محمد</v>
          </cell>
          <cell r="M1375" t="str">
            <v>C2037</v>
          </cell>
          <cell r="AC1375">
            <v>38.485900880000003</v>
          </cell>
          <cell r="AD1375">
            <v>36.560485839999998</v>
          </cell>
        </row>
        <row r="1376">
          <cell r="L1376" t="str">
            <v>جعدة السمعاوات</v>
          </cell>
          <cell r="M1376" t="str">
            <v>C2039</v>
          </cell>
          <cell r="AC1376">
            <v>38.194885249999999</v>
          </cell>
          <cell r="AD1376">
            <v>36.679504399999999</v>
          </cell>
        </row>
        <row r="1377">
          <cell r="L1377" t="str">
            <v>خراب العاشق_خراب عشق</v>
          </cell>
          <cell r="M1377" t="str">
            <v>C2040</v>
          </cell>
          <cell r="AC1377">
            <v>38.591491699999999</v>
          </cell>
          <cell r="AD1377">
            <v>36.556701660000002</v>
          </cell>
        </row>
        <row r="1378">
          <cell r="L1378" t="str">
            <v>خراب صهريج غربية</v>
          </cell>
          <cell r="M1378" t="str">
            <v>C2041</v>
          </cell>
          <cell r="AC1378">
            <v>38.633300779999999</v>
          </cell>
          <cell r="AD1378">
            <v>36.472717289999999</v>
          </cell>
        </row>
        <row r="1379">
          <cell r="L1379" t="str">
            <v>خربة الجمل</v>
          </cell>
          <cell r="M1379" t="str">
            <v>C2042</v>
          </cell>
          <cell r="AC1379">
            <v>38.622314449999998</v>
          </cell>
          <cell r="AD1379">
            <v>36.453918459999997</v>
          </cell>
        </row>
        <row r="1380">
          <cell r="L1380" t="str">
            <v>سيفية</v>
          </cell>
          <cell r="M1380" t="str">
            <v>C2043</v>
          </cell>
          <cell r="AC1380">
            <v>38.274475099999997</v>
          </cell>
          <cell r="AD1380">
            <v>36.68127441</v>
          </cell>
        </row>
        <row r="1381">
          <cell r="L1381" t="str">
            <v>بئر دلة</v>
          </cell>
          <cell r="M1381" t="str">
            <v>C2044</v>
          </cell>
          <cell r="AC1381">
            <v>38.502685550000002</v>
          </cell>
          <cell r="AD1381">
            <v>36.34350586</v>
          </cell>
        </row>
        <row r="1382">
          <cell r="L1382" t="str">
            <v>اسكيف_كوشكار</v>
          </cell>
          <cell r="M1382" t="str">
            <v>C2045</v>
          </cell>
          <cell r="AC1382">
            <v>38.692871089999997</v>
          </cell>
          <cell r="AD1382">
            <v>36.641479490000002</v>
          </cell>
        </row>
        <row r="1383">
          <cell r="L1383" t="str">
            <v>شلال شرقي_جوخر شرقي</v>
          </cell>
          <cell r="M1383" t="str">
            <v>C2046</v>
          </cell>
          <cell r="AC1383">
            <v>38.533874509999997</v>
          </cell>
          <cell r="AD1383">
            <v>36.490722660000003</v>
          </cell>
        </row>
        <row r="1384">
          <cell r="L1384" t="str">
            <v>القادرية</v>
          </cell>
          <cell r="M1384" t="str">
            <v>C2047</v>
          </cell>
          <cell r="AC1384">
            <v>38.434875490000003</v>
          </cell>
          <cell r="AD1384">
            <v>36.360900880000003</v>
          </cell>
        </row>
        <row r="1385">
          <cell r="L1385" t="str">
            <v>البعثية_كردوشان</v>
          </cell>
          <cell r="M1385" t="str">
            <v>C2048</v>
          </cell>
          <cell r="AC1385">
            <v>38.395080569999998</v>
          </cell>
          <cell r="AD1385">
            <v>36.333679199999999</v>
          </cell>
        </row>
        <row r="1386">
          <cell r="L1386" t="str">
            <v>التوابية_كبة رب</v>
          </cell>
          <cell r="M1386" t="str">
            <v>C2049</v>
          </cell>
          <cell r="AC1386">
            <v>38.445495610000002</v>
          </cell>
          <cell r="AD1386">
            <v>36.537292479999998</v>
          </cell>
        </row>
        <row r="1387">
          <cell r="L1387" t="str">
            <v>بئر الأعمى</v>
          </cell>
          <cell r="M1387" t="str">
            <v>C2050</v>
          </cell>
          <cell r="AC1387">
            <v>38.329528809999999</v>
          </cell>
          <cell r="AD1387">
            <v>36.339721679999997</v>
          </cell>
        </row>
        <row r="1388">
          <cell r="L1388" t="str">
            <v>بئر الدم</v>
          </cell>
          <cell r="M1388" t="str">
            <v>C2051</v>
          </cell>
          <cell r="AC1388">
            <v>38.419921879999997</v>
          </cell>
          <cell r="AD1388">
            <v>36.394103999999999</v>
          </cell>
        </row>
        <row r="1389">
          <cell r="L1389" t="str">
            <v>بئر حسو_خربة كلايع</v>
          </cell>
          <cell r="M1389" t="str">
            <v>C2052</v>
          </cell>
          <cell r="AC1389">
            <v>38.238891600000002</v>
          </cell>
          <cell r="AD1389">
            <v>36.640686039999999</v>
          </cell>
        </row>
        <row r="1390">
          <cell r="L1390" t="str">
            <v>خرخري</v>
          </cell>
          <cell r="M1390" t="str">
            <v>C2053</v>
          </cell>
          <cell r="AC1390">
            <v>38.442687990000003</v>
          </cell>
          <cell r="AD1390">
            <v>36.626708979999997</v>
          </cell>
        </row>
        <row r="1391">
          <cell r="L1391" t="str">
            <v>النحاسية_قازاني</v>
          </cell>
          <cell r="M1391" t="str">
            <v>C2054</v>
          </cell>
          <cell r="AC1391">
            <v>38.61352539</v>
          </cell>
          <cell r="AD1391">
            <v>36.595886229999998</v>
          </cell>
        </row>
        <row r="1392">
          <cell r="L1392" t="str">
            <v>ضبعة كبيرة</v>
          </cell>
          <cell r="M1392" t="str">
            <v>C2055</v>
          </cell>
          <cell r="AC1392">
            <v>38.28009033</v>
          </cell>
          <cell r="AD1392">
            <v>36.492919919999999</v>
          </cell>
        </row>
        <row r="1393">
          <cell r="L1393" t="str">
            <v>الدمام_كرانة غربي</v>
          </cell>
          <cell r="M1393" t="str">
            <v>C2056</v>
          </cell>
          <cell r="AC1393">
            <v>38.584472660000003</v>
          </cell>
          <cell r="AD1393">
            <v>36.32971191</v>
          </cell>
        </row>
        <row r="1394">
          <cell r="L1394" t="str">
            <v>صهاريج الجبل</v>
          </cell>
          <cell r="M1394" t="str">
            <v>C2057</v>
          </cell>
          <cell r="AC1394">
            <v>38.364074709999997</v>
          </cell>
          <cell r="AD1394">
            <v>36.516296390000001</v>
          </cell>
        </row>
        <row r="1395">
          <cell r="L1395" t="str">
            <v>صنع</v>
          </cell>
          <cell r="M1395" t="str">
            <v>C2058</v>
          </cell>
          <cell r="AC1395">
            <v>38.262329100000002</v>
          </cell>
          <cell r="AD1395">
            <v>36.63647461</v>
          </cell>
        </row>
        <row r="1396">
          <cell r="L1396" t="str">
            <v>حفيان</v>
          </cell>
          <cell r="M1396" t="str">
            <v>C2059</v>
          </cell>
          <cell r="AC1396">
            <v>38.315917970000001</v>
          </cell>
          <cell r="AD1396">
            <v>36.513671879999997</v>
          </cell>
        </row>
        <row r="1397">
          <cell r="L1397" t="str">
            <v>صفيط</v>
          </cell>
          <cell r="M1397" t="str">
            <v>C2060</v>
          </cell>
          <cell r="AC1397">
            <v>38.332885740000002</v>
          </cell>
          <cell r="AD1397">
            <v>36.465698240000002</v>
          </cell>
        </row>
        <row r="1398">
          <cell r="L1398" t="str">
            <v>الجورات_جور تانك</v>
          </cell>
          <cell r="M1398" t="str">
            <v>C2061</v>
          </cell>
          <cell r="AC1398">
            <v>38.566101070000002</v>
          </cell>
          <cell r="AD1398">
            <v>36.470092770000001</v>
          </cell>
        </row>
        <row r="1399">
          <cell r="L1399" t="str">
            <v>حلنجة</v>
          </cell>
          <cell r="M1399" t="str">
            <v>C2062</v>
          </cell>
          <cell r="AC1399">
            <v>38.284728999999999</v>
          </cell>
          <cell r="AD1399">
            <v>36.367492679999998</v>
          </cell>
        </row>
        <row r="1400">
          <cell r="L1400" t="str">
            <v>الجبلة_برداغ</v>
          </cell>
          <cell r="M1400" t="str">
            <v>C2063</v>
          </cell>
          <cell r="AC1400">
            <v>38.584716800000002</v>
          </cell>
          <cell r="AD1400">
            <v>36.43908691</v>
          </cell>
        </row>
        <row r="1401">
          <cell r="L1401" t="str">
            <v>ابراهيمية_كوكتبة فوقاني</v>
          </cell>
          <cell r="M1401" t="str">
            <v>C2064</v>
          </cell>
          <cell r="AC1401">
            <v>38.632873539999999</v>
          </cell>
          <cell r="AD1401">
            <v>36.573486330000001</v>
          </cell>
        </row>
        <row r="1402">
          <cell r="L1402" t="str">
            <v>شكيف</v>
          </cell>
          <cell r="M1402" t="str">
            <v>C2065</v>
          </cell>
          <cell r="AC1402">
            <v>38.416320800000001</v>
          </cell>
          <cell r="AD1402">
            <v>36.52252197</v>
          </cell>
        </row>
        <row r="1403">
          <cell r="L1403" t="str">
            <v>شيخ غالي</v>
          </cell>
          <cell r="M1403" t="str">
            <v>C2066</v>
          </cell>
          <cell r="AC1403">
            <v>38.629272460000003</v>
          </cell>
          <cell r="AD1403">
            <v>36.68267822</v>
          </cell>
        </row>
        <row r="1404">
          <cell r="L1404" t="str">
            <v>حمدون</v>
          </cell>
          <cell r="M1404" t="str">
            <v>C2067</v>
          </cell>
          <cell r="AC1404">
            <v>38.463500979999999</v>
          </cell>
          <cell r="AD1404">
            <v>36.586914059999998</v>
          </cell>
        </row>
        <row r="1405">
          <cell r="L1405" t="str">
            <v>الجلبية</v>
          </cell>
          <cell r="M1405" t="str">
            <v>C2068</v>
          </cell>
          <cell r="AC1405">
            <v>38.612487790000003</v>
          </cell>
          <cell r="AD1405">
            <v>36.575317380000001</v>
          </cell>
        </row>
        <row r="1406">
          <cell r="L1406" t="str">
            <v>الداوودية_كيك دادا</v>
          </cell>
          <cell r="M1406" t="str">
            <v>C2069</v>
          </cell>
          <cell r="AC1406">
            <v>38.259704589999998</v>
          </cell>
          <cell r="AD1406">
            <v>36.653076169999999</v>
          </cell>
        </row>
        <row r="1407">
          <cell r="L1407" t="str">
            <v>جولان_قرة قوزاق</v>
          </cell>
          <cell r="M1407" t="str">
            <v>C2070</v>
          </cell>
          <cell r="AC1407">
            <v>38.218688970000002</v>
          </cell>
          <cell r="AD1407">
            <v>36.641296390000001</v>
          </cell>
        </row>
        <row r="1408">
          <cell r="L1408" t="str">
            <v>المعروفة_صايكولة</v>
          </cell>
          <cell r="M1408" t="str">
            <v>C2071</v>
          </cell>
          <cell r="AC1408">
            <v>38.492309570000003</v>
          </cell>
          <cell r="AD1408">
            <v>36.250305179999998</v>
          </cell>
        </row>
        <row r="1409">
          <cell r="L1409" t="str">
            <v>شلال غربي_جوخر غربي</v>
          </cell>
          <cell r="M1409" t="str">
            <v>C2072</v>
          </cell>
          <cell r="AC1409">
            <v>38.52368164</v>
          </cell>
          <cell r="AD1409">
            <v>36.49127197</v>
          </cell>
        </row>
        <row r="1410">
          <cell r="L1410" t="str">
            <v>خربة الكافر_كاور خراب</v>
          </cell>
          <cell r="M1410" t="str">
            <v>C2073</v>
          </cell>
          <cell r="AC1410">
            <v>38.290100099999997</v>
          </cell>
          <cell r="AD1410">
            <v>36.628723149999999</v>
          </cell>
        </row>
        <row r="1411">
          <cell r="L1411" t="str">
            <v>صرين</v>
          </cell>
          <cell r="M1411" t="str">
            <v>C2074</v>
          </cell>
          <cell r="AC1411">
            <v>38.301086429999998</v>
          </cell>
          <cell r="AD1411">
            <v>36.585876470000002</v>
          </cell>
        </row>
        <row r="1412">
          <cell r="L1412" t="str">
            <v>زريك</v>
          </cell>
          <cell r="M1412" t="str">
            <v>C2075</v>
          </cell>
          <cell r="AC1412">
            <v>38.299316410000003</v>
          </cell>
          <cell r="AD1412">
            <v>36.67669678</v>
          </cell>
        </row>
        <row r="1413">
          <cell r="L1413" t="str">
            <v>درب التخت</v>
          </cell>
          <cell r="M1413" t="str">
            <v>C2076</v>
          </cell>
          <cell r="AC1413">
            <v>38.510498050000002</v>
          </cell>
          <cell r="AD1413">
            <v>36.5020752</v>
          </cell>
        </row>
        <row r="1414">
          <cell r="L1414" t="str">
            <v>الأخوة_أوج قارداش فوقاني</v>
          </cell>
          <cell r="M1414" t="str">
            <v>C2077</v>
          </cell>
          <cell r="AC1414">
            <v>38.572509770000003</v>
          </cell>
          <cell r="AD1414">
            <v>36.640502929999997</v>
          </cell>
        </row>
        <row r="1415">
          <cell r="L1415" t="str">
            <v>الحقل_بوجاق</v>
          </cell>
          <cell r="M1415" t="str">
            <v>C2078</v>
          </cell>
          <cell r="AC1415">
            <v>38.28790283</v>
          </cell>
          <cell r="AD1415">
            <v>36.517883300000001</v>
          </cell>
        </row>
        <row r="1416">
          <cell r="L1416" t="str">
            <v>ساق</v>
          </cell>
          <cell r="M1416" t="str">
            <v>C2079</v>
          </cell>
          <cell r="AC1416">
            <v>38.423278809999999</v>
          </cell>
          <cell r="AD1416">
            <v>36.616699220000001</v>
          </cell>
        </row>
        <row r="1417">
          <cell r="L1417" t="str">
            <v>السهم_شيش</v>
          </cell>
          <cell r="M1417" t="str">
            <v>C2080</v>
          </cell>
          <cell r="AC1417">
            <v>38.667907720000002</v>
          </cell>
          <cell r="AD1417">
            <v>36.595520020000002</v>
          </cell>
        </row>
        <row r="1418">
          <cell r="L1418" t="str">
            <v>السيدة_خاتونية</v>
          </cell>
          <cell r="M1418" t="str">
            <v>C2081</v>
          </cell>
          <cell r="AC1418">
            <v>38.355896000000001</v>
          </cell>
          <cell r="AD1418">
            <v>36.462707520000002</v>
          </cell>
        </row>
        <row r="1419">
          <cell r="L1419" t="str">
            <v>السياحة_صايكول غربي</v>
          </cell>
          <cell r="M1419" t="str">
            <v>C2082</v>
          </cell>
          <cell r="AC1419">
            <v>38.35913086</v>
          </cell>
          <cell r="AD1419">
            <v>36.382873539999999</v>
          </cell>
        </row>
        <row r="1420">
          <cell r="L1420" t="str">
            <v>أبو دعمة_المسعودية</v>
          </cell>
          <cell r="M1420" t="str">
            <v>C2083</v>
          </cell>
          <cell r="AC1420">
            <v>38.260681150000003</v>
          </cell>
          <cell r="AD1420">
            <v>36.416076660000002</v>
          </cell>
        </row>
        <row r="1421">
          <cell r="L1421" t="str">
            <v>العمرية_أومرك</v>
          </cell>
          <cell r="M1421" t="str">
            <v>C2084</v>
          </cell>
          <cell r="AC1421">
            <v>38.38830566</v>
          </cell>
          <cell r="AD1421">
            <v>36.642272949999999</v>
          </cell>
        </row>
        <row r="1422">
          <cell r="L1422" t="str">
            <v>خشخاش كبير</v>
          </cell>
          <cell r="M1422" t="str">
            <v>C2085</v>
          </cell>
          <cell r="AC1422">
            <v>38.235717770000001</v>
          </cell>
          <cell r="AD1422">
            <v>36.400085449999999</v>
          </cell>
        </row>
        <row r="1423">
          <cell r="L1423" t="str">
            <v>خشخاش صغير</v>
          </cell>
          <cell r="M1423" t="str">
            <v>C2086</v>
          </cell>
          <cell r="AC1423">
            <v>38.246521000000001</v>
          </cell>
          <cell r="AD1423">
            <v>36.401306150000003</v>
          </cell>
        </row>
        <row r="1424">
          <cell r="L1424" t="str">
            <v>باب الحديد_دامر قابوسي</v>
          </cell>
          <cell r="M1424" t="str">
            <v>C2087</v>
          </cell>
          <cell r="AC1424">
            <v>38.540527339999997</v>
          </cell>
          <cell r="AD1424">
            <v>36.470703129999997</v>
          </cell>
        </row>
        <row r="1425">
          <cell r="L1425" t="str">
            <v>الخاروفية_برج بطان</v>
          </cell>
          <cell r="M1425" t="str">
            <v>C2088</v>
          </cell>
          <cell r="AC1425">
            <v>38.278076169999999</v>
          </cell>
          <cell r="AD1425">
            <v>36.698913570000002</v>
          </cell>
        </row>
        <row r="1426">
          <cell r="L1426" t="str">
            <v>بئر رش_كيتكان</v>
          </cell>
          <cell r="M1426" t="str">
            <v>C2089</v>
          </cell>
          <cell r="AC1426">
            <v>38.370483399999998</v>
          </cell>
          <cell r="AD1426">
            <v>36.699523929999998</v>
          </cell>
        </row>
        <row r="1427">
          <cell r="L1427" t="str">
            <v>خروص</v>
          </cell>
          <cell r="M1427" t="str">
            <v>C2090</v>
          </cell>
          <cell r="AC1427">
            <v>38.23669434</v>
          </cell>
          <cell r="AD1427">
            <v>36.673889160000002</v>
          </cell>
        </row>
        <row r="1428">
          <cell r="L1428" t="str">
            <v>سفرية</v>
          </cell>
          <cell r="M1428" t="str">
            <v>C2091</v>
          </cell>
          <cell r="AC1428">
            <v>38.649108890000001</v>
          </cell>
          <cell r="AD1428">
            <v>36.523925779999999</v>
          </cell>
        </row>
        <row r="1429">
          <cell r="L1429" t="str">
            <v>بئر عبيدو_بئرعبد الرحمن</v>
          </cell>
          <cell r="M1429" t="str">
            <v>C2092</v>
          </cell>
          <cell r="AC1429">
            <v>38.567871089999997</v>
          </cell>
          <cell r="AD1429">
            <v>36.455688479999999</v>
          </cell>
        </row>
        <row r="1430">
          <cell r="L1430" t="str">
            <v>دندوشان</v>
          </cell>
          <cell r="M1430" t="str">
            <v>C2093</v>
          </cell>
          <cell r="AC1430">
            <v>38.454895020000002</v>
          </cell>
          <cell r="AD1430">
            <v>36.426086429999998</v>
          </cell>
        </row>
        <row r="1431">
          <cell r="L1431" t="str">
            <v>بئر محلي</v>
          </cell>
          <cell r="M1431" t="str">
            <v>C2094</v>
          </cell>
          <cell r="AC1431">
            <v>38.413696289999997</v>
          </cell>
          <cell r="AD1431">
            <v>36.561096190000001</v>
          </cell>
        </row>
        <row r="1432">
          <cell r="L1432" t="str">
            <v>متين</v>
          </cell>
          <cell r="M1432" t="str">
            <v>C2096</v>
          </cell>
          <cell r="AC1432">
            <v>38.675903320000003</v>
          </cell>
          <cell r="AD1432">
            <v>36.628723149999999</v>
          </cell>
        </row>
        <row r="1433">
          <cell r="L1433" t="str">
            <v>نور علي</v>
          </cell>
          <cell r="M1433" t="str">
            <v>C2097</v>
          </cell>
          <cell r="AC1433">
            <v>38.348693849999997</v>
          </cell>
          <cell r="AD1433">
            <v>36.631530759999997</v>
          </cell>
        </row>
        <row r="1434">
          <cell r="L1434" t="str">
            <v>هيالة_كويك</v>
          </cell>
          <cell r="M1434" t="str">
            <v>C2098</v>
          </cell>
          <cell r="AC1434">
            <v>38.41131592</v>
          </cell>
          <cell r="AD1434">
            <v>36.535705569999998</v>
          </cell>
        </row>
        <row r="1435">
          <cell r="L1435" t="str">
            <v>كميت كبيرة_كوجه كميت كبيرة</v>
          </cell>
          <cell r="M1435" t="str">
            <v>C2099</v>
          </cell>
          <cell r="AC1435">
            <v>38.620483399999998</v>
          </cell>
          <cell r="AD1435">
            <v>36.530517580000001</v>
          </cell>
        </row>
        <row r="1436">
          <cell r="L1436" t="str">
            <v>وادي النور_كور وادين</v>
          </cell>
          <cell r="M1436" t="str">
            <v>C2100</v>
          </cell>
          <cell r="AC1436">
            <v>38.352294919999999</v>
          </cell>
          <cell r="AD1436">
            <v>36.276916499999999</v>
          </cell>
        </row>
        <row r="1437">
          <cell r="L1437" t="str">
            <v>مأوى فوقاني_خانيك فوقاني</v>
          </cell>
          <cell r="M1437" t="str">
            <v>C2101</v>
          </cell>
          <cell r="AC1437">
            <v>38.499694820000002</v>
          </cell>
          <cell r="AD1437">
            <v>36.672485350000002</v>
          </cell>
        </row>
        <row r="1438">
          <cell r="L1438" t="str">
            <v>فجر فوقاني</v>
          </cell>
          <cell r="M1438" t="str">
            <v>C2102</v>
          </cell>
          <cell r="AC1438">
            <v>38.415527339999997</v>
          </cell>
          <cell r="AD1438">
            <v>36.695678710000003</v>
          </cell>
        </row>
        <row r="1439">
          <cell r="L1439" t="str">
            <v>مسرب</v>
          </cell>
          <cell r="M1439" t="str">
            <v>C2103</v>
          </cell>
          <cell r="AC1439">
            <v>38.302307130000003</v>
          </cell>
          <cell r="AD1439">
            <v>36.453308110000002</v>
          </cell>
        </row>
        <row r="1440">
          <cell r="L1440" t="str">
            <v>كوفيان</v>
          </cell>
          <cell r="M1440" t="str">
            <v>C2104</v>
          </cell>
          <cell r="AC1440">
            <v>38.382690429999997</v>
          </cell>
          <cell r="AD1440">
            <v>36.710510249999999</v>
          </cell>
        </row>
        <row r="1441">
          <cell r="L1441" t="str">
            <v>ياراماز</v>
          </cell>
          <cell r="M1441" t="str">
            <v>C2105</v>
          </cell>
          <cell r="AC1441">
            <v>38.293701169999999</v>
          </cell>
          <cell r="AD1441">
            <v>36.728271479999997</v>
          </cell>
        </row>
        <row r="1442">
          <cell r="L1442" t="str">
            <v>متراس</v>
          </cell>
          <cell r="M1442" t="str">
            <v>C2106</v>
          </cell>
          <cell r="AC1442">
            <v>38.308105470000001</v>
          </cell>
          <cell r="AD1442">
            <v>36.620300290000003</v>
          </cell>
        </row>
        <row r="1443">
          <cell r="L1443" t="str">
            <v>مويلح</v>
          </cell>
          <cell r="M1443" t="str">
            <v>C2107</v>
          </cell>
          <cell r="AC1443">
            <v>38.328674319999998</v>
          </cell>
          <cell r="AD1443">
            <v>36.487304690000002</v>
          </cell>
        </row>
        <row r="1444">
          <cell r="L1444" t="str">
            <v>ملحة</v>
          </cell>
          <cell r="M1444" t="str">
            <v>C2108</v>
          </cell>
          <cell r="AC1444">
            <v>38.3046875</v>
          </cell>
          <cell r="AD1444">
            <v>36.536682130000003</v>
          </cell>
        </row>
        <row r="1445">
          <cell r="L1445" t="str">
            <v>كريدان</v>
          </cell>
          <cell r="M1445" t="str">
            <v>C2109</v>
          </cell>
          <cell r="AC1445">
            <v>38.396301270000002</v>
          </cell>
          <cell r="AD1445">
            <v>36.416503910000003</v>
          </cell>
        </row>
        <row r="1446">
          <cell r="L1446" t="str">
            <v>قصق شمالي</v>
          </cell>
          <cell r="M1446" t="str">
            <v>C2110</v>
          </cell>
          <cell r="AC1446">
            <v>38.280517580000001</v>
          </cell>
          <cell r="AD1446">
            <v>36.559692380000001</v>
          </cell>
        </row>
        <row r="1447">
          <cell r="L1447" t="str">
            <v>مند_مندك</v>
          </cell>
          <cell r="M1447" t="str">
            <v>C2111</v>
          </cell>
          <cell r="AC1447">
            <v>38.490478520000003</v>
          </cell>
          <cell r="AD1447">
            <v>36.614074709999997</v>
          </cell>
        </row>
        <row r="1448">
          <cell r="L1448" t="str">
            <v>منسية</v>
          </cell>
          <cell r="M1448" t="str">
            <v>C2112</v>
          </cell>
          <cell r="AC1448">
            <v>38.305908199999998</v>
          </cell>
          <cell r="AD1448">
            <v>36.49609375</v>
          </cell>
        </row>
        <row r="1449">
          <cell r="L1449" t="str">
            <v>منيف</v>
          </cell>
          <cell r="M1449" t="str">
            <v>C2113</v>
          </cell>
          <cell r="AC1449">
            <v>38.526123050000002</v>
          </cell>
          <cell r="AD1449">
            <v>36.574523929999998</v>
          </cell>
        </row>
        <row r="1450">
          <cell r="L1450" t="str">
            <v>قولانة</v>
          </cell>
          <cell r="M1450" t="str">
            <v>C2114</v>
          </cell>
          <cell r="AC1450">
            <v>38.521301270000002</v>
          </cell>
          <cell r="AD1450">
            <v>36.450073240000002</v>
          </cell>
        </row>
        <row r="1451">
          <cell r="L1451" t="str">
            <v>كرك</v>
          </cell>
          <cell r="M1451" t="str">
            <v>C2115</v>
          </cell>
          <cell r="AC1451">
            <v>38.39611816</v>
          </cell>
          <cell r="AD1451">
            <v>36.610473630000001</v>
          </cell>
        </row>
        <row r="1452">
          <cell r="L1452" t="str">
            <v>قلعة حديد</v>
          </cell>
          <cell r="M1452" t="str">
            <v>C2116</v>
          </cell>
          <cell r="AC1452">
            <v>38.332519529999999</v>
          </cell>
          <cell r="AD1452">
            <v>36.639526369999999</v>
          </cell>
        </row>
        <row r="1453">
          <cell r="L1453" t="str">
            <v>ناقوط</v>
          </cell>
          <cell r="M1453" t="str">
            <v>C2117</v>
          </cell>
          <cell r="AC1453">
            <v>38.313476559999998</v>
          </cell>
          <cell r="AD1453">
            <v>36.371276860000002</v>
          </cell>
        </row>
        <row r="1454">
          <cell r="L1454" t="str">
            <v>قلعة رش</v>
          </cell>
          <cell r="M1454" t="str">
            <v>C2118</v>
          </cell>
          <cell r="AC1454">
            <v>38.33868408</v>
          </cell>
          <cell r="AD1454">
            <v>36.66247559</v>
          </cell>
        </row>
        <row r="1455">
          <cell r="L1455" t="str">
            <v>مزغنة</v>
          </cell>
          <cell r="M1455" t="str">
            <v>C2119</v>
          </cell>
          <cell r="AC1455">
            <v>38.578491210000003</v>
          </cell>
          <cell r="AD1455">
            <v>36.499694820000002</v>
          </cell>
        </row>
        <row r="1456">
          <cell r="L1456" t="str">
            <v>مروح عين العرب</v>
          </cell>
          <cell r="M1456" t="str">
            <v>C2120</v>
          </cell>
          <cell r="AC1456">
            <v>38.393127440000001</v>
          </cell>
          <cell r="AD1456">
            <v>36.496887209999997</v>
          </cell>
        </row>
        <row r="1457">
          <cell r="L1457" t="str">
            <v>قراط</v>
          </cell>
          <cell r="M1457" t="str">
            <v>C2121</v>
          </cell>
          <cell r="AC1457">
            <v>38.378723149999999</v>
          </cell>
          <cell r="AD1457">
            <v>36.611083979999997</v>
          </cell>
        </row>
        <row r="1458">
          <cell r="L1458" t="str">
            <v>ميل</v>
          </cell>
          <cell r="M1458" t="str">
            <v>C2122</v>
          </cell>
          <cell r="AC1458">
            <v>38.549316410000003</v>
          </cell>
          <cell r="AD1458">
            <v>36.611328129999997</v>
          </cell>
        </row>
        <row r="1459">
          <cell r="L1459" t="str">
            <v>ريان</v>
          </cell>
          <cell r="M1459" t="str">
            <v>C2123</v>
          </cell>
          <cell r="AC1459">
            <v>37.421325680000002</v>
          </cell>
          <cell r="AD1459">
            <v>36.152709960000003</v>
          </cell>
        </row>
        <row r="1460">
          <cell r="L1460" t="str">
            <v>أم العمد السفيرة</v>
          </cell>
          <cell r="M1460" t="str">
            <v>C2124</v>
          </cell>
          <cell r="AC1460">
            <v>37.41912842</v>
          </cell>
          <cell r="AD1460">
            <v>36.18267822</v>
          </cell>
        </row>
        <row r="1461">
          <cell r="L1461" t="str">
            <v>تل حاصل</v>
          </cell>
          <cell r="M1461" t="str">
            <v>C2125</v>
          </cell>
          <cell r="AC1461">
            <v>37.312927250000001</v>
          </cell>
          <cell r="AD1461">
            <v>36.145080569999998</v>
          </cell>
        </row>
        <row r="1462">
          <cell r="L1462" t="str">
            <v>الحتاني</v>
          </cell>
          <cell r="M1462" t="str">
            <v>C2126</v>
          </cell>
          <cell r="AC1462">
            <v>37.27893066</v>
          </cell>
          <cell r="AD1462">
            <v>36.091674810000001</v>
          </cell>
        </row>
        <row r="1463">
          <cell r="L1463" t="str">
            <v>زعلانة</v>
          </cell>
          <cell r="M1463" t="str">
            <v>C2128</v>
          </cell>
          <cell r="AC1463">
            <v>37.362487790000003</v>
          </cell>
          <cell r="AD1463">
            <v>36.18450928</v>
          </cell>
        </row>
        <row r="1464">
          <cell r="L1464" t="str">
            <v>بلاط</v>
          </cell>
          <cell r="M1464" t="str">
            <v>C2129</v>
          </cell>
          <cell r="AC1464">
            <v>37.35388184</v>
          </cell>
          <cell r="AD1464">
            <v>36.158874509999997</v>
          </cell>
        </row>
        <row r="1465">
          <cell r="L1465" t="str">
            <v>عقربة</v>
          </cell>
          <cell r="M1465" t="str">
            <v>C2130</v>
          </cell>
          <cell r="AC1465">
            <v>37.411682130000003</v>
          </cell>
          <cell r="AD1465">
            <v>35.958496089999997</v>
          </cell>
        </row>
        <row r="1466">
          <cell r="L1466" t="str">
            <v>حكلة</v>
          </cell>
          <cell r="M1466" t="str">
            <v>C2131</v>
          </cell>
          <cell r="AC1466">
            <v>37.541320800000001</v>
          </cell>
          <cell r="AD1466">
            <v>35.99768066</v>
          </cell>
        </row>
        <row r="1467">
          <cell r="L1467" t="str">
            <v>عقربوز</v>
          </cell>
          <cell r="M1467" t="str">
            <v>C2132</v>
          </cell>
          <cell r="AC1467">
            <v>37.475097660000003</v>
          </cell>
          <cell r="AD1467">
            <v>36.040527339999997</v>
          </cell>
        </row>
        <row r="1468">
          <cell r="L1468" t="str">
            <v>تل علم</v>
          </cell>
          <cell r="M1468" t="str">
            <v>C2133</v>
          </cell>
          <cell r="AC1468">
            <v>37.384704589999998</v>
          </cell>
          <cell r="AD1468">
            <v>36.176513669999999</v>
          </cell>
        </row>
        <row r="1469">
          <cell r="L1469" t="str">
            <v>تل عابور</v>
          </cell>
          <cell r="M1469" t="str">
            <v>C2134</v>
          </cell>
          <cell r="AC1469">
            <v>37.295898440000002</v>
          </cell>
          <cell r="AD1469">
            <v>36.098876949999998</v>
          </cell>
        </row>
        <row r="1470">
          <cell r="L1470" t="str">
            <v>بيدورة</v>
          </cell>
          <cell r="M1470" t="str">
            <v>C2135</v>
          </cell>
          <cell r="AC1470">
            <v>37.397888180000002</v>
          </cell>
          <cell r="AD1470">
            <v>36.159301759999998</v>
          </cell>
        </row>
        <row r="1471">
          <cell r="L1471" t="str">
            <v>جلغوم</v>
          </cell>
          <cell r="M1471" t="str">
            <v>C2136</v>
          </cell>
          <cell r="AC1471">
            <v>37.518493650000003</v>
          </cell>
          <cell r="AD1471">
            <v>36.009704589999998</v>
          </cell>
        </row>
        <row r="1472">
          <cell r="L1472" t="str">
            <v>تل عرن</v>
          </cell>
          <cell r="M1472" t="str">
            <v>C2137</v>
          </cell>
          <cell r="AC1472">
            <v>37.339294430000002</v>
          </cell>
          <cell r="AD1472">
            <v>36.122497559999999</v>
          </cell>
        </row>
        <row r="1473">
          <cell r="L1473" t="str">
            <v>صماد</v>
          </cell>
          <cell r="M1473" t="str">
            <v>C2138</v>
          </cell>
          <cell r="AC1473">
            <v>37.531311039999999</v>
          </cell>
          <cell r="AD1473">
            <v>35.959472660000003</v>
          </cell>
        </row>
        <row r="1474">
          <cell r="L1474" t="str">
            <v>حبشية</v>
          </cell>
          <cell r="M1474" t="str">
            <v>C2139</v>
          </cell>
          <cell r="AC1474">
            <v>37.454101559999998</v>
          </cell>
          <cell r="AD1474">
            <v>35.992919919999999</v>
          </cell>
        </row>
        <row r="1475">
          <cell r="L1475" t="str">
            <v>برج الرمان</v>
          </cell>
          <cell r="M1475" t="str">
            <v>C2140</v>
          </cell>
          <cell r="AC1475">
            <v>37.45587158</v>
          </cell>
          <cell r="AD1475">
            <v>35.950500490000003</v>
          </cell>
        </row>
        <row r="1476">
          <cell r="L1476" t="str">
            <v>العميرية</v>
          </cell>
          <cell r="M1476" t="str">
            <v>C2141</v>
          </cell>
          <cell r="AC1476">
            <v>37.442871089999997</v>
          </cell>
          <cell r="AD1476">
            <v>35.940307619999999</v>
          </cell>
        </row>
        <row r="1477">
          <cell r="L1477" t="str">
            <v>أبو صفيطة</v>
          </cell>
          <cell r="M1477" t="str">
            <v>C2142</v>
          </cell>
          <cell r="AC1477">
            <v>37.282470699999998</v>
          </cell>
          <cell r="AD1477">
            <v>36.108093259999997</v>
          </cell>
        </row>
        <row r="1478">
          <cell r="L1478" t="str">
            <v>باشكوي سفيرة</v>
          </cell>
          <cell r="M1478" t="str">
            <v>C2143</v>
          </cell>
          <cell r="AC1478">
            <v>37.307128910000003</v>
          </cell>
          <cell r="AD1478">
            <v>36.041076660000002</v>
          </cell>
        </row>
        <row r="1479">
          <cell r="L1479" t="str">
            <v>أبو دريخة السفيرة</v>
          </cell>
          <cell r="M1479" t="str">
            <v>C2144</v>
          </cell>
          <cell r="AC1479">
            <v>37.481323240000002</v>
          </cell>
          <cell r="AD1479">
            <v>36.030273440000002</v>
          </cell>
        </row>
        <row r="1480">
          <cell r="L1480" t="str">
            <v>تركان</v>
          </cell>
          <cell r="M1480" t="str">
            <v>C2145</v>
          </cell>
          <cell r="AC1480">
            <v>37.259704589999998</v>
          </cell>
          <cell r="AD1480">
            <v>36.105896000000001</v>
          </cell>
        </row>
        <row r="1481">
          <cell r="L1481" t="str">
            <v>عين عسان</v>
          </cell>
          <cell r="M1481" t="str">
            <v>C2146</v>
          </cell>
          <cell r="AC1481">
            <v>37.224487310000001</v>
          </cell>
          <cell r="AD1481">
            <v>36.052124020000001</v>
          </cell>
        </row>
        <row r="1482">
          <cell r="L1482" t="str">
            <v>تل اصطبل</v>
          </cell>
          <cell r="M1482" t="str">
            <v>C2147</v>
          </cell>
          <cell r="AC1482">
            <v>37.442687990000003</v>
          </cell>
          <cell r="AD1482">
            <v>36.130676270000002</v>
          </cell>
        </row>
        <row r="1483">
          <cell r="L1483" t="str">
            <v>ام عامود</v>
          </cell>
          <cell r="M1483" t="str">
            <v>C2148</v>
          </cell>
          <cell r="AC1483">
            <v>37.550109859999999</v>
          </cell>
          <cell r="AD1483">
            <v>35.975524900000003</v>
          </cell>
        </row>
        <row r="1484">
          <cell r="L1484" t="str">
            <v>أبو جرين السفيرة</v>
          </cell>
          <cell r="M1484" t="str">
            <v>C2149</v>
          </cell>
          <cell r="AC1484">
            <v>37.445922850000002</v>
          </cell>
          <cell r="AD1484">
            <v>36.049682619999999</v>
          </cell>
        </row>
        <row r="1485">
          <cell r="L1485" t="str">
            <v>جفرة الحص</v>
          </cell>
          <cell r="M1485" t="str">
            <v>C2150</v>
          </cell>
          <cell r="AC1485">
            <v>37.465515140000001</v>
          </cell>
          <cell r="AD1485">
            <v>35.931518560000001</v>
          </cell>
        </row>
        <row r="1486">
          <cell r="L1486" t="str">
            <v>جلاغيم</v>
          </cell>
          <cell r="M1486" t="str">
            <v>C2151</v>
          </cell>
          <cell r="AC1486">
            <v>37.357482910000002</v>
          </cell>
          <cell r="AD1486">
            <v>36.018493650000003</v>
          </cell>
        </row>
        <row r="1487">
          <cell r="L1487" t="str">
            <v>رضوانية</v>
          </cell>
          <cell r="M1487" t="str">
            <v>C2152</v>
          </cell>
          <cell r="AC1487">
            <v>37.427307130000003</v>
          </cell>
          <cell r="AD1487">
            <v>36.16107178</v>
          </cell>
        </row>
        <row r="1488">
          <cell r="L1488" t="str">
            <v>عين سابل</v>
          </cell>
          <cell r="M1488" t="str">
            <v>C2153</v>
          </cell>
          <cell r="AC1488">
            <v>37.41131592</v>
          </cell>
          <cell r="AD1488">
            <v>36.137329100000002</v>
          </cell>
        </row>
        <row r="1489">
          <cell r="L1489" t="str">
            <v>السفيرة</v>
          </cell>
          <cell r="M1489" t="str">
            <v>C2154</v>
          </cell>
          <cell r="AC1489">
            <v>37.369079589999998</v>
          </cell>
          <cell r="AD1489">
            <v>36.083129880000001</v>
          </cell>
        </row>
        <row r="1490">
          <cell r="L1490" t="str">
            <v>حويجينة</v>
          </cell>
          <cell r="M1490" t="str">
            <v>C2155</v>
          </cell>
          <cell r="AC1490">
            <v>37.443115229999997</v>
          </cell>
          <cell r="AD1490">
            <v>36.110900880000003</v>
          </cell>
        </row>
        <row r="1491">
          <cell r="L1491" t="str">
            <v>زنيان</v>
          </cell>
          <cell r="M1491" t="str">
            <v>C2156</v>
          </cell>
          <cell r="AC1491">
            <v>37.406921390000001</v>
          </cell>
          <cell r="AD1491">
            <v>35.986083979999997</v>
          </cell>
        </row>
        <row r="1492">
          <cell r="L1492" t="str">
            <v>طاط</v>
          </cell>
          <cell r="M1492" t="str">
            <v>C2157</v>
          </cell>
          <cell r="AC1492">
            <v>37.449279789999999</v>
          </cell>
          <cell r="AD1492">
            <v>35.970886229999998</v>
          </cell>
        </row>
        <row r="1493">
          <cell r="L1493" t="str">
            <v>جنيد</v>
          </cell>
          <cell r="M1493" t="str">
            <v>C2158</v>
          </cell>
          <cell r="AC1493">
            <v>37.511901860000002</v>
          </cell>
          <cell r="AD1493">
            <v>35.997070309999998</v>
          </cell>
        </row>
        <row r="1494">
          <cell r="L1494" t="str">
            <v>مصيدة</v>
          </cell>
          <cell r="M1494" t="str">
            <v>C2159</v>
          </cell>
          <cell r="AC1494">
            <v>37.438903809999999</v>
          </cell>
          <cell r="AD1494">
            <v>35.997497559999999</v>
          </cell>
        </row>
        <row r="1495">
          <cell r="L1495" t="str">
            <v>قبتين</v>
          </cell>
          <cell r="M1495" t="str">
            <v>C2160</v>
          </cell>
          <cell r="AC1495">
            <v>37.482482910000002</v>
          </cell>
          <cell r="AD1495">
            <v>36.008300779999999</v>
          </cell>
        </row>
        <row r="1496">
          <cell r="L1496" t="str">
            <v>فجدان</v>
          </cell>
          <cell r="M1496" t="str">
            <v>C2161</v>
          </cell>
          <cell r="AC1496">
            <v>37.513488770000002</v>
          </cell>
          <cell r="AD1496">
            <v>35.928894040000003</v>
          </cell>
        </row>
        <row r="1497">
          <cell r="L1497" t="str">
            <v>كبارة</v>
          </cell>
          <cell r="M1497" t="str">
            <v>C2162</v>
          </cell>
          <cell r="AC1497">
            <v>37.379089360000002</v>
          </cell>
          <cell r="AD1497">
            <v>36.161682130000003</v>
          </cell>
        </row>
        <row r="1498">
          <cell r="L1498" t="str">
            <v>قصير الورد</v>
          </cell>
          <cell r="M1498" t="str">
            <v>C2163</v>
          </cell>
          <cell r="AC1498">
            <v>37.455505369999997</v>
          </cell>
          <cell r="AD1498">
            <v>36.116516109999999</v>
          </cell>
        </row>
        <row r="1499">
          <cell r="L1499" t="str">
            <v>جب العلي</v>
          </cell>
          <cell r="M1499" t="str">
            <v>C2164</v>
          </cell>
          <cell r="AC1499">
            <v>37.64428711</v>
          </cell>
          <cell r="AD1499">
            <v>35.83227539</v>
          </cell>
        </row>
        <row r="1500">
          <cell r="L1500" t="str">
            <v>جب جاسم</v>
          </cell>
          <cell r="M1500" t="str">
            <v>C2165</v>
          </cell>
          <cell r="AC1500">
            <v>37.456726070000002</v>
          </cell>
          <cell r="AD1500">
            <v>35.811279300000002</v>
          </cell>
        </row>
        <row r="1501">
          <cell r="L1501" t="str">
            <v>حجارة كبيرة</v>
          </cell>
          <cell r="M1501" t="str">
            <v>C2166</v>
          </cell>
          <cell r="AC1501">
            <v>37.46691895</v>
          </cell>
          <cell r="AD1501">
            <v>35.766113279999999</v>
          </cell>
        </row>
        <row r="1502">
          <cell r="L1502" t="str">
            <v>جب الاعمى</v>
          </cell>
          <cell r="M1502" t="str">
            <v>C2167</v>
          </cell>
          <cell r="AC1502">
            <v>37.462707520000002</v>
          </cell>
          <cell r="AD1502">
            <v>35.82189941</v>
          </cell>
        </row>
        <row r="1503">
          <cell r="L1503" t="str">
            <v>راهب</v>
          </cell>
          <cell r="M1503" t="str">
            <v>C2168</v>
          </cell>
          <cell r="AC1503">
            <v>37.551879880000001</v>
          </cell>
          <cell r="AD1503">
            <v>35.851501470000002</v>
          </cell>
        </row>
        <row r="1504">
          <cell r="L1504" t="str">
            <v>خناصر</v>
          </cell>
          <cell r="M1504" t="str">
            <v>C2169</v>
          </cell>
          <cell r="AC1504">
            <v>37.499877929999997</v>
          </cell>
          <cell r="AD1504">
            <v>35.783874509999997</v>
          </cell>
        </row>
        <row r="1505">
          <cell r="L1505" t="str">
            <v>رملة</v>
          </cell>
          <cell r="M1505" t="str">
            <v>C2170</v>
          </cell>
          <cell r="AC1505">
            <v>37.416320800000001</v>
          </cell>
          <cell r="AD1505">
            <v>35.706726070000002</v>
          </cell>
        </row>
        <row r="1506">
          <cell r="L1506" t="str">
            <v>رسم النفل</v>
          </cell>
          <cell r="M1506" t="str">
            <v>C2171</v>
          </cell>
          <cell r="AC1506">
            <v>37.583496089999997</v>
          </cell>
          <cell r="AD1506">
            <v>35.884521479999997</v>
          </cell>
        </row>
        <row r="1507">
          <cell r="L1507" t="str">
            <v>رسم السيالة</v>
          </cell>
          <cell r="M1507" t="str">
            <v>C2172</v>
          </cell>
          <cell r="AC1507">
            <v>37.413879399999999</v>
          </cell>
          <cell r="AD1507">
            <v>35.754272460000003</v>
          </cell>
        </row>
        <row r="1508">
          <cell r="L1508" t="str">
            <v>رسم حمد</v>
          </cell>
          <cell r="M1508" t="str">
            <v>C2173</v>
          </cell>
          <cell r="AC1508">
            <v>37.512084960000003</v>
          </cell>
          <cell r="AD1508">
            <v>35.840698240000002</v>
          </cell>
        </row>
        <row r="1509">
          <cell r="L1509" t="str">
            <v>زبد</v>
          </cell>
          <cell r="M1509" t="str">
            <v>C2174</v>
          </cell>
          <cell r="AC1509">
            <v>37.698486330000001</v>
          </cell>
          <cell r="AD1509">
            <v>35.819091800000002</v>
          </cell>
        </row>
        <row r="1510">
          <cell r="L1510" t="str">
            <v>شلالة كبيرة</v>
          </cell>
          <cell r="M1510" t="str">
            <v>C2175</v>
          </cell>
          <cell r="AC1510">
            <v>37.573486330000001</v>
          </cell>
          <cell r="AD1510">
            <v>35.858886720000001</v>
          </cell>
        </row>
        <row r="1511">
          <cell r="L1511" t="str">
            <v>عبده موسى</v>
          </cell>
          <cell r="M1511" t="str">
            <v>C2176</v>
          </cell>
          <cell r="AC1511">
            <v>37.468322749999999</v>
          </cell>
          <cell r="AD1511">
            <v>35.791687009999997</v>
          </cell>
        </row>
        <row r="1512">
          <cell r="L1512" t="str">
            <v>هواز</v>
          </cell>
          <cell r="M1512" t="str">
            <v>C2177</v>
          </cell>
          <cell r="AC1512">
            <v>37.544677729999997</v>
          </cell>
          <cell r="AD1512">
            <v>35.811096190000001</v>
          </cell>
        </row>
        <row r="1513">
          <cell r="L1513" t="str">
            <v>هربكية</v>
          </cell>
          <cell r="M1513" t="str">
            <v>C2178</v>
          </cell>
          <cell r="AC1513">
            <v>37.491699220000001</v>
          </cell>
          <cell r="AD1513">
            <v>35.806884770000003</v>
          </cell>
        </row>
        <row r="1514">
          <cell r="L1514" t="str">
            <v>قليعة</v>
          </cell>
          <cell r="M1514" t="str">
            <v>C2179</v>
          </cell>
          <cell r="AC1514">
            <v>37.625122070000003</v>
          </cell>
          <cell r="AD1514">
            <v>35.785278320000003</v>
          </cell>
        </row>
        <row r="1515">
          <cell r="L1515" t="str">
            <v>أم جرن السفبرة</v>
          </cell>
          <cell r="M1515" t="str">
            <v>C2180</v>
          </cell>
          <cell r="AC1515">
            <v>37.312683110000002</v>
          </cell>
          <cell r="AD1515">
            <v>36.012329100000002</v>
          </cell>
        </row>
        <row r="1516">
          <cell r="L1516" t="str">
            <v>السميرية</v>
          </cell>
          <cell r="M1516" t="str">
            <v>C2181</v>
          </cell>
          <cell r="AC1516">
            <v>37.314270020000002</v>
          </cell>
          <cell r="AD1516">
            <v>35.893920899999998</v>
          </cell>
        </row>
        <row r="1517">
          <cell r="L1517" t="str">
            <v>زراعة</v>
          </cell>
          <cell r="M1517" t="str">
            <v>C2182</v>
          </cell>
          <cell r="AC1517">
            <v>37.320678710000003</v>
          </cell>
          <cell r="AD1517">
            <v>36.007690429999997</v>
          </cell>
        </row>
        <row r="1518">
          <cell r="L1518" t="str">
            <v>جعارة</v>
          </cell>
          <cell r="M1518" t="str">
            <v>C2183</v>
          </cell>
          <cell r="AC1518">
            <v>37.364074709999997</v>
          </cell>
          <cell r="AD1518">
            <v>35.98071289</v>
          </cell>
        </row>
        <row r="1519">
          <cell r="L1519" t="str">
            <v>برج عزاوي</v>
          </cell>
          <cell r="M1519" t="str">
            <v>C2184</v>
          </cell>
          <cell r="AC1519">
            <v>37.365905759999997</v>
          </cell>
          <cell r="AD1519">
            <v>35.931518560000001</v>
          </cell>
        </row>
        <row r="1520">
          <cell r="L1520" t="str">
            <v>بنان</v>
          </cell>
          <cell r="M1520" t="str">
            <v>C2185</v>
          </cell>
          <cell r="AC1520">
            <v>37.296691899999999</v>
          </cell>
          <cell r="AD1520">
            <v>35.972717289999999</v>
          </cell>
        </row>
        <row r="1521">
          <cell r="L1521" t="str">
            <v>ديمان</v>
          </cell>
          <cell r="M1521" t="str">
            <v>C2186</v>
          </cell>
          <cell r="AC1521">
            <v>37.263488770000002</v>
          </cell>
          <cell r="AD1521">
            <v>36.02893066</v>
          </cell>
        </row>
        <row r="1522">
          <cell r="L1522" t="str">
            <v>صدعايا</v>
          </cell>
          <cell r="M1522" t="str">
            <v>C2187</v>
          </cell>
          <cell r="AC1522">
            <v>37.262084960000003</v>
          </cell>
          <cell r="AD1522">
            <v>36.043273929999998</v>
          </cell>
        </row>
        <row r="1523">
          <cell r="L1523" t="str">
            <v>بلوزة</v>
          </cell>
          <cell r="M1523" t="str">
            <v>C2188</v>
          </cell>
          <cell r="AC1523">
            <v>37.366088869999999</v>
          </cell>
          <cell r="AD1523">
            <v>35.959899900000003</v>
          </cell>
        </row>
        <row r="1524">
          <cell r="L1524" t="str">
            <v>قتيطرات</v>
          </cell>
          <cell r="M1524" t="str">
            <v>C2189</v>
          </cell>
          <cell r="AC1524">
            <v>37.29388428</v>
          </cell>
          <cell r="AD1524">
            <v>35.928283690000001</v>
          </cell>
        </row>
        <row r="1525">
          <cell r="L1525" t="str">
            <v>الطيبة سفيرة</v>
          </cell>
          <cell r="M1525" t="str">
            <v>C2190</v>
          </cell>
          <cell r="AC1525">
            <v>37.372314449999998</v>
          </cell>
          <cell r="AD1525">
            <v>35.908874509999997</v>
          </cell>
        </row>
        <row r="1526">
          <cell r="L1526" t="str">
            <v>رسم عميش</v>
          </cell>
          <cell r="M1526" t="str">
            <v>C2191</v>
          </cell>
          <cell r="AC1526">
            <v>37.463500979999999</v>
          </cell>
          <cell r="AD1526">
            <v>35.869323729999998</v>
          </cell>
        </row>
        <row r="1527">
          <cell r="L1527" t="str">
            <v>تل عنبر</v>
          </cell>
          <cell r="M1527" t="str">
            <v>C2192</v>
          </cell>
          <cell r="AC1527">
            <v>37.416503910000003</v>
          </cell>
          <cell r="AD1527">
            <v>35.923889160000002</v>
          </cell>
        </row>
        <row r="1528">
          <cell r="L1528" t="str">
            <v>برج الساما</v>
          </cell>
          <cell r="M1528" t="str">
            <v>C2193</v>
          </cell>
          <cell r="AC1528">
            <v>37.43591309</v>
          </cell>
          <cell r="AD1528">
            <v>35.918273929999998</v>
          </cell>
        </row>
        <row r="1529">
          <cell r="L1529" t="str">
            <v>جب انطاش تحتاني</v>
          </cell>
          <cell r="M1529" t="str">
            <v>C2194</v>
          </cell>
          <cell r="AC1529">
            <v>37.477294919999999</v>
          </cell>
          <cell r="AD1529">
            <v>35.894714360000002</v>
          </cell>
        </row>
        <row r="1530">
          <cell r="L1530" t="str">
            <v>سحور</v>
          </cell>
          <cell r="M1530" t="str">
            <v>C2195</v>
          </cell>
          <cell r="AC1530">
            <v>37.439270020000002</v>
          </cell>
          <cell r="AD1530">
            <v>35.900085449999999</v>
          </cell>
        </row>
        <row r="1531">
          <cell r="L1531" t="str">
            <v>جب انطاش فوقاني</v>
          </cell>
          <cell r="M1531" t="str">
            <v>C2196</v>
          </cell>
          <cell r="AC1531">
            <v>37.462707520000002</v>
          </cell>
          <cell r="AD1531">
            <v>35.896301270000002</v>
          </cell>
        </row>
        <row r="1532">
          <cell r="L1532" t="str">
            <v>سويان</v>
          </cell>
          <cell r="M1532" t="str">
            <v>C2197</v>
          </cell>
          <cell r="AC1532">
            <v>37.433715820000003</v>
          </cell>
          <cell r="AD1532">
            <v>35.883483890000001</v>
          </cell>
        </row>
        <row r="1533">
          <cell r="L1533" t="str">
            <v>الجرمكية</v>
          </cell>
          <cell r="M1533" t="str">
            <v>C2198</v>
          </cell>
          <cell r="AC1533">
            <v>37.48852539</v>
          </cell>
          <cell r="AD1533">
            <v>35.880676270000002</v>
          </cell>
        </row>
        <row r="1534">
          <cell r="L1534" t="str">
            <v>حوير الحص</v>
          </cell>
          <cell r="M1534" t="str">
            <v>C2199</v>
          </cell>
          <cell r="AC1534">
            <v>37.469726559999998</v>
          </cell>
          <cell r="AD1534">
            <v>35.852111819999998</v>
          </cell>
        </row>
        <row r="1535">
          <cell r="L1535" t="str">
            <v>أبو عبدة</v>
          </cell>
          <cell r="M1535" t="str">
            <v>C2200</v>
          </cell>
          <cell r="AC1535">
            <v>37.405700680000002</v>
          </cell>
          <cell r="AD1535">
            <v>35.9296875</v>
          </cell>
        </row>
        <row r="1536">
          <cell r="L1536" t="str">
            <v>ابو غتة</v>
          </cell>
          <cell r="M1536" t="str">
            <v>C2201</v>
          </cell>
          <cell r="AC1536">
            <v>37.410888669999999</v>
          </cell>
          <cell r="AD1536">
            <v>35.902526860000002</v>
          </cell>
        </row>
        <row r="1537">
          <cell r="L1537" t="str">
            <v>الحاجب</v>
          </cell>
          <cell r="M1537" t="str">
            <v>C2202</v>
          </cell>
          <cell r="AC1537">
            <v>37.396484379999997</v>
          </cell>
          <cell r="AD1537">
            <v>35.86352539</v>
          </cell>
        </row>
        <row r="1538">
          <cell r="L1538" t="str">
            <v>أبو جلوس</v>
          </cell>
          <cell r="M1538" t="str">
            <v>C2203</v>
          </cell>
          <cell r="AC1538">
            <v>37.45428467</v>
          </cell>
          <cell r="AD1538">
            <v>35.911499020000001</v>
          </cell>
        </row>
        <row r="1539">
          <cell r="L1539" t="str">
            <v>جب تينة</v>
          </cell>
          <cell r="M1539" t="str">
            <v>C2204</v>
          </cell>
          <cell r="AC1539">
            <v>37.42669678</v>
          </cell>
          <cell r="AD1539">
            <v>35.835083009999998</v>
          </cell>
        </row>
        <row r="1540">
          <cell r="L1540" t="str">
            <v>ربيعة الحانوتة</v>
          </cell>
          <cell r="M1540" t="str">
            <v>C2205</v>
          </cell>
          <cell r="AC1540">
            <v>37.35272217</v>
          </cell>
          <cell r="AD1540">
            <v>35.828918459999997</v>
          </cell>
        </row>
        <row r="1541">
          <cell r="L1541" t="str">
            <v>بيشة</v>
          </cell>
          <cell r="M1541" t="str">
            <v>C2206</v>
          </cell>
          <cell r="AC1541">
            <v>37.426330569999998</v>
          </cell>
          <cell r="AD1541">
            <v>35.812927250000001</v>
          </cell>
        </row>
        <row r="1542">
          <cell r="L1542" t="str">
            <v>مكتبة</v>
          </cell>
          <cell r="M1542" t="str">
            <v>C2207</v>
          </cell>
          <cell r="AC1542">
            <v>37.368530270000001</v>
          </cell>
          <cell r="AD1542">
            <v>35.79571533</v>
          </cell>
        </row>
        <row r="1543">
          <cell r="L1543" t="str">
            <v>مدرسة</v>
          </cell>
          <cell r="M1543" t="str">
            <v>C2208</v>
          </cell>
          <cell r="AC1543">
            <v>37.395507809999998</v>
          </cell>
          <cell r="AD1543">
            <v>35.907897949999999</v>
          </cell>
        </row>
        <row r="1544">
          <cell r="L1544" t="str">
            <v>كفر حوت</v>
          </cell>
          <cell r="M1544" t="str">
            <v>C2209</v>
          </cell>
          <cell r="AC1544">
            <v>37.40991211</v>
          </cell>
          <cell r="AD1544">
            <v>35.890502929999997</v>
          </cell>
        </row>
        <row r="1545">
          <cell r="L1545" t="str">
            <v>مغيرات شبلي</v>
          </cell>
          <cell r="M1545" t="str">
            <v>C2210</v>
          </cell>
          <cell r="AC1545">
            <v>37.363891600000002</v>
          </cell>
          <cell r="AD1545">
            <v>35.883911130000001</v>
          </cell>
        </row>
        <row r="1546">
          <cell r="L1546" t="str">
            <v>منعايا</v>
          </cell>
          <cell r="M1546" t="str">
            <v>C2211</v>
          </cell>
          <cell r="AC1546">
            <v>37.519103999999999</v>
          </cell>
          <cell r="AD1546">
            <v>35.901123050000002</v>
          </cell>
        </row>
        <row r="1547">
          <cell r="L1547" t="str">
            <v>مربعة بيشة</v>
          </cell>
          <cell r="M1547" t="str">
            <v>C2212</v>
          </cell>
          <cell r="AC1547">
            <v>37.399475099999997</v>
          </cell>
          <cell r="AD1547">
            <v>35.813720699999998</v>
          </cell>
        </row>
        <row r="1548">
          <cell r="L1548" t="str">
            <v>تل العمارة</v>
          </cell>
          <cell r="M1548" t="str">
            <v>C2213</v>
          </cell>
          <cell r="AC1548">
            <v>38.010314940000001</v>
          </cell>
          <cell r="AD1548">
            <v>36.741882320000002</v>
          </cell>
        </row>
        <row r="1549">
          <cell r="L1549" t="str">
            <v>حلونجي</v>
          </cell>
          <cell r="M1549" t="str">
            <v>C2214</v>
          </cell>
          <cell r="AC1549">
            <v>37.910522460000003</v>
          </cell>
          <cell r="AD1549">
            <v>36.652282720000002</v>
          </cell>
        </row>
        <row r="1550">
          <cell r="L1550" t="str">
            <v>الحجلية - جرابلس</v>
          </cell>
          <cell r="M1550" t="str">
            <v>C2215</v>
          </cell>
          <cell r="AC1550">
            <v>37.956481930000002</v>
          </cell>
          <cell r="AD1550">
            <v>36.80310059</v>
          </cell>
        </row>
        <row r="1551">
          <cell r="L1551" t="str">
            <v>البير التحتاني</v>
          </cell>
          <cell r="M1551" t="str">
            <v>C2216</v>
          </cell>
          <cell r="AC1551">
            <v>37.89428711</v>
          </cell>
          <cell r="AD1551">
            <v>36.776489259999998</v>
          </cell>
        </row>
        <row r="1552">
          <cell r="L1552" t="str">
            <v>الدابس</v>
          </cell>
          <cell r="M1552" t="str">
            <v>C2217</v>
          </cell>
          <cell r="AC1552">
            <v>37.957519529999999</v>
          </cell>
          <cell r="AD1552">
            <v>36.70428467</v>
          </cell>
        </row>
        <row r="1553">
          <cell r="L1553" t="str">
            <v>المغاير_قرق مغار</v>
          </cell>
          <cell r="M1553" t="str">
            <v>C2218</v>
          </cell>
          <cell r="AC1553">
            <v>38.053283690000001</v>
          </cell>
          <cell r="AD1553">
            <v>36.6796875</v>
          </cell>
        </row>
        <row r="1554">
          <cell r="L1554" t="str">
            <v>الحلوانية</v>
          </cell>
          <cell r="M1554" t="str">
            <v>C2219</v>
          </cell>
          <cell r="AC1554">
            <v>37.917480470000001</v>
          </cell>
          <cell r="AD1554">
            <v>36.789123539999999</v>
          </cell>
        </row>
        <row r="1555">
          <cell r="L1555" t="str">
            <v>زوغرة</v>
          </cell>
          <cell r="M1555" t="str">
            <v>C2220</v>
          </cell>
          <cell r="AC1555">
            <v>37.807312009999997</v>
          </cell>
          <cell r="AD1555">
            <v>36.750671390000001</v>
          </cell>
        </row>
        <row r="1556">
          <cell r="L1556" t="str">
            <v>ظهر المغاير</v>
          </cell>
          <cell r="M1556" t="str">
            <v>C2221</v>
          </cell>
          <cell r="AC1556">
            <v>37.955505369999997</v>
          </cell>
          <cell r="AD1556">
            <v>36.662109379999997</v>
          </cell>
        </row>
        <row r="1557">
          <cell r="L1557" t="str">
            <v>طريخم</v>
          </cell>
          <cell r="M1557" t="str">
            <v>C2222</v>
          </cell>
          <cell r="AC1557">
            <v>37.842285160000003</v>
          </cell>
          <cell r="AD1557">
            <v>36.76470947</v>
          </cell>
        </row>
        <row r="1558">
          <cell r="L1558" t="str">
            <v>أم روثة تحتاني</v>
          </cell>
          <cell r="M1558" t="str">
            <v>C2223</v>
          </cell>
          <cell r="AC1558">
            <v>38.070678710000003</v>
          </cell>
          <cell r="AD1558">
            <v>36.66290283</v>
          </cell>
        </row>
        <row r="1559">
          <cell r="L1559" t="str">
            <v>الجامل</v>
          </cell>
          <cell r="M1559" t="str">
            <v>C2224</v>
          </cell>
          <cell r="AC1559">
            <v>38.010314940000001</v>
          </cell>
          <cell r="AD1559">
            <v>36.767883300000001</v>
          </cell>
        </row>
        <row r="1560">
          <cell r="L1560" t="str">
            <v>أم روثة فوقاني</v>
          </cell>
          <cell r="M1560" t="str">
            <v>C2225</v>
          </cell>
          <cell r="AC1560">
            <v>38.015502929999997</v>
          </cell>
          <cell r="AD1560">
            <v>36.671508789999997</v>
          </cell>
        </row>
        <row r="1561">
          <cell r="L1561" t="str">
            <v>جرابلس تحتاني</v>
          </cell>
          <cell r="M1561" t="str">
            <v>C2226</v>
          </cell>
          <cell r="AC1561">
            <v>38.027282720000002</v>
          </cell>
          <cell r="AD1561">
            <v>36.799926759999998</v>
          </cell>
        </row>
        <row r="1562">
          <cell r="L1562" t="str">
            <v>جرابلس</v>
          </cell>
          <cell r="M1562" t="str">
            <v>C2227</v>
          </cell>
          <cell r="AC1562">
            <v>38.0098877</v>
          </cell>
          <cell r="AD1562">
            <v>36.814514160000002</v>
          </cell>
        </row>
        <row r="1563">
          <cell r="L1563" t="str">
            <v>أم سوسة</v>
          </cell>
          <cell r="M1563" t="str">
            <v>C2228</v>
          </cell>
          <cell r="AC1563">
            <v>37.913513180000002</v>
          </cell>
          <cell r="AD1563">
            <v>36.687316899999999</v>
          </cell>
        </row>
        <row r="1564">
          <cell r="L1564" t="str">
            <v>حيمر</v>
          </cell>
          <cell r="M1564" t="str">
            <v>C2229</v>
          </cell>
          <cell r="AC1564">
            <v>37.9296875</v>
          </cell>
          <cell r="AD1564">
            <v>36.76330566</v>
          </cell>
        </row>
        <row r="1565">
          <cell r="L1565" t="str">
            <v>صريصات</v>
          </cell>
          <cell r="M1565" t="str">
            <v>C2230</v>
          </cell>
          <cell r="AC1565">
            <v>38.033081060000001</v>
          </cell>
          <cell r="AD1565">
            <v>36.71508789</v>
          </cell>
        </row>
        <row r="1566">
          <cell r="L1566" t="str">
            <v>الحاضرة_بلدق كبير</v>
          </cell>
          <cell r="M1566" t="str">
            <v>C2231</v>
          </cell>
          <cell r="AC1566">
            <v>37.891479490000002</v>
          </cell>
          <cell r="AD1566">
            <v>36.703125</v>
          </cell>
        </row>
        <row r="1567">
          <cell r="L1567" t="str">
            <v>المحسنة_محسنلي</v>
          </cell>
          <cell r="M1567" t="str">
            <v>C2232</v>
          </cell>
          <cell r="AC1567">
            <v>37.883300779999999</v>
          </cell>
          <cell r="AD1567">
            <v>36.649475099999997</v>
          </cell>
        </row>
        <row r="1568">
          <cell r="L1568" t="str">
            <v>عين البيضا</v>
          </cell>
          <cell r="M1568" t="str">
            <v>C2233</v>
          </cell>
          <cell r="AC1568">
            <v>37.57928467</v>
          </cell>
          <cell r="AD1568">
            <v>36.244323729999998</v>
          </cell>
        </row>
        <row r="1569">
          <cell r="L1569" t="str">
            <v>مجرى كبير</v>
          </cell>
          <cell r="M1569" t="str">
            <v>C2235</v>
          </cell>
          <cell r="AC1569">
            <v>37.981689449999998</v>
          </cell>
          <cell r="AD1569">
            <v>36.640686039999999</v>
          </cell>
        </row>
        <row r="1570">
          <cell r="L1570" t="str">
            <v>يوسف بك</v>
          </cell>
          <cell r="M1570" t="str">
            <v>C2236</v>
          </cell>
          <cell r="AC1570">
            <v>37.923706060000001</v>
          </cell>
          <cell r="AD1570">
            <v>36.739501949999998</v>
          </cell>
        </row>
        <row r="1571">
          <cell r="L1571" t="str">
            <v>قيراطة</v>
          </cell>
          <cell r="M1571" t="str">
            <v>C2237</v>
          </cell>
          <cell r="AC1571">
            <v>38.056884770000003</v>
          </cell>
          <cell r="AD1571">
            <v>36.650085449999999</v>
          </cell>
        </row>
        <row r="1572">
          <cell r="L1572" t="str">
            <v>مرمى الحجر</v>
          </cell>
          <cell r="M1572" t="str">
            <v>C2238</v>
          </cell>
          <cell r="AC1572">
            <v>37.994079589999998</v>
          </cell>
          <cell r="AD1572">
            <v>36.782287599999997</v>
          </cell>
        </row>
        <row r="1573">
          <cell r="L1573" t="str">
            <v>مجرى صغير</v>
          </cell>
          <cell r="M1573" t="str">
            <v>C2239</v>
          </cell>
          <cell r="AC1573">
            <v>38.015319820000002</v>
          </cell>
          <cell r="AD1573">
            <v>36.632080080000001</v>
          </cell>
        </row>
        <row r="1574">
          <cell r="L1574" t="str">
            <v>مزعلة</v>
          </cell>
          <cell r="M1574" t="str">
            <v>C2240</v>
          </cell>
          <cell r="AC1574">
            <v>37.941284179999997</v>
          </cell>
          <cell r="AD1574">
            <v>36.732482910000002</v>
          </cell>
        </row>
        <row r="1575">
          <cell r="L1575" t="str">
            <v>قندرية</v>
          </cell>
          <cell r="M1575" t="str">
            <v>C2241</v>
          </cell>
          <cell r="AC1575">
            <v>37.88970947</v>
          </cell>
          <cell r="AD1575">
            <v>36.742309570000003</v>
          </cell>
        </row>
        <row r="1576">
          <cell r="L1576" t="str">
            <v>عرب عزة</v>
          </cell>
          <cell r="M1576" t="str">
            <v>C2242</v>
          </cell>
          <cell r="AC1576">
            <v>37.69348145</v>
          </cell>
          <cell r="AD1576">
            <v>36.737487790000003</v>
          </cell>
        </row>
        <row r="1577">
          <cell r="L1577" t="str">
            <v>حفيرة</v>
          </cell>
          <cell r="M1577" t="str">
            <v>C2243</v>
          </cell>
          <cell r="AC1577">
            <v>37.850097660000003</v>
          </cell>
          <cell r="AD1577">
            <v>36.710876470000002</v>
          </cell>
        </row>
        <row r="1578">
          <cell r="L1578" t="str">
            <v>تل الحجر_تل الاحمر</v>
          </cell>
          <cell r="M1578" t="str">
            <v>C2244</v>
          </cell>
          <cell r="AC1578">
            <v>37.710876470000002</v>
          </cell>
          <cell r="AD1578">
            <v>36.611877440000001</v>
          </cell>
        </row>
        <row r="1579">
          <cell r="L1579" t="str">
            <v>تل علي_كربجلي</v>
          </cell>
          <cell r="M1579" t="str">
            <v>C2245</v>
          </cell>
          <cell r="AC1579">
            <v>37.737915039999997</v>
          </cell>
          <cell r="AD1579">
            <v>36.599121089999997</v>
          </cell>
        </row>
        <row r="1580">
          <cell r="L1580" t="str">
            <v>بيليس</v>
          </cell>
          <cell r="M1580" t="str">
            <v>C2246</v>
          </cell>
          <cell r="AC1580">
            <v>37.687683110000002</v>
          </cell>
          <cell r="AD1580">
            <v>36.593688970000002</v>
          </cell>
        </row>
        <row r="1581">
          <cell r="L1581" t="str">
            <v>الكلية</v>
          </cell>
          <cell r="M1581" t="str">
            <v>C2247</v>
          </cell>
          <cell r="AC1581">
            <v>37.822875979999999</v>
          </cell>
          <cell r="AD1581">
            <v>36.720886229999998</v>
          </cell>
        </row>
        <row r="1582">
          <cell r="L1582" t="str">
            <v>شعينة</v>
          </cell>
          <cell r="M1582" t="str">
            <v>C2248</v>
          </cell>
          <cell r="AC1582">
            <v>37.794311520000001</v>
          </cell>
          <cell r="AD1582">
            <v>36.722290039999997</v>
          </cell>
        </row>
        <row r="1583">
          <cell r="L1583" t="str">
            <v>حجر الابيض</v>
          </cell>
          <cell r="M1583" t="str">
            <v>C2249</v>
          </cell>
          <cell r="AC1583">
            <v>37.697326660000002</v>
          </cell>
          <cell r="AD1583">
            <v>36.573486330000001</v>
          </cell>
        </row>
        <row r="1584">
          <cell r="L1584" t="str">
            <v>الغندورة</v>
          </cell>
          <cell r="M1584" t="str">
            <v>C2250</v>
          </cell>
          <cell r="AC1584">
            <v>37.755676270000002</v>
          </cell>
          <cell r="AD1584">
            <v>36.677124020000001</v>
          </cell>
        </row>
        <row r="1585">
          <cell r="L1585" t="str">
            <v>الغسانية جرابلس</v>
          </cell>
          <cell r="M1585" t="str">
            <v>C2251</v>
          </cell>
          <cell r="AC1585">
            <v>37.861511229999998</v>
          </cell>
          <cell r="AD1585">
            <v>36.733886720000001</v>
          </cell>
        </row>
        <row r="1586">
          <cell r="L1586" t="str">
            <v>الفرسان_سباهيلر</v>
          </cell>
          <cell r="M1586" t="str">
            <v>C2252</v>
          </cell>
          <cell r="AC1586">
            <v>37.706909179999997</v>
          </cell>
          <cell r="AD1586">
            <v>36.726684570000003</v>
          </cell>
        </row>
        <row r="1587">
          <cell r="L1587" t="str">
            <v>الشعيب</v>
          </cell>
          <cell r="M1587" t="str">
            <v>C2253</v>
          </cell>
          <cell r="AC1587">
            <v>37.723083500000001</v>
          </cell>
          <cell r="AD1587">
            <v>36.578308110000002</v>
          </cell>
        </row>
        <row r="1588">
          <cell r="L1588" t="str">
            <v>القاضي جرابلس</v>
          </cell>
          <cell r="M1588" t="str">
            <v>C2254</v>
          </cell>
          <cell r="AC1588">
            <v>37.658874509999997</v>
          </cell>
          <cell r="AD1588">
            <v>36.722473149999999</v>
          </cell>
        </row>
        <row r="1589">
          <cell r="L1589" t="str">
            <v>الصابونية</v>
          </cell>
          <cell r="M1589" t="str">
            <v>C2255</v>
          </cell>
          <cell r="AC1589">
            <v>37.803710940000002</v>
          </cell>
          <cell r="AD1589">
            <v>36.703918459999997</v>
          </cell>
        </row>
        <row r="1590">
          <cell r="L1590" t="str">
            <v>عرب حسن صغير</v>
          </cell>
          <cell r="M1590" t="str">
            <v>C2256</v>
          </cell>
          <cell r="AC1590">
            <v>37.850280759999997</v>
          </cell>
          <cell r="AD1590">
            <v>36.657287599999997</v>
          </cell>
        </row>
        <row r="1591">
          <cell r="L1591" t="str">
            <v>الظاهرية جرابلس</v>
          </cell>
          <cell r="M1591" t="str">
            <v>C2257</v>
          </cell>
          <cell r="AC1591">
            <v>37.847717289999999</v>
          </cell>
          <cell r="AD1591">
            <v>36.731689449999998</v>
          </cell>
        </row>
        <row r="1592">
          <cell r="L1592" t="str">
            <v>الحميرة_آشكجي</v>
          </cell>
          <cell r="M1592" t="str">
            <v>C2258</v>
          </cell>
          <cell r="AC1592">
            <v>37.672485350000002</v>
          </cell>
          <cell r="AD1592">
            <v>36.688903809999999</v>
          </cell>
        </row>
        <row r="1593">
          <cell r="L1593" t="str">
            <v>السويدة_قرة طاشلي</v>
          </cell>
          <cell r="M1593" t="str">
            <v>C2259</v>
          </cell>
          <cell r="AC1593">
            <v>37.784484859999999</v>
          </cell>
          <cell r="AD1593">
            <v>36.672912599999997</v>
          </cell>
        </row>
        <row r="1594">
          <cell r="L1594" t="str">
            <v>تل أغبر_تل الاغر</v>
          </cell>
          <cell r="M1594" t="str">
            <v>C2260</v>
          </cell>
          <cell r="AC1594">
            <v>37.779296879999997</v>
          </cell>
          <cell r="AD1594">
            <v>36.729919430000002</v>
          </cell>
        </row>
        <row r="1595">
          <cell r="L1595" t="str">
            <v>الشهيد</v>
          </cell>
          <cell r="M1595" t="str">
            <v>C2261</v>
          </cell>
          <cell r="AC1595">
            <v>37.738098149999999</v>
          </cell>
          <cell r="AD1595">
            <v>36.629882809999998</v>
          </cell>
        </row>
        <row r="1596">
          <cell r="L1596" t="str">
            <v>جب الدم جرابلس</v>
          </cell>
          <cell r="M1596" t="str">
            <v>C2262</v>
          </cell>
          <cell r="AC1596">
            <v>37.679870610000002</v>
          </cell>
          <cell r="AD1596">
            <v>36.66247559</v>
          </cell>
        </row>
        <row r="1597">
          <cell r="L1597" t="str">
            <v>قبة التركمان</v>
          </cell>
          <cell r="M1597" t="str">
            <v>C2263</v>
          </cell>
          <cell r="AC1597">
            <v>37.728515629999997</v>
          </cell>
          <cell r="AD1597">
            <v>36.68908691</v>
          </cell>
        </row>
        <row r="1598">
          <cell r="L1598" t="str">
            <v>نبغة كبيرة</v>
          </cell>
          <cell r="M1598" t="str">
            <v>C2264</v>
          </cell>
          <cell r="AC1598">
            <v>37.67071533</v>
          </cell>
          <cell r="AD1598">
            <v>36.63787842</v>
          </cell>
        </row>
        <row r="1599">
          <cell r="L1599" t="str">
            <v>مرتفع كبير</v>
          </cell>
          <cell r="M1599" t="str">
            <v>C2265</v>
          </cell>
          <cell r="AC1599">
            <v>37.658081060000001</v>
          </cell>
          <cell r="AD1599">
            <v>36.655883789999997</v>
          </cell>
        </row>
        <row r="1600">
          <cell r="L1600" t="str">
            <v>غنمة</v>
          </cell>
          <cell r="M1600" t="str">
            <v>C2266</v>
          </cell>
          <cell r="AC1600">
            <v>37.796691899999999</v>
          </cell>
          <cell r="AD1600">
            <v>36.675476070000002</v>
          </cell>
        </row>
        <row r="1601">
          <cell r="L1601" t="str">
            <v>قنطرة كبيرة</v>
          </cell>
          <cell r="M1601" t="str">
            <v>C2267</v>
          </cell>
          <cell r="AC1601">
            <v>37.72290039</v>
          </cell>
          <cell r="AD1601">
            <v>36.644103999999999</v>
          </cell>
        </row>
        <row r="1602">
          <cell r="L1602" t="str">
            <v>ليلوة</v>
          </cell>
          <cell r="M1602" t="str">
            <v>C2268</v>
          </cell>
          <cell r="AC1602">
            <v>37.736511229999998</v>
          </cell>
          <cell r="AD1602">
            <v>36.699279789999999</v>
          </cell>
        </row>
        <row r="1603">
          <cell r="L1603" t="str">
            <v>عين البيضة</v>
          </cell>
          <cell r="M1603" t="str">
            <v>C2269</v>
          </cell>
          <cell r="AC1603">
            <v>36.216125490000003</v>
          </cell>
          <cell r="AD1603">
            <v>33.324523929999998</v>
          </cell>
        </row>
        <row r="1604">
          <cell r="L1604" t="str">
            <v>خربة الشياب</v>
          </cell>
          <cell r="M1604" t="str">
            <v>C2270</v>
          </cell>
          <cell r="AC1604">
            <v>36.378295899999998</v>
          </cell>
          <cell r="AD1604">
            <v>33.306884770000003</v>
          </cell>
        </row>
        <row r="1605">
          <cell r="L1605" t="str">
            <v>السعادة</v>
          </cell>
          <cell r="M1605" t="str">
            <v>C2271</v>
          </cell>
          <cell r="AC1605">
            <v>36.364929199999999</v>
          </cell>
          <cell r="AD1605">
            <v>33.203674319999998</v>
          </cell>
        </row>
        <row r="1606">
          <cell r="L1606" t="str">
            <v>الحرجلة</v>
          </cell>
          <cell r="M1606" t="str">
            <v>C2272</v>
          </cell>
          <cell r="AC1606">
            <v>36.312072749999999</v>
          </cell>
          <cell r="AD1606">
            <v>33.371704100000002</v>
          </cell>
        </row>
        <row r="1607">
          <cell r="L1607" t="str">
            <v>خيارة دنون</v>
          </cell>
          <cell r="M1607" t="str">
            <v>C2273</v>
          </cell>
          <cell r="AC1607">
            <v>36.243713380000003</v>
          </cell>
          <cell r="AD1607">
            <v>33.324279789999999</v>
          </cell>
        </row>
        <row r="1608">
          <cell r="L1608" t="str">
            <v>المطله</v>
          </cell>
          <cell r="M1608" t="str">
            <v>C2274</v>
          </cell>
          <cell r="AC1608">
            <v>36.384521479999997</v>
          </cell>
          <cell r="AD1608">
            <v>33.334289550000001</v>
          </cell>
        </row>
        <row r="1609">
          <cell r="L1609" t="str">
            <v>خان دنون</v>
          </cell>
          <cell r="M1609" t="str">
            <v>C2275</v>
          </cell>
          <cell r="AC1609">
            <v>36.230285649999999</v>
          </cell>
          <cell r="AD1609">
            <v>33.331298830000001</v>
          </cell>
        </row>
        <row r="1610">
          <cell r="L1610" t="str">
            <v>عين السودة</v>
          </cell>
          <cell r="M1610" t="str">
            <v>C2276</v>
          </cell>
          <cell r="AC1610">
            <v>36.224487310000001</v>
          </cell>
          <cell r="AD1610">
            <v>33.309326169999999</v>
          </cell>
        </row>
        <row r="1611">
          <cell r="L1611" t="str">
            <v>أركيس</v>
          </cell>
          <cell r="M1611" t="str">
            <v>C2277</v>
          </cell>
          <cell r="AC1611">
            <v>36.172485350000002</v>
          </cell>
          <cell r="AD1611">
            <v>33.234497070000003</v>
          </cell>
        </row>
        <row r="1612">
          <cell r="L1612" t="str">
            <v>شقحب</v>
          </cell>
          <cell r="M1612" t="str">
            <v>C2278</v>
          </cell>
          <cell r="AC1612">
            <v>36.163085940000002</v>
          </cell>
          <cell r="AD1612">
            <v>33.265930179999998</v>
          </cell>
        </row>
        <row r="1613">
          <cell r="L1613" t="str">
            <v>زاكية</v>
          </cell>
          <cell r="M1613" t="str">
            <v>C2279</v>
          </cell>
          <cell r="AC1613">
            <v>36.159118650000003</v>
          </cell>
          <cell r="AD1613">
            <v>33.33410645</v>
          </cell>
        </row>
        <row r="1614">
          <cell r="L1614" t="str">
            <v>الكسوة</v>
          </cell>
          <cell r="M1614" t="str">
            <v>C2280</v>
          </cell>
          <cell r="AC1614">
            <v>36.245483399999998</v>
          </cell>
          <cell r="AD1614">
            <v>33.357910160000003</v>
          </cell>
        </row>
        <row r="1615">
          <cell r="L1615" t="str">
            <v>الطيبة</v>
          </cell>
          <cell r="M1615" t="str">
            <v>C2281</v>
          </cell>
          <cell r="AC1615">
            <v>36.203308110000002</v>
          </cell>
          <cell r="AD1615">
            <v>33.332519529999999</v>
          </cell>
        </row>
        <row r="1616">
          <cell r="L1616" t="str">
            <v>أم العواميد</v>
          </cell>
          <cell r="M1616" t="str">
            <v>C2282</v>
          </cell>
          <cell r="AC1616">
            <v>36.37408447</v>
          </cell>
          <cell r="AD1616">
            <v>33.218872070000003</v>
          </cell>
        </row>
        <row r="1617">
          <cell r="L1617" t="str">
            <v>العادلية</v>
          </cell>
          <cell r="M1617" t="str">
            <v>C2283</v>
          </cell>
          <cell r="AC1617">
            <v>36.34790039</v>
          </cell>
          <cell r="AD1617">
            <v>33.374328609999999</v>
          </cell>
        </row>
        <row r="1618">
          <cell r="L1618" t="str">
            <v>دير علي</v>
          </cell>
          <cell r="M1618" t="str">
            <v>C2284</v>
          </cell>
          <cell r="AC1618">
            <v>36.30627441</v>
          </cell>
          <cell r="AD1618">
            <v>33.279724119999997</v>
          </cell>
        </row>
        <row r="1619">
          <cell r="L1619" t="str">
            <v>الزريقية</v>
          </cell>
          <cell r="M1619" t="str">
            <v>C2285</v>
          </cell>
          <cell r="AC1619">
            <v>36.19647217</v>
          </cell>
          <cell r="AD1619">
            <v>33.232910160000003</v>
          </cell>
        </row>
        <row r="1620">
          <cell r="L1620" t="str">
            <v>جب الصفا</v>
          </cell>
          <cell r="M1620" t="str">
            <v>C2286</v>
          </cell>
          <cell r="AC1620">
            <v>36.314880369999997</v>
          </cell>
          <cell r="AD1620">
            <v>33.232910160000003</v>
          </cell>
        </row>
        <row r="1621">
          <cell r="L1621" t="str">
            <v>ديرخبية</v>
          </cell>
          <cell r="M1621" t="str">
            <v>C2287</v>
          </cell>
          <cell r="AC1621">
            <v>36.160522460000003</v>
          </cell>
          <cell r="AD1621">
            <v>33.363708500000001</v>
          </cell>
        </row>
        <row r="1622">
          <cell r="L1622" t="str">
            <v>مرانة</v>
          </cell>
          <cell r="M1622" t="str">
            <v>C2288</v>
          </cell>
          <cell r="AC1622">
            <v>36.197875979999999</v>
          </cell>
          <cell r="AD1622">
            <v>33.35913086</v>
          </cell>
        </row>
        <row r="1623">
          <cell r="L1623" t="str">
            <v>قارا</v>
          </cell>
          <cell r="M1623" t="str">
            <v>C2289</v>
          </cell>
          <cell r="AC1623">
            <v>36.332092289999999</v>
          </cell>
          <cell r="AD1623">
            <v>33.210876470000002</v>
          </cell>
        </row>
        <row r="1624">
          <cell r="L1624" t="str">
            <v>مقيليبة</v>
          </cell>
          <cell r="M1624" t="str">
            <v>C2290</v>
          </cell>
          <cell r="AC1624">
            <v>36.205505369999997</v>
          </cell>
          <cell r="AD1624">
            <v>33.351501470000002</v>
          </cell>
        </row>
        <row r="1625">
          <cell r="L1625" t="str">
            <v>مرجانة</v>
          </cell>
          <cell r="M1625" t="str">
            <v>C2291</v>
          </cell>
          <cell r="AC1625">
            <v>36.370727539999997</v>
          </cell>
          <cell r="AD1625">
            <v>33.234313970000002</v>
          </cell>
        </row>
        <row r="1626">
          <cell r="L1626" t="str">
            <v>عقربا</v>
          </cell>
          <cell r="M1626" t="str">
            <v>C2292</v>
          </cell>
          <cell r="AC1626">
            <v>36.349487310000001</v>
          </cell>
          <cell r="AD1626">
            <v>33.469116210000003</v>
          </cell>
        </row>
        <row r="1627">
          <cell r="L1627" t="str">
            <v>حجيرة</v>
          </cell>
          <cell r="M1627" t="str">
            <v>C2293</v>
          </cell>
          <cell r="AC1627">
            <v>36.324890140000001</v>
          </cell>
          <cell r="AD1627">
            <v>33.441101070000002</v>
          </cell>
        </row>
        <row r="1628">
          <cell r="L1628" t="str">
            <v>حوش صهيا</v>
          </cell>
          <cell r="M1628" t="str">
            <v>C2294</v>
          </cell>
          <cell r="AC1628">
            <v>36.332885740000002</v>
          </cell>
          <cell r="AD1628">
            <v>33.42211914</v>
          </cell>
        </row>
        <row r="1629">
          <cell r="L1629" t="str">
            <v>بيت سحم</v>
          </cell>
          <cell r="M1629" t="str">
            <v>C2295</v>
          </cell>
          <cell r="AC1629">
            <v>36.337280270000001</v>
          </cell>
          <cell r="AD1629">
            <v>33.474487310000001</v>
          </cell>
        </row>
        <row r="1630">
          <cell r="L1630" t="str">
            <v>البويضة</v>
          </cell>
          <cell r="M1630" t="str">
            <v>C2296</v>
          </cell>
          <cell r="AC1630">
            <v>36.3203125</v>
          </cell>
          <cell r="AD1630">
            <v>33.424316410000003</v>
          </cell>
        </row>
        <row r="1631">
          <cell r="L1631" t="str">
            <v>البحدلية</v>
          </cell>
          <cell r="M1631" t="str">
            <v>C2297</v>
          </cell>
          <cell r="AC1631">
            <v>36.355896000000001</v>
          </cell>
          <cell r="AD1631">
            <v>33.430908199999998</v>
          </cell>
        </row>
        <row r="1632">
          <cell r="L1632" t="str">
            <v>خربة الورد</v>
          </cell>
          <cell r="M1632" t="str">
            <v>C2298</v>
          </cell>
          <cell r="AC1632">
            <v>36.369873050000002</v>
          </cell>
          <cell r="AD1632">
            <v>33.398925779999999</v>
          </cell>
        </row>
        <row r="1633">
          <cell r="L1633" t="str">
            <v>السيدة زينب</v>
          </cell>
          <cell r="M1633" t="str">
            <v>C2299</v>
          </cell>
          <cell r="AC1633">
            <v>36.340698240000002</v>
          </cell>
          <cell r="AD1633">
            <v>33.446716309999999</v>
          </cell>
        </row>
        <row r="1634">
          <cell r="L1634" t="str">
            <v>ببيلا</v>
          </cell>
          <cell r="M1634" t="str">
            <v>C2300</v>
          </cell>
          <cell r="AC1634">
            <v>36.32971191</v>
          </cell>
          <cell r="AD1634">
            <v>33.470886229999998</v>
          </cell>
        </row>
        <row r="1635">
          <cell r="L1635" t="str">
            <v>السبينة</v>
          </cell>
          <cell r="M1635" t="str">
            <v>C2301</v>
          </cell>
          <cell r="AC1635">
            <v>36.28747559</v>
          </cell>
          <cell r="AD1635">
            <v>33.436523440000002</v>
          </cell>
        </row>
        <row r="1636">
          <cell r="L1636" t="str">
            <v>يلدا</v>
          </cell>
          <cell r="M1636" t="str">
            <v>C2302</v>
          </cell>
          <cell r="AC1636">
            <v>36.321105959999997</v>
          </cell>
          <cell r="AD1636">
            <v>33.464477539999997</v>
          </cell>
        </row>
        <row r="1637">
          <cell r="L1637" t="str">
            <v>نجها</v>
          </cell>
          <cell r="M1637" t="str">
            <v>C2303</v>
          </cell>
          <cell r="AC1637">
            <v>36.372070309999998</v>
          </cell>
          <cell r="AD1637">
            <v>33.384704589999998</v>
          </cell>
        </row>
        <row r="1638">
          <cell r="L1638" t="str">
            <v>جرمانا</v>
          </cell>
          <cell r="M1638" t="str">
            <v>C2304</v>
          </cell>
          <cell r="AC1638">
            <v>36.348327640000001</v>
          </cell>
          <cell r="AD1638">
            <v>33.487670899999998</v>
          </cell>
        </row>
        <row r="1639">
          <cell r="L1639" t="str">
            <v>شبعا</v>
          </cell>
          <cell r="M1639" t="str">
            <v>C2305</v>
          </cell>
          <cell r="AC1639">
            <v>36.397705080000001</v>
          </cell>
          <cell r="AD1639">
            <v>33.4453125</v>
          </cell>
        </row>
        <row r="1640">
          <cell r="L1640" t="str">
            <v>الأهداف</v>
          </cell>
          <cell r="M1640" t="str">
            <v>C2306</v>
          </cell>
          <cell r="AC1640">
            <v>36.380126949999998</v>
          </cell>
          <cell r="AD1640">
            <v>33.440307619999999</v>
          </cell>
        </row>
        <row r="1641">
          <cell r="L1641" t="str">
            <v>زبدين</v>
          </cell>
          <cell r="M1641" t="str">
            <v>C2307</v>
          </cell>
          <cell r="AC1641">
            <v>36.401672359999999</v>
          </cell>
          <cell r="AD1641">
            <v>33.483276369999999</v>
          </cell>
        </row>
        <row r="1642">
          <cell r="L1642" t="str">
            <v>المليحة</v>
          </cell>
          <cell r="M1642" t="str">
            <v>C2308</v>
          </cell>
          <cell r="AC1642">
            <v>36.374511720000001</v>
          </cell>
          <cell r="AD1642">
            <v>33.48413086</v>
          </cell>
        </row>
        <row r="1643">
          <cell r="L1643" t="str">
            <v>دير العصافير</v>
          </cell>
          <cell r="M1643" t="str">
            <v>C2309</v>
          </cell>
          <cell r="AC1643">
            <v>36.419921879999997</v>
          </cell>
          <cell r="AD1643">
            <v>33.467285160000003</v>
          </cell>
        </row>
        <row r="1644">
          <cell r="L1644" t="str">
            <v>حوش السلطان</v>
          </cell>
          <cell r="M1644" t="str">
            <v>C2310</v>
          </cell>
          <cell r="AC1644">
            <v>36.404113770000002</v>
          </cell>
          <cell r="AD1644">
            <v>33.416320800000001</v>
          </cell>
        </row>
        <row r="1645">
          <cell r="L1645" t="str">
            <v>حتيتة التركمان</v>
          </cell>
          <cell r="M1645" t="str">
            <v>C2311</v>
          </cell>
          <cell r="AC1645">
            <v>36.425292970000001</v>
          </cell>
          <cell r="AD1645">
            <v>33.437683110000002</v>
          </cell>
        </row>
        <row r="1646">
          <cell r="L1646" t="str">
            <v>افتريس</v>
          </cell>
          <cell r="M1646" t="str">
            <v>C2312</v>
          </cell>
          <cell r="AC1646">
            <v>36.399291990000002</v>
          </cell>
          <cell r="AD1646">
            <v>33.51470947</v>
          </cell>
        </row>
        <row r="1647">
          <cell r="L1647" t="str">
            <v>حزة</v>
          </cell>
          <cell r="M1647" t="str">
            <v>C2313</v>
          </cell>
          <cell r="AC1647">
            <v>36.36328125</v>
          </cell>
          <cell r="AD1647">
            <v>33.518676759999998</v>
          </cell>
        </row>
        <row r="1648">
          <cell r="L1648" t="str">
            <v>سقبا</v>
          </cell>
          <cell r="M1648" t="str">
            <v>C2314</v>
          </cell>
          <cell r="AC1648">
            <v>36.384094240000003</v>
          </cell>
          <cell r="AD1648">
            <v>33.518127440000001</v>
          </cell>
        </row>
        <row r="1649">
          <cell r="L1649" t="str">
            <v>عين ترما</v>
          </cell>
          <cell r="M1649" t="str">
            <v>C2315</v>
          </cell>
          <cell r="AC1649">
            <v>36.350097660000003</v>
          </cell>
          <cell r="AD1649">
            <v>33.513488770000002</v>
          </cell>
        </row>
        <row r="1650">
          <cell r="L1650" t="str">
            <v>حمورة</v>
          </cell>
          <cell r="M1650" t="str">
            <v>C2316</v>
          </cell>
          <cell r="AC1650">
            <v>36.386108399999998</v>
          </cell>
          <cell r="AD1650">
            <v>33.527282720000002</v>
          </cell>
        </row>
        <row r="1651">
          <cell r="L1651" t="str">
            <v>جسرين</v>
          </cell>
          <cell r="M1651" t="str">
            <v>C2317</v>
          </cell>
          <cell r="AC1651">
            <v>36.385681150000003</v>
          </cell>
          <cell r="AD1651">
            <v>33.506286619999997</v>
          </cell>
        </row>
        <row r="1652">
          <cell r="L1652" t="str">
            <v>بيت سوا</v>
          </cell>
          <cell r="M1652" t="str">
            <v>C2318</v>
          </cell>
          <cell r="AC1652">
            <v>36.4005127</v>
          </cell>
          <cell r="AD1652">
            <v>33.538085940000002</v>
          </cell>
        </row>
        <row r="1653">
          <cell r="L1653" t="str">
            <v>كفر بطنا</v>
          </cell>
          <cell r="M1653" t="str">
            <v>C2319</v>
          </cell>
          <cell r="AC1653">
            <v>36.372070309999998</v>
          </cell>
          <cell r="AD1653">
            <v>33.512695309999998</v>
          </cell>
        </row>
        <row r="1654">
          <cell r="L1654" t="str">
            <v>زملكا</v>
          </cell>
          <cell r="M1654" t="str">
            <v>C2320</v>
          </cell>
          <cell r="AC1654">
            <v>36.35571289</v>
          </cell>
          <cell r="AD1654">
            <v>33.527282720000002</v>
          </cell>
        </row>
        <row r="1655">
          <cell r="L1655" t="str">
            <v>عربين</v>
          </cell>
          <cell r="M1655" t="str">
            <v>C2321</v>
          </cell>
          <cell r="AC1655">
            <v>36.366882320000002</v>
          </cell>
          <cell r="AD1655">
            <v>33.539123539999999</v>
          </cell>
        </row>
        <row r="1656">
          <cell r="L1656" t="str">
            <v>جديدة الوادي</v>
          </cell>
          <cell r="M1656" t="str">
            <v>C2322</v>
          </cell>
          <cell r="AC1656">
            <v>36.186523440000002</v>
          </cell>
          <cell r="AD1656">
            <v>33.570495610000002</v>
          </cell>
        </row>
        <row r="1657">
          <cell r="L1657" t="str">
            <v>الهامة</v>
          </cell>
          <cell r="M1657" t="str">
            <v>C2323</v>
          </cell>
          <cell r="AC1657">
            <v>36.217102050000001</v>
          </cell>
          <cell r="AD1657">
            <v>33.562316899999999</v>
          </cell>
        </row>
        <row r="1658">
          <cell r="L1658" t="str">
            <v>أشرفية الوادي</v>
          </cell>
          <cell r="M1658" t="str">
            <v>C2324</v>
          </cell>
          <cell r="AC1658">
            <v>36.1953125</v>
          </cell>
          <cell r="AD1658">
            <v>33.588073729999998</v>
          </cell>
        </row>
        <row r="1659">
          <cell r="L1659" t="str">
            <v>جمرايا</v>
          </cell>
          <cell r="M1659" t="str">
            <v>C2325</v>
          </cell>
          <cell r="AC1659">
            <v>36.231506349999997</v>
          </cell>
          <cell r="AD1659">
            <v>33.567504880000001</v>
          </cell>
        </row>
        <row r="1660">
          <cell r="L1660" t="str">
            <v>بسيمة</v>
          </cell>
          <cell r="M1660" t="str">
            <v>C2326</v>
          </cell>
          <cell r="AC1660">
            <v>36.198913570000002</v>
          </cell>
          <cell r="AD1660">
            <v>33.604675290000003</v>
          </cell>
        </row>
        <row r="1661">
          <cell r="L1661" t="str">
            <v>ضاحية قدسيا السكنية الجديدة</v>
          </cell>
          <cell r="M1661" t="str">
            <v>C2327</v>
          </cell>
          <cell r="AC1661">
            <v>36.191528320000003</v>
          </cell>
          <cell r="AD1661">
            <v>33.539489750000001</v>
          </cell>
        </row>
        <row r="1662">
          <cell r="L1662" t="str">
            <v>قدسيا</v>
          </cell>
          <cell r="M1662" t="str">
            <v>C2328</v>
          </cell>
          <cell r="AC1662">
            <v>36.217285160000003</v>
          </cell>
          <cell r="AD1662">
            <v>33.548278809999999</v>
          </cell>
        </row>
        <row r="1663">
          <cell r="L1663" t="str">
            <v>حوش نصري</v>
          </cell>
          <cell r="M1663" t="str">
            <v>C2329</v>
          </cell>
          <cell r="AC1663">
            <v>36.472717289999999</v>
          </cell>
          <cell r="AD1663">
            <v>33.558105470000001</v>
          </cell>
        </row>
        <row r="1664">
          <cell r="L1664" t="str">
            <v>بطيحة الوافدين</v>
          </cell>
          <cell r="M1664" t="str">
            <v>C2330</v>
          </cell>
          <cell r="AC1664">
            <v>36.430480959999997</v>
          </cell>
          <cell r="AD1664">
            <v>33.595275880000003</v>
          </cell>
        </row>
        <row r="1665">
          <cell r="L1665" t="str">
            <v>عدرا</v>
          </cell>
          <cell r="M1665" t="str">
            <v>C2331</v>
          </cell>
          <cell r="AC1665">
            <v>36.515930179999998</v>
          </cell>
          <cell r="AD1665">
            <v>33.604492190000002</v>
          </cell>
        </row>
        <row r="1666">
          <cell r="L1666" t="str">
            <v>حوش الضواهره</v>
          </cell>
          <cell r="M1666" t="str">
            <v>C2332</v>
          </cell>
          <cell r="AC1666">
            <v>36.45910645</v>
          </cell>
          <cell r="AD1666">
            <v>33.547485350000002</v>
          </cell>
        </row>
        <row r="1667">
          <cell r="L1667" t="str">
            <v>حوش الفاره</v>
          </cell>
          <cell r="M1667" t="str">
            <v>C2333</v>
          </cell>
          <cell r="AC1667">
            <v>36.484680179999998</v>
          </cell>
          <cell r="AD1667">
            <v>33.566284179999997</v>
          </cell>
        </row>
        <row r="1668">
          <cell r="L1668" t="str">
            <v>الشفونية</v>
          </cell>
          <cell r="M1668" t="str">
            <v>C2334</v>
          </cell>
          <cell r="AC1668">
            <v>36.440917970000001</v>
          </cell>
          <cell r="AD1668">
            <v>33.558288570000002</v>
          </cell>
        </row>
        <row r="1669">
          <cell r="L1669" t="str">
            <v>تل الصوان</v>
          </cell>
          <cell r="M1669" t="str">
            <v>C2335</v>
          </cell>
          <cell r="AC1669">
            <v>36.485473630000001</v>
          </cell>
          <cell r="AD1669">
            <v>33.583679199999999</v>
          </cell>
        </row>
        <row r="1670">
          <cell r="L1670" t="str">
            <v>حفير التحتا</v>
          </cell>
          <cell r="M1670" t="str">
            <v>C2336</v>
          </cell>
          <cell r="AC1670">
            <v>36.43450928</v>
          </cell>
          <cell r="AD1670">
            <v>33.649902339999997</v>
          </cell>
        </row>
        <row r="1671">
          <cell r="L1671" t="str">
            <v>الريحان</v>
          </cell>
          <cell r="M1671" t="str">
            <v>C2337</v>
          </cell>
          <cell r="AC1671">
            <v>36.447692869999997</v>
          </cell>
          <cell r="AD1671">
            <v>33.576904300000002</v>
          </cell>
        </row>
        <row r="1672">
          <cell r="L1672" t="str">
            <v>دوما</v>
          </cell>
          <cell r="M1672" t="str">
            <v>C2338</v>
          </cell>
          <cell r="AC1672">
            <v>36.404724119999997</v>
          </cell>
          <cell r="AD1672">
            <v>33.570678710000003</v>
          </cell>
        </row>
        <row r="1673">
          <cell r="L1673" t="str">
            <v>ميدعا</v>
          </cell>
          <cell r="M1673" t="str">
            <v>C2339</v>
          </cell>
          <cell r="AC1673">
            <v>36.526672359999999</v>
          </cell>
          <cell r="AD1673">
            <v>33.561889649999998</v>
          </cell>
        </row>
        <row r="1674">
          <cell r="L1674" t="str">
            <v>مدينة الشهيد باسل الأسد العمالية بعدرا</v>
          </cell>
          <cell r="M1674" t="str">
            <v>C2340</v>
          </cell>
          <cell r="AC1674">
            <v>36.511901860000002</v>
          </cell>
          <cell r="AD1674">
            <v>33.634094240000003</v>
          </cell>
        </row>
        <row r="1675">
          <cell r="L1675" t="str">
            <v>ضاحية الأسد</v>
          </cell>
          <cell r="M1675" t="str">
            <v>C2341</v>
          </cell>
          <cell r="AC1675">
            <v>36.358093259999997</v>
          </cell>
          <cell r="AD1675">
            <v>33.581298830000001</v>
          </cell>
        </row>
        <row r="1676">
          <cell r="L1676" t="str">
            <v>حرستا</v>
          </cell>
          <cell r="M1676" t="str">
            <v>C2342</v>
          </cell>
          <cell r="AC1676">
            <v>36.371276860000002</v>
          </cell>
          <cell r="AD1676">
            <v>33.564270020000002</v>
          </cell>
        </row>
        <row r="1677">
          <cell r="L1677" t="str">
            <v>مديرا</v>
          </cell>
          <cell r="M1677" t="str">
            <v>C2343</v>
          </cell>
          <cell r="AC1677">
            <v>36.38647461</v>
          </cell>
          <cell r="AD1677">
            <v>33.545104979999998</v>
          </cell>
        </row>
        <row r="1678">
          <cell r="L1678" t="str">
            <v>مسرابا</v>
          </cell>
          <cell r="M1678" t="str">
            <v>C2344</v>
          </cell>
          <cell r="AC1678">
            <v>36.4005127</v>
          </cell>
          <cell r="AD1678">
            <v>33.550292970000001</v>
          </cell>
        </row>
        <row r="1679">
          <cell r="L1679" t="str">
            <v>السبع بيار</v>
          </cell>
          <cell r="M1679" t="str">
            <v>C2345</v>
          </cell>
          <cell r="AC1679">
            <v>37.688110350000002</v>
          </cell>
          <cell r="AD1679">
            <v>33.78009033</v>
          </cell>
        </row>
        <row r="1680">
          <cell r="L1680" t="str">
            <v>الضمير</v>
          </cell>
          <cell r="M1680" t="str">
            <v>C2346</v>
          </cell>
          <cell r="AC1680">
            <v>36.691101070000002</v>
          </cell>
          <cell r="AD1680">
            <v>33.644103999999999</v>
          </cell>
        </row>
        <row r="1681">
          <cell r="L1681" t="str">
            <v>بزينة</v>
          </cell>
          <cell r="M1681" t="str">
            <v>C2347</v>
          </cell>
          <cell r="AC1681">
            <v>36.442687990000003</v>
          </cell>
          <cell r="AD1681">
            <v>33.482299810000001</v>
          </cell>
        </row>
        <row r="1682">
          <cell r="L1682" t="str">
            <v>العتيبة</v>
          </cell>
          <cell r="M1682" t="str">
            <v>C2348</v>
          </cell>
          <cell r="AC1682">
            <v>36.601684570000003</v>
          </cell>
          <cell r="AD1682">
            <v>33.484313970000002</v>
          </cell>
        </row>
        <row r="1683">
          <cell r="L1683" t="str">
            <v>البحارية</v>
          </cell>
          <cell r="M1683" t="str">
            <v>C2349</v>
          </cell>
          <cell r="AC1683">
            <v>36.529296879999997</v>
          </cell>
          <cell r="AD1683">
            <v>33.528320309999998</v>
          </cell>
        </row>
        <row r="1684">
          <cell r="L1684" t="str">
            <v>أوتايا</v>
          </cell>
          <cell r="M1684" t="str">
            <v>C2350</v>
          </cell>
          <cell r="AC1684">
            <v>36.458496089999997</v>
          </cell>
          <cell r="AD1684">
            <v>33.52252197</v>
          </cell>
        </row>
        <row r="1685">
          <cell r="L1685" t="str">
            <v>القيسا</v>
          </cell>
          <cell r="M1685" t="str">
            <v>C2351</v>
          </cell>
          <cell r="AC1685">
            <v>36.542114259999998</v>
          </cell>
          <cell r="AD1685">
            <v>33.485107419999999</v>
          </cell>
        </row>
        <row r="1686">
          <cell r="L1686" t="str">
            <v>حرستا القنطرة</v>
          </cell>
          <cell r="M1686" t="str">
            <v>C2352</v>
          </cell>
          <cell r="AC1686">
            <v>36.449707029999999</v>
          </cell>
          <cell r="AD1686">
            <v>33.489685059999999</v>
          </cell>
        </row>
        <row r="1687">
          <cell r="L1687" t="str">
            <v>الأحمدية</v>
          </cell>
          <cell r="M1687" t="str">
            <v>C2353</v>
          </cell>
          <cell r="AC1687">
            <v>36.516479490000002</v>
          </cell>
          <cell r="AD1687">
            <v>33.470703129999997</v>
          </cell>
        </row>
        <row r="1688">
          <cell r="L1688" t="str">
            <v>البلالية</v>
          </cell>
          <cell r="M1688" t="str">
            <v>C2354</v>
          </cell>
          <cell r="AC1688">
            <v>36.497314449999998</v>
          </cell>
          <cell r="AD1688">
            <v>33.495300290000003</v>
          </cell>
        </row>
        <row r="1689">
          <cell r="L1689" t="str">
            <v>النشابية</v>
          </cell>
          <cell r="M1689" t="str">
            <v>C2355</v>
          </cell>
          <cell r="AC1689">
            <v>36.485473630000001</v>
          </cell>
          <cell r="AD1689">
            <v>33.510681150000003</v>
          </cell>
        </row>
        <row r="1690">
          <cell r="L1690" t="str">
            <v>القاسمية</v>
          </cell>
          <cell r="M1690" t="str">
            <v>C2356</v>
          </cell>
          <cell r="AC1690">
            <v>36.515319820000002</v>
          </cell>
          <cell r="AD1690">
            <v>33.510314940000001</v>
          </cell>
        </row>
        <row r="1691">
          <cell r="L1691" t="str">
            <v>العبادة</v>
          </cell>
          <cell r="M1691" t="str">
            <v>C2357</v>
          </cell>
          <cell r="AC1691">
            <v>36.563903809999999</v>
          </cell>
          <cell r="AD1691">
            <v>33.503295899999998</v>
          </cell>
        </row>
        <row r="1692">
          <cell r="L1692" t="str">
            <v>الخامسية</v>
          </cell>
          <cell r="M1692" t="str">
            <v>C2358</v>
          </cell>
          <cell r="AC1692">
            <v>36.501281740000003</v>
          </cell>
          <cell r="AD1692">
            <v>33.466125490000003</v>
          </cell>
        </row>
        <row r="1693">
          <cell r="L1693" t="str">
            <v>دير سلمان</v>
          </cell>
          <cell r="M1693" t="str">
            <v>C2359</v>
          </cell>
          <cell r="AC1693">
            <v>36.501525880000003</v>
          </cell>
          <cell r="AD1693">
            <v>33.481079100000002</v>
          </cell>
        </row>
        <row r="1694">
          <cell r="L1694" t="str">
            <v>الصالحية</v>
          </cell>
          <cell r="M1694" t="str">
            <v>C2360</v>
          </cell>
          <cell r="AC1694">
            <v>36.464721679999997</v>
          </cell>
          <cell r="AD1694">
            <v>33.514282229999999</v>
          </cell>
        </row>
        <row r="1695">
          <cell r="L1695" t="str">
            <v>الجربا</v>
          </cell>
          <cell r="M1695" t="str">
            <v>C2361</v>
          </cell>
          <cell r="AC1695">
            <v>36.536499020000001</v>
          </cell>
          <cell r="AD1695">
            <v>33.516113279999999</v>
          </cell>
        </row>
        <row r="1696">
          <cell r="L1696" t="str">
            <v>الزمانية</v>
          </cell>
          <cell r="M1696" t="str">
            <v>C2362</v>
          </cell>
          <cell r="AC1696">
            <v>36.521484379999997</v>
          </cell>
          <cell r="AD1696">
            <v>33.496887209999997</v>
          </cell>
        </row>
        <row r="1697">
          <cell r="L1697" t="str">
            <v>بيت نايم</v>
          </cell>
          <cell r="M1697" t="str">
            <v>C2363</v>
          </cell>
          <cell r="AC1697">
            <v>36.443298339999998</v>
          </cell>
          <cell r="AD1697">
            <v>33.511291499999999</v>
          </cell>
        </row>
        <row r="1698">
          <cell r="L1698" t="str">
            <v>المنصورة</v>
          </cell>
          <cell r="M1698" t="str">
            <v>C2364</v>
          </cell>
          <cell r="AC1698">
            <v>36.467102050000001</v>
          </cell>
          <cell r="AD1698">
            <v>33.452087400000003</v>
          </cell>
        </row>
        <row r="1699">
          <cell r="L1699" t="str">
            <v>نولة</v>
          </cell>
          <cell r="M1699" t="str">
            <v>C2365</v>
          </cell>
          <cell r="AC1699">
            <v>36.462280270000001</v>
          </cell>
          <cell r="AD1699">
            <v>33.464111330000001</v>
          </cell>
        </row>
        <row r="1700">
          <cell r="L1700" t="str">
            <v>مرج السلطان</v>
          </cell>
          <cell r="M1700" t="str">
            <v>C2366</v>
          </cell>
          <cell r="AC1700">
            <v>36.470275880000003</v>
          </cell>
          <cell r="AD1700">
            <v>33.494873050000002</v>
          </cell>
        </row>
        <row r="1701">
          <cell r="L1701" t="str">
            <v>وديان الربيع</v>
          </cell>
          <cell r="M1701" t="str">
            <v>C2367</v>
          </cell>
          <cell r="AC1701">
            <v>36.687316899999999</v>
          </cell>
          <cell r="AD1701">
            <v>33.43908691</v>
          </cell>
        </row>
        <row r="1702">
          <cell r="L1702" t="str">
            <v>سكا</v>
          </cell>
          <cell r="M1702" t="str">
            <v>C2368</v>
          </cell>
          <cell r="AC1702">
            <v>36.46691895</v>
          </cell>
          <cell r="AD1702">
            <v>33.435729979999998</v>
          </cell>
        </row>
        <row r="1703">
          <cell r="L1703" t="str">
            <v>البيطارية</v>
          </cell>
          <cell r="M1703" t="str">
            <v>C2369</v>
          </cell>
          <cell r="AC1703">
            <v>36.54272461</v>
          </cell>
          <cell r="AD1703">
            <v>33.315673830000001</v>
          </cell>
        </row>
        <row r="1704">
          <cell r="L1704" t="str">
            <v>الغزلانية</v>
          </cell>
          <cell r="M1704" t="str">
            <v>C2370</v>
          </cell>
          <cell r="AC1704">
            <v>36.453491210000003</v>
          </cell>
          <cell r="AD1704">
            <v>33.400329589999998</v>
          </cell>
        </row>
        <row r="1705">
          <cell r="L1705" t="str">
            <v>الهيجانة</v>
          </cell>
          <cell r="M1705" t="str">
            <v>C2371</v>
          </cell>
          <cell r="AC1705">
            <v>36.546325680000002</v>
          </cell>
          <cell r="AD1705">
            <v>33.36029053</v>
          </cell>
        </row>
        <row r="1706">
          <cell r="L1706" t="str">
            <v>القرمشية</v>
          </cell>
          <cell r="M1706" t="str">
            <v>C2372</v>
          </cell>
          <cell r="AC1706">
            <v>36.424499509999997</v>
          </cell>
          <cell r="AD1706">
            <v>33.376708979999997</v>
          </cell>
        </row>
        <row r="1707">
          <cell r="L1707" t="str">
            <v>تل مسكن</v>
          </cell>
          <cell r="M1707" t="str">
            <v>C2373</v>
          </cell>
          <cell r="AC1707">
            <v>36.49908447</v>
          </cell>
          <cell r="AD1707">
            <v>33.370117190000002</v>
          </cell>
        </row>
        <row r="1708">
          <cell r="L1708" t="str">
            <v>البياض</v>
          </cell>
          <cell r="M1708" t="str">
            <v>C2374</v>
          </cell>
          <cell r="AC1708">
            <v>36.442871089999997</v>
          </cell>
          <cell r="AD1708">
            <v>33.406921390000001</v>
          </cell>
        </row>
        <row r="1709">
          <cell r="L1709" t="str">
            <v>غسولة</v>
          </cell>
          <cell r="M1709" t="str">
            <v>C2375</v>
          </cell>
          <cell r="AC1709">
            <v>36.49127197</v>
          </cell>
          <cell r="AD1709">
            <v>33.426879880000001</v>
          </cell>
        </row>
        <row r="1710">
          <cell r="L1710" t="str">
            <v>دير الحجر</v>
          </cell>
          <cell r="M1710" t="str">
            <v>C2376</v>
          </cell>
          <cell r="AC1710">
            <v>36.447326660000002</v>
          </cell>
          <cell r="AD1710">
            <v>33.35131836</v>
          </cell>
        </row>
        <row r="1711">
          <cell r="L1711" t="str">
            <v>دلبة</v>
          </cell>
          <cell r="M1711" t="str">
            <v>C2377</v>
          </cell>
          <cell r="AC1711">
            <v>36.472473149999999</v>
          </cell>
          <cell r="AD1711">
            <v>33.442077640000001</v>
          </cell>
        </row>
        <row r="1712">
          <cell r="L1712" t="str">
            <v>قرحتا</v>
          </cell>
          <cell r="M1712" t="str">
            <v>C2378</v>
          </cell>
          <cell r="AC1712">
            <v>36.425903320000003</v>
          </cell>
          <cell r="AD1712">
            <v>33.406127929999997</v>
          </cell>
        </row>
        <row r="1713">
          <cell r="L1713" t="str">
            <v>المباركة</v>
          </cell>
          <cell r="M1713" t="str">
            <v>C2379</v>
          </cell>
          <cell r="AC1713">
            <v>36.601074220000001</v>
          </cell>
          <cell r="AD1713">
            <v>33.404296879999997</v>
          </cell>
        </row>
        <row r="1714">
          <cell r="L1714" t="str">
            <v>حران العواميد</v>
          </cell>
          <cell r="M1714" t="str">
            <v>C2380</v>
          </cell>
          <cell r="AC1714">
            <v>36.55950928</v>
          </cell>
          <cell r="AD1714">
            <v>33.448120119999999</v>
          </cell>
        </row>
        <row r="1715">
          <cell r="L1715" t="str">
            <v>جديدة الخاص</v>
          </cell>
          <cell r="M1715" t="str">
            <v>C2381</v>
          </cell>
          <cell r="AC1715">
            <v>36.543701169999999</v>
          </cell>
          <cell r="AD1715">
            <v>33.406311039999999</v>
          </cell>
        </row>
        <row r="1716">
          <cell r="L1716" t="str">
            <v>الكفرين</v>
          </cell>
          <cell r="M1716" t="str">
            <v>C2382</v>
          </cell>
          <cell r="AC1716">
            <v>36.550903320000003</v>
          </cell>
          <cell r="AD1716">
            <v>33.437072749999999</v>
          </cell>
        </row>
        <row r="1717">
          <cell r="L1717" t="str">
            <v>حله</v>
          </cell>
          <cell r="M1717" t="str">
            <v>C2383</v>
          </cell>
          <cell r="AC1717">
            <v>36.530517580000001</v>
          </cell>
          <cell r="AD1717">
            <v>33.737304690000002</v>
          </cell>
        </row>
        <row r="1718">
          <cell r="L1718" t="str">
            <v>القطيفة</v>
          </cell>
          <cell r="M1718" t="str">
            <v>C2384</v>
          </cell>
          <cell r="AC1718">
            <v>36.596679690000002</v>
          </cell>
          <cell r="AD1718">
            <v>33.738098149999999</v>
          </cell>
        </row>
        <row r="1719">
          <cell r="L1719" t="str">
            <v>معضمية القلمون</v>
          </cell>
          <cell r="M1719" t="str">
            <v>C2385</v>
          </cell>
          <cell r="AC1719">
            <v>36.641723630000001</v>
          </cell>
          <cell r="AD1719">
            <v>33.742126470000002</v>
          </cell>
        </row>
        <row r="1720">
          <cell r="L1720" t="str">
            <v>الناصرية</v>
          </cell>
          <cell r="M1720" t="str">
            <v>C2386</v>
          </cell>
          <cell r="AC1720">
            <v>36.813720699999998</v>
          </cell>
          <cell r="AD1720">
            <v>33.87268066</v>
          </cell>
        </row>
        <row r="1721">
          <cell r="L1721" t="str">
            <v>جيرود</v>
          </cell>
          <cell r="M1721" t="str">
            <v>C2387</v>
          </cell>
          <cell r="AC1721">
            <v>36.739929199999999</v>
          </cell>
          <cell r="AD1721">
            <v>33.806884770000003</v>
          </cell>
        </row>
        <row r="1722">
          <cell r="L1722" t="str">
            <v>العطنة</v>
          </cell>
          <cell r="M1722" t="str">
            <v>C2388</v>
          </cell>
          <cell r="AC1722">
            <v>36.766906740000003</v>
          </cell>
          <cell r="AD1722">
            <v>33.84790039</v>
          </cell>
        </row>
        <row r="1723">
          <cell r="L1723" t="str">
            <v>عين التينة</v>
          </cell>
          <cell r="M1723" t="str">
            <v>C2390</v>
          </cell>
          <cell r="AC1723">
            <v>36.557922359999999</v>
          </cell>
          <cell r="AD1723">
            <v>33.817077640000001</v>
          </cell>
        </row>
        <row r="1724">
          <cell r="L1724" t="str">
            <v>جبعدين</v>
          </cell>
          <cell r="M1724" t="str">
            <v>C2391</v>
          </cell>
          <cell r="AC1724">
            <v>36.508300779999999</v>
          </cell>
          <cell r="AD1724">
            <v>33.820922850000002</v>
          </cell>
        </row>
        <row r="1725">
          <cell r="L1725" t="str">
            <v>التواني</v>
          </cell>
          <cell r="M1725" t="str">
            <v>C2392</v>
          </cell>
          <cell r="AC1725">
            <v>36.500671390000001</v>
          </cell>
          <cell r="AD1725">
            <v>33.77850342</v>
          </cell>
        </row>
        <row r="1726">
          <cell r="L1726" t="str">
            <v>معلولا</v>
          </cell>
          <cell r="M1726" t="str">
            <v>C2393</v>
          </cell>
          <cell r="AC1726">
            <v>36.546875</v>
          </cell>
          <cell r="AD1726">
            <v>33.844116210000003</v>
          </cell>
        </row>
        <row r="1727">
          <cell r="L1727" t="str">
            <v>الرحيبة</v>
          </cell>
          <cell r="M1727" t="str">
            <v>C2394</v>
          </cell>
          <cell r="AC1727">
            <v>36.706481930000002</v>
          </cell>
          <cell r="AD1727">
            <v>33.747314449999998</v>
          </cell>
        </row>
        <row r="1728">
          <cell r="L1728" t="str">
            <v>التل</v>
          </cell>
          <cell r="M1728" t="str">
            <v>C2395</v>
          </cell>
          <cell r="AC1728">
            <v>36.311889649999998</v>
          </cell>
          <cell r="AD1728">
            <v>33.60430908</v>
          </cell>
        </row>
        <row r="1729">
          <cell r="L1729" t="str">
            <v>تلفيتا</v>
          </cell>
          <cell r="M1729" t="str">
            <v>C2396</v>
          </cell>
          <cell r="AC1729">
            <v>36.322082520000002</v>
          </cell>
          <cell r="AD1729">
            <v>33.699096679999997</v>
          </cell>
        </row>
        <row r="1730">
          <cell r="L1730" t="str">
            <v>حلبون</v>
          </cell>
          <cell r="M1730" t="str">
            <v>C2397</v>
          </cell>
          <cell r="AC1730">
            <v>36.24768066</v>
          </cell>
          <cell r="AD1730">
            <v>33.66247559</v>
          </cell>
        </row>
        <row r="1731">
          <cell r="L1731" t="str">
            <v>الدريج</v>
          </cell>
          <cell r="M1731" t="str">
            <v>C2398</v>
          </cell>
          <cell r="AC1731">
            <v>36.262512209999997</v>
          </cell>
          <cell r="AD1731">
            <v>33.620117190000002</v>
          </cell>
        </row>
        <row r="1732">
          <cell r="L1732" t="str">
            <v>منين</v>
          </cell>
          <cell r="M1732" t="str">
            <v>C2399</v>
          </cell>
          <cell r="AC1732">
            <v>36.297729490000002</v>
          </cell>
          <cell r="AD1732">
            <v>33.643127440000001</v>
          </cell>
        </row>
        <row r="1733">
          <cell r="L1733" t="str">
            <v>معرونة</v>
          </cell>
          <cell r="M1733" t="str">
            <v>C2400</v>
          </cell>
          <cell r="AC1733">
            <v>36.400329589999998</v>
          </cell>
          <cell r="AD1733">
            <v>33.637695309999998</v>
          </cell>
        </row>
        <row r="1734">
          <cell r="L1734" t="str">
            <v>معربا</v>
          </cell>
          <cell r="M1734" t="str">
            <v>C2401</v>
          </cell>
          <cell r="AC1734">
            <v>36.297912599999997</v>
          </cell>
          <cell r="AD1734">
            <v>33.577697749999999</v>
          </cell>
        </row>
        <row r="1735">
          <cell r="L1735" t="str">
            <v>بدا</v>
          </cell>
          <cell r="M1735" t="str">
            <v>C2402</v>
          </cell>
          <cell r="AC1735">
            <v>36.42810059</v>
          </cell>
          <cell r="AD1735">
            <v>33.686523440000002</v>
          </cell>
        </row>
        <row r="1736">
          <cell r="L1736" t="str">
            <v>عكوبر</v>
          </cell>
          <cell r="M1736" t="str">
            <v>C2403</v>
          </cell>
          <cell r="AC1736">
            <v>36.463317869999997</v>
          </cell>
          <cell r="AD1736">
            <v>33.741699220000001</v>
          </cell>
        </row>
        <row r="1737">
          <cell r="L1737" t="str">
            <v>صيدنايا</v>
          </cell>
          <cell r="M1737" t="str">
            <v>C2404</v>
          </cell>
          <cell r="AC1737">
            <v>36.369873050000002</v>
          </cell>
          <cell r="AD1737">
            <v>33.692077640000001</v>
          </cell>
        </row>
        <row r="1738">
          <cell r="L1738" t="str">
            <v>حفير الفوقا</v>
          </cell>
          <cell r="M1738" t="str">
            <v>C2405</v>
          </cell>
          <cell r="AC1738">
            <v>36.477905270000001</v>
          </cell>
          <cell r="AD1738">
            <v>33.711730959999997</v>
          </cell>
        </row>
        <row r="1739">
          <cell r="L1739" t="str">
            <v>معرة صيدنايا</v>
          </cell>
          <cell r="M1739" t="str">
            <v>C2406</v>
          </cell>
          <cell r="AC1739">
            <v>36.37890625</v>
          </cell>
          <cell r="AD1739">
            <v>33.66888428</v>
          </cell>
        </row>
        <row r="1740">
          <cell r="L1740" t="str">
            <v>حوش عرب</v>
          </cell>
          <cell r="M1740" t="str">
            <v>C2407</v>
          </cell>
          <cell r="AC1740">
            <v>36.445922850000002</v>
          </cell>
          <cell r="AD1740">
            <v>33.813720699999998</v>
          </cell>
        </row>
        <row r="1741">
          <cell r="L1741" t="str">
            <v>الفياضية</v>
          </cell>
          <cell r="M1741" t="str">
            <v>C2408</v>
          </cell>
          <cell r="AC1741">
            <v>36.412109379999997</v>
          </cell>
          <cell r="AD1741">
            <v>33.805480959999997</v>
          </cell>
        </row>
        <row r="1742">
          <cell r="L1742" t="str">
            <v>الجرنية</v>
          </cell>
          <cell r="M1742" t="str">
            <v>C2409</v>
          </cell>
          <cell r="AC1742">
            <v>36.393493650000003</v>
          </cell>
          <cell r="AD1742">
            <v>33.7833252</v>
          </cell>
        </row>
        <row r="1743">
          <cell r="L1743" t="str">
            <v>رنكوس</v>
          </cell>
          <cell r="M1743" t="str">
            <v>C2410</v>
          </cell>
          <cell r="AC1743">
            <v>36.390686039999999</v>
          </cell>
          <cell r="AD1743">
            <v>33.756103520000003</v>
          </cell>
        </row>
        <row r="1744">
          <cell r="L1744" t="str">
            <v>المحبة</v>
          </cell>
          <cell r="M1744" t="str">
            <v>C2411</v>
          </cell>
          <cell r="AC1744">
            <v>36.421875</v>
          </cell>
          <cell r="AD1744">
            <v>33.799682619999999</v>
          </cell>
        </row>
        <row r="1745">
          <cell r="L1745" t="str">
            <v>ريما</v>
          </cell>
          <cell r="M1745" t="str">
            <v>C2412</v>
          </cell>
          <cell r="AC1745">
            <v>36.667480470000001</v>
          </cell>
          <cell r="AD1745">
            <v>33.989501949999998</v>
          </cell>
        </row>
        <row r="1746">
          <cell r="L1746" t="str">
            <v>رأس المعرة</v>
          </cell>
          <cell r="M1746" t="str">
            <v>C2413</v>
          </cell>
          <cell r="AC1746">
            <v>36.560119630000003</v>
          </cell>
          <cell r="AD1746">
            <v>34.000122070000003</v>
          </cell>
        </row>
        <row r="1747">
          <cell r="L1747" t="str">
            <v>الصرخه</v>
          </cell>
          <cell r="M1747" t="str">
            <v>C2414</v>
          </cell>
          <cell r="AC1747">
            <v>36.562072749999999</v>
          </cell>
          <cell r="AD1747">
            <v>33.8848877</v>
          </cell>
        </row>
        <row r="1748">
          <cell r="L1748" t="str">
            <v>رأس العين - يبرود</v>
          </cell>
          <cell r="M1748" t="str">
            <v>C2415</v>
          </cell>
          <cell r="AC1748">
            <v>36.618896479999997</v>
          </cell>
          <cell r="AD1748">
            <v>33.944885249999999</v>
          </cell>
        </row>
        <row r="1749">
          <cell r="L1749" t="str">
            <v>يبرود</v>
          </cell>
          <cell r="M1749" t="str">
            <v>C2416</v>
          </cell>
          <cell r="AC1749">
            <v>36.659484859999999</v>
          </cell>
          <cell r="AD1749">
            <v>33.968322749999999</v>
          </cell>
        </row>
        <row r="1750">
          <cell r="L1750" t="str">
            <v>عسال الورد</v>
          </cell>
          <cell r="M1750" t="str">
            <v>C2417</v>
          </cell>
          <cell r="AC1750">
            <v>36.414672850000002</v>
          </cell>
          <cell r="AD1750">
            <v>33.865112310000001</v>
          </cell>
        </row>
        <row r="1751">
          <cell r="L1751" t="str">
            <v>الجبة</v>
          </cell>
          <cell r="M1751" t="str">
            <v>C2418</v>
          </cell>
          <cell r="AC1751">
            <v>36.483886720000001</v>
          </cell>
          <cell r="AD1751">
            <v>33.907897949999999</v>
          </cell>
        </row>
        <row r="1752">
          <cell r="L1752" t="str">
            <v>النبك</v>
          </cell>
          <cell r="M1752" t="str">
            <v>C2419</v>
          </cell>
          <cell r="AC1752">
            <v>36.731323240000002</v>
          </cell>
          <cell r="AD1752">
            <v>34.02368164</v>
          </cell>
        </row>
        <row r="1753">
          <cell r="L1753" t="str">
            <v>السحل</v>
          </cell>
          <cell r="M1753" t="str">
            <v>C2420</v>
          </cell>
          <cell r="AC1753">
            <v>36.66290283</v>
          </cell>
          <cell r="AD1753">
            <v>34.022705080000001</v>
          </cell>
        </row>
        <row r="1754">
          <cell r="L1754" t="str">
            <v>القسطل</v>
          </cell>
          <cell r="M1754" t="str">
            <v>C2421</v>
          </cell>
          <cell r="AC1754">
            <v>36.695678710000003</v>
          </cell>
          <cell r="AD1754">
            <v>33.924926759999998</v>
          </cell>
        </row>
        <row r="1755">
          <cell r="L1755" t="str">
            <v>مشرفة فليطة</v>
          </cell>
          <cell r="M1755" t="str">
            <v>C2422</v>
          </cell>
          <cell r="AC1755">
            <v>36.583923339999998</v>
          </cell>
          <cell r="AD1755">
            <v>34.029296879999997</v>
          </cell>
        </row>
        <row r="1756">
          <cell r="L1756" t="str">
            <v>قلدون المراح</v>
          </cell>
          <cell r="M1756" t="str">
            <v>C2423</v>
          </cell>
          <cell r="AC1756">
            <v>36.6875</v>
          </cell>
          <cell r="AD1756">
            <v>33.879272460000003</v>
          </cell>
        </row>
        <row r="1757">
          <cell r="L1757" t="str">
            <v>دير عطية</v>
          </cell>
          <cell r="M1757" t="str">
            <v>C2424</v>
          </cell>
          <cell r="AC1757">
            <v>36.77252197</v>
          </cell>
          <cell r="AD1757">
            <v>34.098327640000001</v>
          </cell>
        </row>
        <row r="1758">
          <cell r="L1758" t="str">
            <v>الحميرة</v>
          </cell>
          <cell r="M1758" t="str">
            <v>C2425</v>
          </cell>
          <cell r="AC1758">
            <v>36.845275880000003</v>
          </cell>
          <cell r="AD1758">
            <v>34.171691899999999</v>
          </cell>
        </row>
        <row r="1759">
          <cell r="L1759" t="str">
            <v>الجراجير</v>
          </cell>
          <cell r="M1759" t="str">
            <v>C2426</v>
          </cell>
          <cell r="AC1759">
            <v>36.660888669999999</v>
          </cell>
          <cell r="AD1759">
            <v>34.083129880000001</v>
          </cell>
        </row>
        <row r="1760">
          <cell r="L1760" t="str">
            <v>قارة</v>
          </cell>
          <cell r="M1760" t="str">
            <v>C2427</v>
          </cell>
          <cell r="AC1760">
            <v>36.748718259999997</v>
          </cell>
          <cell r="AD1760">
            <v>34.156311039999999</v>
          </cell>
        </row>
        <row r="1761">
          <cell r="L1761" t="str">
            <v>الزبداني</v>
          </cell>
          <cell r="M1761" t="str">
            <v>C2429</v>
          </cell>
          <cell r="AC1761">
            <v>36.10247803</v>
          </cell>
          <cell r="AD1761">
            <v>33.725280759999997</v>
          </cell>
        </row>
        <row r="1762">
          <cell r="L1762" t="str">
            <v>سوق وادي بردى</v>
          </cell>
          <cell r="M1762" t="str">
            <v>C2430</v>
          </cell>
          <cell r="AC1762">
            <v>36.106079100000002</v>
          </cell>
          <cell r="AD1762">
            <v>33.626708979999997</v>
          </cell>
        </row>
        <row r="1763">
          <cell r="L1763" t="str">
            <v>الروضة_البطرونة</v>
          </cell>
          <cell r="M1763" t="str">
            <v>C2431</v>
          </cell>
          <cell r="AC1763">
            <v>36.024719240000003</v>
          </cell>
          <cell r="AD1763">
            <v>33.65509033</v>
          </cell>
        </row>
        <row r="1764">
          <cell r="L1764" t="str">
            <v>حوش بجد</v>
          </cell>
          <cell r="M1764" t="str">
            <v>C2432</v>
          </cell>
          <cell r="AC1764">
            <v>36.06091309</v>
          </cell>
          <cell r="AD1764">
            <v>33.653320309999998</v>
          </cell>
        </row>
        <row r="1765">
          <cell r="L1765" t="str">
            <v>برهليا</v>
          </cell>
          <cell r="M1765" t="str">
            <v>C2433</v>
          </cell>
          <cell r="AC1765">
            <v>36.114501949999998</v>
          </cell>
          <cell r="AD1765">
            <v>33.627685550000002</v>
          </cell>
        </row>
        <row r="1766">
          <cell r="L1766" t="str">
            <v>بلودان</v>
          </cell>
          <cell r="M1766" t="str">
            <v>C2434</v>
          </cell>
          <cell r="AC1766">
            <v>36.126281740000003</v>
          </cell>
          <cell r="AD1766">
            <v>33.725524900000003</v>
          </cell>
        </row>
        <row r="1767">
          <cell r="L1767" t="str">
            <v>كفر العواميد</v>
          </cell>
          <cell r="M1767" t="str">
            <v>C2435</v>
          </cell>
          <cell r="AC1767">
            <v>36.118286130000001</v>
          </cell>
          <cell r="AD1767">
            <v>33.619079589999998</v>
          </cell>
        </row>
        <row r="1768">
          <cell r="L1768" t="str">
            <v>جديدة يابوس</v>
          </cell>
          <cell r="M1768" t="str">
            <v>C2436</v>
          </cell>
          <cell r="AC1768">
            <v>35.979919430000002</v>
          </cell>
          <cell r="AD1768">
            <v>33.65209961</v>
          </cell>
        </row>
        <row r="1769">
          <cell r="L1769" t="str">
            <v>الديماس</v>
          </cell>
          <cell r="M1769" t="str">
            <v>C2437</v>
          </cell>
          <cell r="AC1769">
            <v>36.092285160000003</v>
          </cell>
          <cell r="AD1769">
            <v>33.587890629999997</v>
          </cell>
        </row>
        <row r="1770">
          <cell r="L1770" t="str">
            <v>معدر</v>
          </cell>
          <cell r="M1770" t="str">
            <v>C2438</v>
          </cell>
          <cell r="AC1770">
            <v>36.011291499999999</v>
          </cell>
          <cell r="AD1770">
            <v>33.737487790000003</v>
          </cell>
        </row>
        <row r="1771">
          <cell r="L1771" t="str">
            <v>قرى الأسد</v>
          </cell>
          <cell r="M1771" t="str">
            <v>C2439</v>
          </cell>
          <cell r="AC1771">
            <v>36.134277339999997</v>
          </cell>
          <cell r="AD1771">
            <v>33.554321289999997</v>
          </cell>
        </row>
        <row r="1772">
          <cell r="L1772" t="str">
            <v>كفير يابوس</v>
          </cell>
          <cell r="M1772" t="str">
            <v>C2440</v>
          </cell>
          <cell r="AC1772">
            <v>36.00689697</v>
          </cell>
          <cell r="AD1772">
            <v>33.694519040000003</v>
          </cell>
        </row>
        <row r="1773">
          <cell r="L1773" t="str">
            <v>يابوس</v>
          </cell>
          <cell r="M1773" t="str">
            <v>C2441</v>
          </cell>
          <cell r="AC1773">
            <v>36.00689697</v>
          </cell>
          <cell r="AD1773">
            <v>33.67071533</v>
          </cell>
        </row>
        <row r="1774">
          <cell r="L1774" t="str">
            <v>مزرعة دير العشائر</v>
          </cell>
          <cell r="M1774" t="str">
            <v>C2442</v>
          </cell>
          <cell r="AC1774">
            <v>36.01330566</v>
          </cell>
          <cell r="AD1774">
            <v>33.573913570000002</v>
          </cell>
        </row>
        <row r="1775">
          <cell r="L1775" t="str">
            <v>افرة</v>
          </cell>
          <cell r="M1775" t="str">
            <v>C2443</v>
          </cell>
          <cell r="AC1775">
            <v>36.186279300000002</v>
          </cell>
          <cell r="AD1775">
            <v>33.654479979999998</v>
          </cell>
        </row>
        <row r="1776">
          <cell r="L1776" t="str">
            <v>دير مقرن</v>
          </cell>
          <cell r="M1776" t="str">
            <v>C2444</v>
          </cell>
          <cell r="AC1776">
            <v>36.154296879999997</v>
          </cell>
          <cell r="AD1776">
            <v>33.616516109999999</v>
          </cell>
        </row>
        <row r="1777">
          <cell r="L1777" t="str">
            <v>دير قانون</v>
          </cell>
          <cell r="M1777" t="str">
            <v>C2445</v>
          </cell>
          <cell r="AC1777">
            <v>36.136108399999998</v>
          </cell>
          <cell r="AD1777">
            <v>33.60388184</v>
          </cell>
        </row>
        <row r="1778">
          <cell r="L1778" t="str">
            <v>الحسينية</v>
          </cell>
          <cell r="M1778" t="str">
            <v>C2446</v>
          </cell>
          <cell r="AC1778">
            <v>36.123474119999997</v>
          </cell>
          <cell r="AD1778">
            <v>33.609497070000003</v>
          </cell>
        </row>
        <row r="1779">
          <cell r="L1779" t="str">
            <v>عين الفيجة</v>
          </cell>
          <cell r="M1779" t="str">
            <v>C2447</v>
          </cell>
          <cell r="AC1779">
            <v>36.181884770000003</v>
          </cell>
          <cell r="AD1779">
            <v>33.615112310000001</v>
          </cell>
        </row>
        <row r="1780">
          <cell r="L1780" t="str">
            <v>كفير الزيت</v>
          </cell>
          <cell r="M1780" t="str">
            <v>C2448</v>
          </cell>
          <cell r="AC1780">
            <v>36.141479490000002</v>
          </cell>
          <cell r="AD1780">
            <v>33.611083979999997</v>
          </cell>
        </row>
        <row r="1781">
          <cell r="L1781" t="str">
            <v>بقين</v>
          </cell>
          <cell r="M1781" t="str">
            <v>C2449</v>
          </cell>
          <cell r="AC1781">
            <v>36.106323240000002</v>
          </cell>
          <cell r="AD1781">
            <v>33.701110839999998</v>
          </cell>
        </row>
        <row r="1782">
          <cell r="L1782" t="str">
            <v>مضايا</v>
          </cell>
          <cell r="M1782" t="str">
            <v>C2450</v>
          </cell>
          <cell r="AC1782">
            <v>36.096313479999999</v>
          </cell>
          <cell r="AD1782">
            <v>33.690124509999997</v>
          </cell>
        </row>
        <row r="1783">
          <cell r="L1783" t="str">
            <v>هريرة</v>
          </cell>
          <cell r="M1783" t="str">
            <v>C2451</v>
          </cell>
          <cell r="AC1783">
            <v>36.118896479999997</v>
          </cell>
          <cell r="AD1783">
            <v>33.668273929999998</v>
          </cell>
        </row>
        <row r="1784">
          <cell r="L1784" t="str">
            <v>عين حور</v>
          </cell>
          <cell r="M1784" t="str">
            <v>C2452</v>
          </cell>
          <cell r="AC1784">
            <v>36.135070800000001</v>
          </cell>
          <cell r="AD1784">
            <v>33.772888180000002</v>
          </cell>
        </row>
        <row r="1785">
          <cell r="L1785" t="str">
            <v>سرغايا</v>
          </cell>
          <cell r="M1785" t="str">
            <v>C2453</v>
          </cell>
          <cell r="AC1785">
            <v>36.156921390000001</v>
          </cell>
          <cell r="AD1785">
            <v>33.811279300000002</v>
          </cell>
        </row>
        <row r="1786">
          <cell r="L1786" t="str">
            <v>ريمه</v>
          </cell>
          <cell r="M1786" t="str">
            <v>C2454</v>
          </cell>
          <cell r="AC1786">
            <v>35.9005127</v>
          </cell>
          <cell r="AD1786">
            <v>33.385681150000003</v>
          </cell>
        </row>
        <row r="1787">
          <cell r="L1787" t="str">
            <v>أمبيا</v>
          </cell>
          <cell r="M1787" t="str">
            <v>C2455</v>
          </cell>
          <cell r="AC1787">
            <v>36.040527339999997</v>
          </cell>
          <cell r="AD1787">
            <v>33.446716309999999</v>
          </cell>
        </row>
        <row r="1788">
          <cell r="L1788" t="str">
            <v>رأس العين قطنا</v>
          </cell>
          <cell r="M1788" t="str">
            <v>C2456</v>
          </cell>
          <cell r="AC1788">
            <v>36.059692380000001</v>
          </cell>
          <cell r="AD1788">
            <v>33.537109379999997</v>
          </cell>
        </row>
        <row r="1789">
          <cell r="L1789" t="str">
            <v>جديدة عرطوز</v>
          </cell>
          <cell r="M1789" t="str">
            <v>C2457</v>
          </cell>
          <cell r="AC1789">
            <v>36.162719729999999</v>
          </cell>
          <cell r="AD1789">
            <v>33.433471679999997</v>
          </cell>
        </row>
        <row r="1790">
          <cell r="L1790" t="str">
            <v>دروشه</v>
          </cell>
          <cell r="M1790" t="str">
            <v>C2458</v>
          </cell>
          <cell r="AC1790">
            <v>36.129516600000002</v>
          </cell>
          <cell r="AD1790">
            <v>33.400329589999998</v>
          </cell>
        </row>
        <row r="1791">
          <cell r="L1791" t="str">
            <v>عرطوز</v>
          </cell>
          <cell r="M1791" t="str">
            <v>C2459</v>
          </cell>
          <cell r="AC1791">
            <v>36.144897460000003</v>
          </cell>
          <cell r="AD1791">
            <v>33.421875</v>
          </cell>
        </row>
        <row r="1792">
          <cell r="L1792" t="str">
            <v>العمرات</v>
          </cell>
          <cell r="M1792" t="str">
            <v>C2460</v>
          </cell>
          <cell r="AC1792">
            <v>36.099487310000001</v>
          </cell>
          <cell r="AD1792">
            <v>33.509521479999997</v>
          </cell>
        </row>
        <row r="1793">
          <cell r="L1793" t="str">
            <v>بقعسم</v>
          </cell>
          <cell r="M1793" t="str">
            <v>C2461</v>
          </cell>
          <cell r="AC1793">
            <v>35.937316899999999</v>
          </cell>
          <cell r="AD1793">
            <v>33.40509033</v>
          </cell>
        </row>
        <row r="1794">
          <cell r="L1794" t="str">
            <v>رخلة</v>
          </cell>
          <cell r="M1794" t="str">
            <v>C2462</v>
          </cell>
          <cell r="AC1794">
            <v>35.973693849999997</v>
          </cell>
          <cell r="AD1794">
            <v>33.514526369999999</v>
          </cell>
        </row>
        <row r="1795">
          <cell r="L1795" t="str">
            <v>البجاع</v>
          </cell>
          <cell r="M1795" t="str">
            <v>C2463</v>
          </cell>
          <cell r="AC1795">
            <v>36.145080569999998</v>
          </cell>
          <cell r="AD1795">
            <v>33.535522460000003</v>
          </cell>
        </row>
        <row r="1796">
          <cell r="L1796" t="str">
            <v>الصبورة</v>
          </cell>
          <cell r="M1796" t="str">
            <v>C2464</v>
          </cell>
          <cell r="AC1796">
            <v>36.127685550000002</v>
          </cell>
          <cell r="AD1796">
            <v>33.52111816</v>
          </cell>
        </row>
        <row r="1797">
          <cell r="L1797" t="str">
            <v>عرنة</v>
          </cell>
          <cell r="M1797" t="str">
            <v>C2465</v>
          </cell>
          <cell r="AC1797">
            <v>35.879882809999998</v>
          </cell>
          <cell r="AD1797">
            <v>33.366088869999999</v>
          </cell>
        </row>
        <row r="1798">
          <cell r="L1798" t="str">
            <v>خان الشيح</v>
          </cell>
          <cell r="M1798" t="str">
            <v>C2466</v>
          </cell>
          <cell r="AC1798">
            <v>36.119873050000002</v>
          </cell>
          <cell r="AD1798">
            <v>33.376525880000003</v>
          </cell>
        </row>
        <row r="1799">
          <cell r="L1799" t="str">
            <v>قلعة الجندل</v>
          </cell>
          <cell r="M1799" t="str">
            <v>C2467</v>
          </cell>
          <cell r="AC1799">
            <v>35.966308589999997</v>
          </cell>
          <cell r="AD1799">
            <v>33.41888428</v>
          </cell>
        </row>
        <row r="1800">
          <cell r="L1800" t="str">
            <v>يعفور</v>
          </cell>
          <cell r="M1800" t="str">
            <v>C2468</v>
          </cell>
          <cell r="AC1800">
            <v>36.067687990000003</v>
          </cell>
          <cell r="AD1800">
            <v>33.528320309999998</v>
          </cell>
        </row>
        <row r="1801">
          <cell r="L1801" t="str">
            <v>منشية خان الشيح</v>
          </cell>
          <cell r="M1801" t="str">
            <v>C2469</v>
          </cell>
          <cell r="AC1801">
            <v>36.09490967</v>
          </cell>
          <cell r="AD1801">
            <v>33.356872559999999</v>
          </cell>
        </row>
        <row r="1802">
          <cell r="L1802" t="str">
            <v>قطنا</v>
          </cell>
          <cell r="M1802" t="str">
            <v>C2470</v>
          </cell>
          <cell r="AC1802">
            <v>36.081298830000001</v>
          </cell>
          <cell r="AD1802">
            <v>33.438720699999998</v>
          </cell>
        </row>
        <row r="1803">
          <cell r="L1803" t="str">
            <v>كفرقوق</v>
          </cell>
          <cell r="M1803" t="str">
            <v>C2471</v>
          </cell>
          <cell r="AC1803">
            <v>36.053283690000001</v>
          </cell>
          <cell r="AD1803">
            <v>33.47930908</v>
          </cell>
        </row>
        <row r="1804">
          <cell r="L1804" t="str">
            <v>كوكب</v>
          </cell>
          <cell r="M1804" t="str">
            <v>C2472</v>
          </cell>
          <cell r="AC1804">
            <v>36.176330569999998</v>
          </cell>
          <cell r="AD1804">
            <v>33.392089839999997</v>
          </cell>
        </row>
        <row r="1805">
          <cell r="L1805" t="str">
            <v>دربل</v>
          </cell>
          <cell r="M1805" t="str">
            <v>C2473</v>
          </cell>
          <cell r="AC1805">
            <v>35.911682130000003</v>
          </cell>
          <cell r="AD1805">
            <v>33.356079100000002</v>
          </cell>
        </row>
        <row r="1806">
          <cell r="L1806" t="str">
            <v>عين الشعره</v>
          </cell>
          <cell r="M1806" t="str">
            <v>C2474</v>
          </cell>
          <cell r="AC1806">
            <v>35.933715820000003</v>
          </cell>
          <cell r="AD1806">
            <v>33.374328609999999</v>
          </cell>
        </row>
        <row r="1807">
          <cell r="L1807" t="str">
            <v>المقروصه</v>
          </cell>
          <cell r="M1807" t="str">
            <v>C2475</v>
          </cell>
          <cell r="AC1807">
            <v>35.978088380000003</v>
          </cell>
          <cell r="AD1807">
            <v>33.284728999999999</v>
          </cell>
        </row>
        <row r="1808">
          <cell r="L1808" t="str">
            <v>حرفا</v>
          </cell>
          <cell r="M1808" t="str">
            <v>C2476</v>
          </cell>
          <cell r="AC1808">
            <v>35.910888669999999</v>
          </cell>
          <cell r="AD1808">
            <v>33.26470947</v>
          </cell>
        </row>
        <row r="1809">
          <cell r="L1809" t="str">
            <v>حينة</v>
          </cell>
          <cell r="M1809" t="str">
            <v>C2477</v>
          </cell>
          <cell r="AC1809">
            <v>35.941528320000003</v>
          </cell>
          <cell r="AD1809">
            <v>33.35430908</v>
          </cell>
        </row>
        <row r="1810">
          <cell r="L1810" t="str">
            <v>بيت جن</v>
          </cell>
          <cell r="M1810" t="str">
            <v>C2478</v>
          </cell>
          <cell r="AC1810">
            <v>35.879089360000002</v>
          </cell>
          <cell r="AD1810">
            <v>33.31408691</v>
          </cell>
        </row>
        <row r="1811">
          <cell r="L1811" t="str">
            <v>خربة السودا</v>
          </cell>
          <cell r="M1811" t="str">
            <v>C2479</v>
          </cell>
          <cell r="AC1811">
            <v>35.927307130000003</v>
          </cell>
          <cell r="AD1811">
            <v>33.389282229999999</v>
          </cell>
        </row>
        <row r="1812">
          <cell r="L1812" t="str">
            <v>مغرالمير</v>
          </cell>
          <cell r="M1812" t="str">
            <v>C2480</v>
          </cell>
          <cell r="AC1812">
            <v>35.968078609999999</v>
          </cell>
          <cell r="AD1812">
            <v>33.308288570000002</v>
          </cell>
        </row>
        <row r="1813">
          <cell r="L1813" t="str">
            <v>مزرعة بيت جن</v>
          </cell>
          <cell r="M1813" t="str">
            <v>C2481</v>
          </cell>
          <cell r="AC1813">
            <v>35.921325680000002</v>
          </cell>
          <cell r="AD1813">
            <v>33.308715820000003</v>
          </cell>
        </row>
        <row r="1814">
          <cell r="L1814" t="str">
            <v>حوش النفور</v>
          </cell>
          <cell r="M1814" t="str">
            <v>C2482</v>
          </cell>
          <cell r="AC1814">
            <v>36.102111819999998</v>
          </cell>
          <cell r="AD1814">
            <v>33.309082029999999</v>
          </cell>
        </row>
        <row r="1815">
          <cell r="L1815" t="str">
            <v>دير ماكر</v>
          </cell>
          <cell r="M1815" t="str">
            <v>C2483</v>
          </cell>
          <cell r="AC1815">
            <v>36.024475099999997</v>
          </cell>
          <cell r="AD1815">
            <v>33.233276369999999</v>
          </cell>
        </row>
        <row r="1816">
          <cell r="L1816" t="str">
            <v>دورين</v>
          </cell>
          <cell r="M1816" t="str">
            <v>C2484</v>
          </cell>
          <cell r="AC1816">
            <v>35.967712400000003</v>
          </cell>
          <cell r="AD1816">
            <v>33.252685550000002</v>
          </cell>
        </row>
        <row r="1817">
          <cell r="L1817" t="str">
            <v>الشوكتلية</v>
          </cell>
          <cell r="M1817" t="str">
            <v>C2485</v>
          </cell>
          <cell r="AC1817">
            <v>35.972106930000002</v>
          </cell>
          <cell r="AD1817">
            <v>33.233520509999998</v>
          </cell>
        </row>
        <row r="1818">
          <cell r="L1818" t="str">
            <v>القليعة</v>
          </cell>
          <cell r="M1818" t="str">
            <v>C2486</v>
          </cell>
          <cell r="AC1818">
            <v>36.055297850000002</v>
          </cell>
          <cell r="AD1818">
            <v>33.288330080000001</v>
          </cell>
        </row>
        <row r="1819">
          <cell r="L1819" t="str">
            <v>النفور</v>
          </cell>
          <cell r="M1819" t="str">
            <v>C2487</v>
          </cell>
          <cell r="AC1819">
            <v>36.082519529999999</v>
          </cell>
          <cell r="AD1819">
            <v>33.293273929999998</v>
          </cell>
        </row>
        <row r="1820">
          <cell r="L1820" t="str">
            <v>الهباريـة</v>
          </cell>
          <cell r="M1820" t="str">
            <v>C2488</v>
          </cell>
          <cell r="AC1820">
            <v>36.067687990000003</v>
          </cell>
          <cell r="AD1820">
            <v>33.186706540000003</v>
          </cell>
        </row>
        <row r="1821">
          <cell r="L1821" t="str">
            <v>بيت سابر</v>
          </cell>
          <cell r="M1821" t="str">
            <v>C2489</v>
          </cell>
          <cell r="AC1821">
            <v>36.001281740000003</v>
          </cell>
          <cell r="AD1821">
            <v>33.324707029999999</v>
          </cell>
        </row>
        <row r="1822">
          <cell r="L1822" t="str">
            <v>دناجي</v>
          </cell>
          <cell r="M1822" t="str">
            <v>C2490</v>
          </cell>
          <cell r="AC1822">
            <v>36.062072749999999</v>
          </cell>
          <cell r="AD1822">
            <v>33.215271000000001</v>
          </cell>
        </row>
        <row r="1823">
          <cell r="L1823" t="str">
            <v>بيتيما</v>
          </cell>
          <cell r="M1823" t="str">
            <v>C2491</v>
          </cell>
          <cell r="AC1823">
            <v>35.998901369999999</v>
          </cell>
          <cell r="AD1823">
            <v>33.364501949999998</v>
          </cell>
        </row>
        <row r="1824">
          <cell r="L1824" t="str">
            <v>أبو قاووق</v>
          </cell>
          <cell r="M1824" t="str">
            <v>C2492</v>
          </cell>
          <cell r="AC1824">
            <v>36.058898929999998</v>
          </cell>
          <cell r="AD1824">
            <v>33.309875490000003</v>
          </cell>
        </row>
        <row r="1825">
          <cell r="L1825" t="str">
            <v>سعسع</v>
          </cell>
          <cell r="M1825" t="str">
            <v>C2493</v>
          </cell>
          <cell r="AC1825">
            <v>36.016479490000002</v>
          </cell>
          <cell r="AD1825">
            <v>33.279479979999998</v>
          </cell>
        </row>
        <row r="1826">
          <cell r="L1826" t="str">
            <v>حمريت</v>
          </cell>
          <cell r="M1826" t="str">
            <v>C2494</v>
          </cell>
          <cell r="AC1826">
            <v>36.006286619999997</v>
          </cell>
          <cell r="AD1826">
            <v>33.183898929999998</v>
          </cell>
        </row>
        <row r="1827">
          <cell r="L1827" t="str">
            <v>كفر حور</v>
          </cell>
          <cell r="M1827" t="str">
            <v>C2495</v>
          </cell>
          <cell r="AC1827">
            <v>35.97888184</v>
          </cell>
          <cell r="AD1827">
            <v>33.359924319999998</v>
          </cell>
        </row>
        <row r="1828">
          <cell r="L1828" t="str">
            <v>ماعص</v>
          </cell>
          <cell r="M1828" t="str">
            <v>C2496</v>
          </cell>
          <cell r="AC1828">
            <v>35.973327640000001</v>
          </cell>
          <cell r="AD1828">
            <v>33.207092289999999</v>
          </cell>
        </row>
        <row r="1829">
          <cell r="L1829" t="str">
            <v>كناكر</v>
          </cell>
          <cell r="M1829" t="str">
            <v>C2497</v>
          </cell>
          <cell r="AC1829">
            <v>36.098693849999997</v>
          </cell>
          <cell r="AD1829">
            <v>33.267089839999997</v>
          </cell>
        </row>
        <row r="1830">
          <cell r="L1830" t="str">
            <v>داريا</v>
          </cell>
          <cell r="M1830" t="str">
            <v>C2498</v>
          </cell>
          <cell r="AC1830">
            <v>36.239685059999999</v>
          </cell>
          <cell r="AD1830">
            <v>33.457092289999999</v>
          </cell>
        </row>
        <row r="1831">
          <cell r="L1831" t="str">
            <v>معضمية الشام</v>
          </cell>
          <cell r="M1831" t="str">
            <v>C2499</v>
          </cell>
          <cell r="AC1831">
            <v>36.191894529999999</v>
          </cell>
          <cell r="AD1831">
            <v>33.459289550000001</v>
          </cell>
        </row>
        <row r="1832">
          <cell r="L1832" t="str">
            <v>أشرفية صحنايا</v>
          </cell>
          <cell r="M1832" t="str">
            <v>C2500</v>
          </cell>
          <cell r="AC1832">
            <v>36.244689940000001</v>
          </cell>
          <cell r="AD1832">
            <v>33.436279300000002</v>
          </cell>
        </row>
        <row r="1833">
          <cell r="L1833" t="str">
            <v>صحنايا</v>
          </cell>
          <cell r="M1833" t="str">
            <v>C2501</v>
          </cell>
          <cell r="AC1833">
            <v>36.218688970000002</v>
          </cell>
          <cell r="AD1833">
            <v>33.423889160000002</v>
          </cell>
        </row>
        <row r="1834">
          <cell r="L1834" t="str">
            <v>الحجر الأسود</v>
          </cell>
          <cell r="M1834" t="str">
            <v>C2502</v>
          </cell>
          <cell r="AC1834">
            <v>36.30310059</v>
          </cell>
          <cell r="AD1834">
            <v>33.457885740000002</v>
          </cell>
        </row>
        <row r="1835">
          <cell r="L1835" t="str">
            <v>النقيرة</v>
          </cell>
          <cell r="M1835" t="str">
            <v>C2503</v>
          </cell>
          <cell r="AC1835">
            <v>36.667907720000002</v>
          </cell>
          <cell r="AD1835">
            <v>34.664672850000002</v>
          </cell>
        </row>
        <row r="1836">
          <cell r="L1836" t="str">
            <v>جوبر</v>
          </cell>
          <cell r="M1836" t="str">
            <v>C2504</v>
          </cell>
          <cell r="AC1836">
            <v>36.663330080000001</v>
          </cell>
          <cell r="AD1836">
            <v>34.681091309999999</v>
          </cell>
        </row>
        <row r="1837">
          <cell r="L1837" t="str">
            <v>تل زبيدة</v>
          </cell>
          <cell r="M1837" t="str">
            <v>C2505</v>
          </cell>
          <cell r="AC1837">
            <v>36.820495610000002</v>
          </cell>
          <cell r="AD1837">
            <v>34.65509033</v>
          </cell>
        </row>
        <row r="1838">
          <cell r="L1838" t="str">
            <v>المباركية</v>
          </cell>
          <cell r="M1838" t="str">
            <v>C2506</v>
          </cell>
          <cell r="AC1838">
            <v>36.647888180000002</v>
          </cell>
          <cell r="AD1838">
            <v>34.64569092</v>
          </cell>
        </row>
        <row r="1839">
          <cell r="L1839" t="str">
            <v>اسماعيلية-المختارية</v>
          </cell>
          <cell r="M1839" t="str">
            <v>C2507</v>
          </cell>
          <cell r="AC1839">
            <v>36.739074709999997</v>
          </cell>
          <cell r="AD1839">
            <v>34.80352783</v>
          </cell>
        </row>
        <row r="1840">
          <cell r="L1840" t="str">
            <v>الفحيلة</v>
          </cell>
          <cell r="M1840" t="str">
            <v>C2508</v>
          </cell>
          <cell r="AC1840">
            <v>36.881286619999997</v>
          </cell>
          <cell r="AD1840">
            <v>34.613891600000002</v>
          </cell>
        </row>
        <row r="1841">
          <cell r="L1841" t="str">
            <v>غزالة</v>
          </cell>
          <cell r="M1841" t="str">
            <v>C2509</v>
          </cell>
          <cell r="AC1841">
            <v>36.761108399999998</v>
          </cell>
          <cell r="AD1841">
            <v>34.655517580000001</v>
          </cell>
        </row>
        <row r="1842">
          <cell r="L1842" t="str">
            <v>الجميلية</v>
          </cell>
          <cell r="M1842" t="str">
            <v>C2510</v>
          </cell>
          <cell r="AC1842">
            <v>36.827697749999999</v>
          </cell>
          <cell r="AD1842">
            <v>34.63647461</v>
          </cell>
        </row>
        <row r="1843">
          <cell r="L1843" t="str">
            <v>الضفة-الحلموز</v>
          </cell>
          <cell r="M1843" t="str">
            <v>C2511</v>
          </cell>
          <cell r="AC1843">
            <v>36.680480959999997</v>
          </cell>
          <cell r="AD1843">
            <v>34.834716800000002</v>
          </cell>
        </row>
        <row r="1844">
          <cell r="L1844" t="str">
            <v>الريان</v>
          </cell>
          <cell r="M1844" t="str">
            <v>C2512</v>
          </cell>
          <cell r="AC1844">
            <v>36.854492190000002</v>
          </cell>
          <cell r="AD1844">
            <v>34.653320309999998</v>
          </cell>
        </row>
        <row r="1845">
          <cell r="L1845" t="str">
            <v>تير معلة</v>
          </cell>
          <cell r="M1845" t="str">
            <v>C2513</v>
          </cell>
          <cell r="AC1845">
            <v>36.711730959999997</v>
          </cell>
          <cell r="AD1845">
            <v>34.800903320000003</v>
          </cell>
        </row>
        <row r="1846">
          <cell r="L1846" t="str">
            <v>الأشرفية</v>
          </cell>
          <cell r="M1846" t="str">
            <v>C2514</v>
          </cell>
          <cell r="AC1846">
            <v>36.759704589999998</v>
          </cell>
          <cell r="AD1846">
            <v>34.818908690000001</v>
          </cell>
        </row>
        <row r="1847">
          <cell r="L1847" t="str">
            <v>تل أحمر</v>
          </cell>
          <cell r="M1847" t="str">
            <v>C2515</v>
          </cell>
          <cell r="AC1847">
            <v>36.842895509999998</v>
          </cell>
          <cell r="AD1847">
            <v>34.703674319999998</v>
          </cell>
        </row>
        <row r="1848">
          <cell r="L1848" t="str">
            <v>تل الشور</v>
          </cell>
          <cell r="M1848" t="str">
            <v>C2516</v>
          </cell>
          <cell r="AC1848">
            <v>36.637084960000003</v>
          </cell>
          <cell r="AD1848">
            <v>34.672485350000002</v>
          </cell>
        </row>
        <row r="1849">
          <cell r="L1849" t="str">
            <v>الثابتية</v>
          </cell>
          <cell r="M1849" t="str">
            <v>C2517</v>
          </cell>
          <cell r="AC1849">
            <v>36.854125979999999</v>
          </cell>
          <cell r="AD1849">
            <v>34.680908199999998</v>
          </cell>
        </row>
        <row r="1850">
          <cell r="L1850" t="str">
            <v>آبل</v>
          </cell>
          <cell r="M1850" t="str">
            <v>C2518</v>
          </cell>
          <cell r="AC1850">
            <v>36.674926759999998</v>
          </cell>
          <cell r="AD1850">
            <v>34.63970947</v>
          </cell>
        </row>
        <row r="1851">
          <cell r="L1851" t="str">
            <v>العبودية</v>
          </cell>
          <cell r="M1851" t="str">
            <v>C2519</v>
          </cell>
          <cell r="AC1851">
            <v>36.648315429999997</v>
          </cell>
          <cell r="AD1851">
            <v>34.77252197</v>
          </cell>
        </row>
        <row r="1852">
          <cell r="L1852" t="str">
            <v>جوالك</v>
          </cell>
          <cell r="M1852" t="str">
            <v>C2520</v>
          </cell>
          <cell r="AC1852">
            <v>36.638916020000003</v>
          </cell>
          <cell r="AD1852">
            <v>34.803710940000002</v>
          </cell>
        </row>
        <row r="1853">
          <cell r="L1853" t="str">
            <v>أبو دالي</v>
          </cell>
          <cell r="M1853" t="str">
            <v>C2521</v>
          </cell>
          <cell r="AC1853">
            <v>36.892089839999997</v>
          </cell>
          <cell r="AD1853">
            <v>34.682922359999999</v>
          </cell>
        </row>
        <row r="1854">
          <cell r="L1854" t="str">
            <v>الخالدية</v>
          </cell>
          <cell r="M1854" t="str">
            <v>C2522</v>
          </cell>
          <cell r="AC1854">
            <v>36.69647217</v>
          </cell>
          <cell r="AD1854">
            <v>34.780517580000001</v>
          </cell>
        </row>
        <row r="1855">
          <cell r="L1855" t="str">
            <v>الرياض</v>
          </cell>
          <cell r="M1855" t="str">
            <v>C2523</v>
          </cell>
          <cell r="AC1855">
            <v>36.797302250000001</v>
          </cell>
          <cell r="AD1855">
            <v>34.794677729999997</v>
          </cell>
        </row>
        <row r="1856">
          <cell r="L1856" t="str">
            <v>الدار الكبيرة</v>
          </cell>
          <cell r="M1856" t="str">
            <v>C2524</v>
          </cell>
          <cell r="AC1856">
            <v>36.68127441</v>
          </cell>
          <cell r="AD1856">
            <v>34.785888669999999</v>
          </cell>
        </row>
        <row r="1857">
          <cell r="L1857" t="str">
            <v>سكرة</v>
          </cell>
          <cell r="M1857" t="str">
            <v>C2525</v>
          </cell>
          <cell r="AC1857">
            <v>36.853088380000003</v>
          </cell>
          <cell r="AD1857">
            <v>34.707092289999999</v>
          </cell>
        </row>
        <row r="1858">
          <cell r="L1858" t="str">
            <v>زيدل</v>
          </cell>
          <cell r="M1858" t="str">
            <v>C2526</v>
          </cell>
          <cell r="AC1858">
            <v>36.773315429999997</v>
          </cell>
          <cell r="AD1858">
            <v>34.724487310000001</v>
          </cell>
        </row>
        <row r="1859">
          <cell r="L1859" t="str">
            <v>النجمة</v>
          </cell>
          <cell r="M1859" t="str">
            <v>C2527</v>
          </cell>
          <cell r="AC1859">
            <v>36.744323729999998</v>
          </cell>
          <cell r="AD1859">
            <v>34.813110350000002</v>
          </cell>
        </row>
        <row r="1860">
          <cell r="L1860" t="str">
            <v>حمص</v>
          </cell>
          <cell r="M1860" t="str">
            <v>C2528</v>
          </cell>
          <cell r="AC1860">
            <v>36.719726559999998</v>
          </cell>
          <cell r="AD1860">
            <v>34.730102539999997</v>
          </cell>
        </row>
        <row r="1861">
          <cell r="L1861" t="str">
            <v>تل الناقة</v>
          </cell>
          <cell r="M1861" t="str">
            <v>C2529</v>
          </cell>
          <cell r="AC1861">
            <v>36.893127440000001</v>
          </cell>
          <cell r="AD1861">
            <v>34.624694820000002</v>
          </cell>
        </row>
        <row r="1862">
          <cell r="L1862" t="str">
            <v>المهاجرين</v>
          </cell>
          <cell r="M1862" t="str">
            <v>C2530</v>
          </cell>
          <cell r="AC1862">
            <v>36.690307619999999</v>
          </cell>
          <cell r="AD1862">
            <v>34.773315429999997</v>
          </cell>
        </row>
        <row r="1863">
          <cell r="L1863" t="str">
            <v>جديدة العاصي</v>
          </cell>
          <cell r="M1863" t="str">
            <v>C2531</v>
          </cell>
          <cell r="AC1863">
            <v>36.634277339999997</v>
          </cell>
          <cell r="AD1863">
            <v>34.685485839999998</v>
          </cell>
        </row>
        <row r="1864">
          <cell r="L1864" t="str">
            <v>جلودية</v>
          </cell>
          <cell r="M1864" t="str">
            <v>C2532</v>
          </cell>
          <cell r="AC1864">
            <v>36.634094240000003</v>
          </cell>
          <cell r="AD1864">
            <v>34.786926270000002</v>
          </cell>
        </row>
        <row r="1865">
          <cell r="L1865" t="str">
            <v>جديدة الشرقية</v>
          </cell>
          <cell r="M1865" t="str">
            <v>C2533</v>
          </cell>
          <cell r="AC1865">
            <v>36.799926759999998</v>
          </cell>
          <cell r="AD1865">
            <v>34.633483890000001</v>
          </cell>
        </row>
        <row r="1866">
          <cell r="L1866" t="str">
            <v>مسكنة</v>
          </cell>
          <cell r="M1866" t="str">
            <v>C2534</v>
          </cell>
          <cell r="AC1866">
            <v>36.735107419999999</v>
          </cell>
          <cell r="AD1866">
            <v>34.664123539999999</v>
          </cell>
        </row>
        <row r="1867">
          <cell r="L1867" t="str">
            <v>هبوب الريح</v>
          </cell>
          <cell r="M1867" t="str">
            <v>C2535</v>
          </cell>
          <cell r="AC1867">
            <v>36.687072749999999</v>
          </cell>
          <cell r="AD1867">
            <v>34.799682619999999</v>
          </cell>
        </row>
        <row r="1868">
          <cell r="L1868" t="str">
            <v>فيروزة</v>
          </cell>
          <cell r="M1868" t="str">
            <v>C2536</v>
          </cell>
          <cell r="AC1868">
            <v>36.757080080000001</v>
          </cell>
          <cell r="AD1868">
            <v>34.703125</v>
          </cell>
        </row>
        <row r="1869">
          <cell r="L1869" t="str">
            <v>كفر عبد</v>
          </cell>
          <cell r="M1869" t="str">
            <v>C2537</v>
          </cell>
          <cell r="AC1869">
            <v>36.7755127</v>
          </cell>
          <cell r="AD1869">
            <v>34.806884770000003</v>
          </cell>
        </row>
        <row r="1870">
          <cell r="L1870" t="str">
            <v>كفر عايا</v>
          </cell>
          <cell r="M1870" t="str">
            <v>C2538</v>
          </cell>
          <cell r="AC1870">
            <v>36.690673830000001</v>
          </cell>
          <cell r="AD1870">
            <v>34.685302729999997</v>
          </cell>
        </row>
        <row r="1871">
          <cell r="L1871" t="str">
            <v>قطينة</v>
          </cell>
          <cell r="M1871" t="str">
            <v>C2539</v>
          </cell>
          <cell r="AC1871">
            <v>36.62731934</v>
          </cell>
          <cell r="AD1871">
            <v>34.647094729999999</v>
          </cell>
        </row>
        <row r="1872">
          <cell r="L1872" t="str">
            <v>الحشمة</v>
          </cell>
          <cell r="M1872" t="str">
            <v>C2540</v>
          </cell>
          <cell r="AC1872">
            <v>36.564880369999997</v>
          </cell>
          <cell r="AD1872">
            <v>34.794494630000003</v>
          </cell>
        </row>
        <row r="1873">
          <cell r="L1873" t="str">
            <v>تلدو</v>
          </cell>
          <cell r="M1873" t="str">
            <v>C2541</v>
          </cell>
          <cell r="AC1873">
            <v>36.523925779999999</v>
          </cell>
          <cell r="AD1873">
            <v>34.874694820000002</v>
          </cell>
        </row>
        <row r="1874">
          <cell r="L1874" t="str">
            <v>حداثة</v>
          </cell>
          <cell r="M1874" t="str">
            <v>C2542</v>
          </cell>
          <cell r="AC1874">
            <v>36.47772217</v>
          </cell>
          <cell r="AD1874">
            <v>34.802124020000001</v>
          </cell>
        </row>
        <row r="1875">
          <cell r="L1875" t="str">
            <v>زيبق</v>
          </cell>
          <cell r="M1875" t="str">
            <v>C2543</v>
          </cell>
          <cell r="AC1875">
            <v>36.54711914</v>
          </cell>
          <cell r="AD1875">
            <v>34.808288570000002</v>
          </cell>
        </row>
        <row r="1876">
          <cell r="L1876" t="str">
            <v>الحميمة</v>
          </cell>
          <cell r="M1876" t="str">
            <v>C2544</v>
          </cell>
          <cell r="AC1876">
            <v>36.531677250000001</v>
          </cell>
          <cell r="AD1876">
            <v>34.805297850000002</v>
          </cell>
        </row>
        <row r="1877">
          <cell r="L1877" t="str">
            <v>جرنايا</v>
          </cell>
          <cell r="M1877" t="str">
            <v>C2545</v>
          </cell>
          <cell r="AC1877">
            <v>36.462280270000001</v>
          </cell>
          <cell r="AD1877">
            <v>34.804870610000002</v>
          </cell>
        </row>
        <row r="1878">
          <cell r="L1878" t="str">
            <v>الطيبة الغربية</v>
          </cell>
          <cell r="M1878" t="str">
            <v>C2546</v>
          </cell>
          <cell r="AC1878">
            <v>36.468078609999999</v>
          </cell>
          <cell r="AD1878">
            <v>34.8770752</v>
          </cell>
        </row>
        <row r="1879">
          <cell r="L1879" t="str">
            <v>تل ذهب</v>
          </cell>
          <cell r="M1879" t="str">
            <v>C2547</v>
          </cell>
          <cell r="AC1879">
            <v>36.493286130000001</v>
          </cell>
          <cell r="AD1879">
            <v>34.913513180000002</v>
          </cell>
        </row>
        <row r="1880">
          <cell r="L1880" t="str">
            <v>برج قاعي</v>
          </cell>
          <cell r="M1880" t="str">
            <v>C2548</v>
          </cell>
          <cell r="AC1880">
            <v>36.574707029999999</v>
          </cell>
          <cell r="AD1880">
            <v>34.883300779999999</v>
          </cell>
        </row>
        <row r="1881">
          <cell r="L1881" t="str">
            <v>سمعليل</v>
          </cell>
          <cell r="M1881" t="str">
            <v>C2549</v>
          </cell>
          <cell r="AC1881">
            <v>36.571716309999999</v>
          </cell>
          <cell r="AD1881">
            <v>34.838500979999999</v>
          </cell>
        </row>
        <row r="1882">
          <cell r="L1882" t="str">
            <v>رفعين</v>
          </cell>
          <cell r="M1882" t="str">
            <v>C2550</v>
          </cell>
          <cell r="AC1882">
            <v>36.609497070000003</v>
          </cell>
          <cell r="AD1882">
            <v>34.812316899999999</v>
          </cell>
        </row>
        <row r="1883">
          <cell r="L1883" t="str">
            <v>الشامة-كراد داسنية</v>
          </cell>
          <cell r="M1883" t="str">
            <v>C2551</v>
          </cell>
          <cell r="AC1883">
            <v>36.620727539999997</v>
          </cell>
          <cell r="AD1883">
            <v>34.835876470000002</v>
          </cell>
        </row>
        <row r="1884">
          <cell r="L1884" t="str">
            <v>عرقايا</v>
          </cell>
          <cell r="M1884" t="str">
            <v>C2552</v>
          </cell>
          <cell r="AC1884">
            <v>36.478088380000003</v>
          </cell>
          <cell r="AD1884">
            <v>34.813293459999997</v>
          </cell>
        </row>
        <row r="1885">
          <cell r="L1885" t="str">
            <v>سنيسل</v>
          </cell>
          <cell r="M1885" t="str">
            <v>C2553</v>
          </cell>
          <cell r="AC1885">
            <v>36.626525880000003</v>
          </cell>
          <cell r="AD1885">
            <v>34.800109859999999</v>
          </cell>
        </row>
        <row r="1886">
          <cell r="L1886" t="str">
            <v>الحيصة</v>
          </cell>
          <cell r="M1886" t="str">
            <v>C2554</v>
          </cell>
          <cell r="AC1886">
            <v>36.590271000000001</v>
          </cell>
          <cell r="AD1886">
            <v>34.81408691</v>
          </cell>
        </row>
        <row r="1887">
          <cell r="L1887" t="str">
            <v>مجيدل</v>
          </cell>
          <cell r="M1887" t="str">
            <v>C2555</v>
          </cell>
          <cell r="AC1887">
            <v>36.499877929999997</v>
          </cell>
          <cell r="AD1887">
            <v>34.797912599999997</v>
          </cell>
        </row>
        <row r="1888">
          <cell r="L1888" t="str">
            <v>كفر لاها</v>
          </cell>
          <cell r="M1888" t="str">
            <v>C2556</v>
          </cell>
          <cell r="AC1888">
            <v>36.496276860000002</v>
          </cell>
          <cell r="AD1888">
            <v>34.894103999999999</v>
          </cell>
        </row>
        <row r="1889">
          <cell r="L1889" t="str">
            <v>كفرام</v>
          </cell>
          <cell r="M1889" t="str">
            <v>C2557</v>
          </cell>
          <cell r="AC1889">
            <v>36.37408447</v>
          </cell>
          <cell r="AD1889">
            <v>34.863891600000002</v>
          </cell>
        </row>
        <row r="1890">
          <cell r="L1890" t="str">
            <v>محناية</v>
          </cell>
          <cell r="M1890" t="str">
            <v>C2558</v>
          </cell>
          <cell r="AC1890">
            <v>36.598510740000002</v>
          </cell>
          <cell r="AD1890">
            <v>34.795471190000001</v>
          </cell>
        </row>
        <row r="1891">
          <cell r="L1891" t="str">
            <v>هرقل</v>
          </cell>
          <cell r="M1891" t="str">
            <v>C2559</v>
          </cell>
          <cell r="AC1891">
            <v>36.501281740000003</v>
          </cell>
          <cell r="AD1891">
            <v>34.810119630000003</v>
          </cell>
        </row>
        <row r="1892">
          <cell r="L1892" t="str">
            <v>غور غربية-غور سمعليل</v>
          </cell>
          <cell r="M1892" t="str">
            <v>C2560</v>
          </cell>
          <cell r="AC1892">
            <v>36.546508789999997</v>
          </cell>
          <cell r="AD1892">
            <v>34.845886229999998</v>
          </cell>
        </row>
        <row r="1893">
          <cell r="L1893" t="str">
            <v>رام جبل</v>
          </cell>
          <cell r="M1893" t="str">
            <v>C2561</v>
          </cell>
          <cell r="AC1893">
            <v>36.541076660000002</v>
          </cell>
          <cell r="AD1893">
            <v>34.720703129999997</v>
          </cell>
        </row>
        <row r="1894">
          <cell r="L1894" t="str">
            <v>زور بقرايا</v>
          </cell>
          <cell r="M1894" t="str">
            <v>C2562</v>
          </cell>
          <cell r="AC1894">
            <v>36.560302729999997</v>
          </cell>
          <cell r="AD1894">
            <v>34.658874509999997</v>
          </cell>
        </row>
        <row r="1895">
          <cell r="L1895" t="str">
            <v>خربة السودا</v>
          </cell>
          <cell r="M1895" t="str">
            <v>C2563</v>
          </cell>
          <cell r="AC1895">
            <v>36.623291020000003</v>
          </cell>
          <cell r="AD1895">
            <v>34.784728999999999</v>
          </cell>
        </row>
        <row r="1896">
          <cell r="L1896" t="str">
            <v>الفايزية</v>
          </cell>
          <cell r="M1896" t="str">
            <v>C2564</v>
          </cell>
          <cell r="AC1896">
            <v>36.88647461</v>
          </cell>
          <cell r="AD1896">
            <v>34.773925779999999</v>
          </cell>
        </row>
        <row r="1897">
          <cell r="L1897" t="str">
            <v>الضاحية العمالية</v>
          </cell>
          <cell r="M1897" t="str">
            <v>C2565</v>
          </cell>
          <cell r="AC1897">
            <v>36.581726070000002</v>
          </cell>
          <cell r="AD1897">
            <v>34.668273929999998</v>
          </cell>
        </row>
        <row r="1898">
          <cell r="L1898" t="str">
            <v>أم العظام</v>
          </cell>
          <cell r="M1898" t="str">
            <v>C2566</v>
          </cell>
          <cell r="AC1898">
            <v>36.522705080000001</v>
          </cell>
          <cell r="AD1898">
            <v>34.708923339999998</v>
          </cell>
        </row>
        <row r="1899">
          <cell r="L1899" t="str">
            <v>تنونة</v>
          </cell>
          <cell r="M1899" t="str">
            <v>C2567</v>
          </cell>
          <cell r="AC1899">
            <v>36.567871089999997</v>
          </cell>
          <cell r="AD1899">
            <v>34.752685550000002</v>
          </cell>
        </row>
        <row r="1900">
          <cell r="L1900" t="str">
            <v>الرضوانية</v>
          </cell>
          <cell r="M1900" t="str">
            <v>C2568</v>
          </cell>
          <cell r="AC1900">
            <v>36.525878910000003</v>
          </cell>
          <cell r="AD1900">
            <v>34.754882809999998</v>
          </cell>
        </row>
        <row r="1901">
          <cell r="L1901" t="str">
            <v>عيصون</v>
          </cell>
          <cell r="M1901" t="str">
            <v>C2569</v>
          </cell>
          <cell r="AC1901">
            <v>36.646911619999997</v>
          </cell>
          <cell r="AD1901">
            <v>34.696716309999999</v>
          </cell>
        </row>
        <row r="1902">
          <cell r="L1902" t="str">
            <v>خربة الحمام</v>
          </cell>
          <cell r="M1902" t="str">
            <v>C2570</v>
          </cell>
          <cell r="AC1902">
            <v>36.481506349999997</v>
          </cell>
          <cell r="AD1902">
            <v>34.700073240000002</v>
          </cell>
        </row>
        <row r="1903">
          <cell r="L1903" t="str">
            <v>خربة غازي</v>
          </cell>
          <cell r="M1903" t="str">
            <v>C2571</v>
          </cell>
          <cell r="AC1903">
            <v>36.519897460000003</v>
          </cell>
          <cell r="AD1903">
            <v>34.674316410000003</v>
          </cell>
        </row>
        <row r="1904">
          <cell r="L1904" t="str">
            <v>غزيلة</v>
          </cell>
          <cell r="M1904" t="str">
            <v>C2572</v>
          </cell>
          <cell r="AC1904">
            <v>36.48852539</v>
          </cell>
          <cell r="AD1904">
            <v>34.720703129999997</v>
          </cell>
        </row>
        <row r="1905">
          <cell r="L1905" t="str">
            <v>ربيعة</v>
          </cell>
          <cell r="M1905" t="str">
            <v>C2573</v>
          </cell>
          <cell r="AC1905">
            <v>36.620727539999997</v>
          </cell>
          <cell r="AD1905">
            <v>34.67852783</v>
          </cell>
        </row>
        <row r="1906">
          <cell r="L1906" t="str">
            <v>رام العنز</v>
          </cell>
          <cell r="M1906" t="str">
            <v>C2574</v>
          </cell>
          <cell r="AC1906">
            <v>36.523071289999997</v>
          </cell>
          <cell r="AD1906">
            <v>34.72747803</v>
          </cell>
        </row>
        <row r="1907">
          <cell r="L1907" t="str">
            <v>أم حارتين</v>
          </cell>
          <cell r="M1907" t="str">
            <v>C2575</v>
          </cell>
          <cell r="AC1907">
            <v>36.592102050000001</v>
          </cell>
          <cell r="AD1907">
            <v>34.720275880000003</v>
          </cell>
        </row>
        <row r="1908">
          <cell r="L1908" t="str">
            <v>صنون</v>
          </cell>
          <cell r="M1908" t="str">
            <v>C2576</v>
          </cell>
          <cell r="AC1908">
            <v>36.645324709999997</v>
          </cell>
          <cell r="AD1908">
            <v>34.70727539</v>
          </cell>
        </row>
        <row r="1909">
          <cell r="L1909" t="str">
            <v>زيتي البحرة</v>
          </cell>
          <cell r="M1909" t="str">
            <v>C2577</v>
          </cell>
          <cell r="AC1909">
            <v>36.54272461</v>
          </cell>
          <cell r="AD1909">
            <v>34.6505127</v>
          </cell>
        </row>
        <row r="1910">
          <cell r="L1910" t="str">
            <v>بلقسة</v>
          </cell>
          <cell r="M1910" t="str">
            <v>C2578</v>
          </cell>
          <cell r="AC1910">
            <v>36.494873050000002</v>
          </cell>
          <cell r="AD1910">
            <v>34.736328129999997</v>
          </cell>
        </row>
        <row r="1911">
          <cell r="L1911" t="str">
            <v>خربة تين محمود</v>
          </cell>
          <cell r="M1911" t="str">
            <v>C2579</v>
          </cell>
          <cell r="AC1911">
            <v>36.566284179999997</v>
          </cell>
          <cell r="AD1911">
            <v>34.774475099999997</v>
          </cell>
        </row>
        <row r="1912">
          <cell r="L1912" t="str">
            <v>خربة تين نور</v>
          </cell>
          <cell r="M1912" t="str">
            <v>C2580</v>
          </cell>
          <cell r="AC1912">
            <v>36.558105470000001</v>
          </cell>
          <cell r="AD1912">
            <v>34.701477050000001</v>
          </cell>
        </row>
        <row r="1913">
          <cell r="L1913" t="str">
            <v>أم القصب</v>
          </cell>
          <cell r="M1913" t="str">
            <v>C2581</v>
          </cell>
          <cell r="AC1913">
            <v>36.626281740000003</v>
          </cell>
          <cell r="AD1913">
            <v>34.752929690000002</v>
          </cell>
        </row>
        <row r="1914">
          <cell r="L1914" t="str">
            <v>الزرزورية</v>
          </cell>
          <cell r="M1914" t="str">
            <v>C2582</v>
          </cell>
          <cell r="AC1914">
            <v>36.63787842</v>
          </cell>
          <cell r="AD1914">
            <v>34.730285649999999</v>
          </cell>
        </row>
        <row r="1915">
          <cell r="L1915" t="str">
            <v>المزرعة وعر</v>
          </cell>
          <cell r="M1915" t="str">
            <v>C2583</v>
          </cell>
          <cell r="AC1915">
            <v>36.670104979999998</v>
          </cell>
          <cell r="AD1915">
            <v>34.716125490000003</v>
          </cell>
        </row>
        <row r="1916">
          <cell r="L1916" t="str">
            <v>خربة حايك</v>
          </cell>
          <cell r="M1916" t="str">
            <v>C2584</v>
          </cell>
          <cell r="AC1916">
            <v>36.60913086</v>
          </cell>
          <cell r="AD1916">
            <v>34.706726070000002</v>
          </cell>
        </row>
        <row r="1917">
          <cell r="L1917" t="str">
            <v>بتيسة</v>
          </cell>
          <cell r="M1917" t="str">
            <v>C2585</v>
          </cell>
          <cell r="AC1917">
            <v>36.50091553</v>
          </cell>
          <cell r="AD1917">
            <v>34.785522460000003</v>
          </cell>
        </row>
        <row r="1918">
          <cell r="L1918" t="str">
            <v>الربوة</v>
          </cell>
          <cell r="M1918" t="str">
            <v>C2586</v>
          </cell>
          <cell r="AC1918">
            <v>36.552673339999998</v>
          </cell>
          <cell r="AD1918">
            <v>34.735717770000001</v>
          </cell>
        </row>
        <row r="1919">
          <cell r="L1919" t="str">
            <v>شلوح</v>
          </cell>
          <cell r="M1919" t="str">
            <v>C2587</v>
          </cell>
          <cell r="AC1919">
            <v>36.650878910000003</v>
          </cell>
          <cell r="AD1919">
            <v>34.71368408</v>
          </cell>
        </row>
        <row r="1920">
          <cell r="L1920" t="str">
            <v>سنديانة</v>
          </cell>
          <cell r="M1920" t="str">
            <v>C2588</v>
          </cell>
          <cell r="AC1920">
            <v>36.528686520000001</v>
          </cell>
          <cell r="AD1920">
            <v>34.782104490000002</v>
          </cell>
        </row>
        <row r="1921">
          <cell r="L1921" t="str">
            <v>برابو</v>
          </cell>
          <cell r="M1921" t="str">
            <v>C2589</v>
          </cell>
          <cell r="AC1921">
            <v>36.63647461</v>
          </cell>
          <cell r="AD1921">
            <v>34.694274900000003</v>
          </cell>
        </row>
        <row r="1922">
          <cell r="L1922" t="str">
            <v>تارين</v>
          </cell>
          <cell r="M1922" t="str">
            <v>C2590</v>
          </cell>
          <cell r="AC1922">
            <v>36.511901860000002</v>
          </cell>
          <cell r="AD1922">
            <v>34.772888180000002</v>
          </cell>
        </row>
        <row r="1923">
          <cell r="L1923" t="str">
            <v>النويحة</v>
          </cell>
          <cell r="M1923" t="str">
            <v>C2591</v>
          </cell>
          <cell r="AC1923">
            <v>36.558288570000002</v>
          </cell>
          <cell r="AD1923">
            <v>34.688476559999998</v>
          </cell>
        </row>
        <row r="1924">
          <cell r="L1924" t="str">
            <v>مرج بولاد</v>
          </cell>
          <cell r="M1924" t="str">
            <v>C2592</v>
          </cell>
          <cell r="AC1924">
            <v>36.466491699999999</v>
          </cell>
          <cell r="AD1924">
            <v>34.680908199999998</v>
          </cell>
        </row>
        <row r="1925">
          <cell r="L1925" t="str">
            <v>قزحل</v>
          </cell>
          <cell r="M1925" t="str">
            <v>C2593</v>
          </cell>
          <cell r="AC1925">
            <v>36.59649658</v>
          </cell>
          <cell r="AD1925">
            <v>34.758911130000001</v>
          </cell>
        </row>
        <row r="1926">
          <cell r="L1926" t="str">
            <v>مرج القطا</v>
          </cell>
          <cell r="M1926" t="str">
            <v>C2594</v>
          </cell>
          <cell r="AC1926">
            <v>36.530517580000001</v>
          </cell>
          <cell r="AD1926">
            <v>34.757690429999997</v>
          </cell>
        </row>
        <row r="1927">
          <cell r="L1927" t="str">
            <v>كنيسة</v>
          </cell>
          <cell r="M1927" t="str">
            <v>C2595</v>
          </cell>
          <cell r="AC1927">
            <v>36.494079589999998</v>
          </cell>
          <cell r="AD1927">
            <v>34.76171875</v>
          </cell>
        </row>
        <row r="1928">
          <cell r="L1928" t="str">
            <v>وجه الحجر</v>
          </cell>
          <cell r="M1928" t="str">
            <v>C2596</v>
          </cell>
          <cell r="AC1928">
            <v>36.484497070000003</v>
          </cell>
          <cell r="AD1928">
            <v>34.644714360000002</v>
          </cell>
        </row>
        <row r="1929">
          <cell r="L1929" t="str">
            <v>لفتايا</v>
          </cell>
          <cell r="M1929" t="str">
            <v>C2597</v>
          </cell>
          <cell r="AC1929">
            <v>36.461486819999998</v>
          </cell>
          <cell r="AD1929">
            <v>34.656677250000001</v>
          </cell>
        </row>
        <row r="1930">
          <cell r="L1930" t="str">
            <v>قبي</v>
          </cell>
          <cell r="M1930" t="str">
            <v>C2598</v>
          </cell>
          <cell r="AC1930">
            <v>36.49310303</v>
          </cell>
          <cell r="AD1930">
            <v>34.654479979999998</v>
          </cell>
        </row>
        <row r="1931">
          <cell r="L1931" t="str">
            <v>مشاهدة_خربة السودا</v>
          </cell>
          <cell r="M1931" t="str">
            <v>C2599</v>
          </cell>
          <cell r="AC1931">
            <v>36.583679199999999</v>
          </cell>
          <cell r="AD1931">
            <v>34.664916990000002</v>
          </cell>
        </row>
        <row r="1932">
          <cell r="L1932" t="str">
            <v>بادو</v>
          </cell>
          <cell r="M1932" t="str">
            <v>C2600</v>
          </cell>
          <cell r="AC1932">
            <v>36.879272460000003</v>
          </cell>
          <cell r="AD1932">
            <v>34.811279300000002</v>
          </cell>
        </row>
        <row r="1933">
          <cell r="L1933" t="str">
            <v>عين الدنانير</v>
          </cell>
          <cell r="M1933" t="str">
            <v>C2601</v>
          </cell>
          <cell r="AC1933">
            <v>36.88189697</v>
          </cell>
          <cell r="AD1933">
            <v>34.86352539</v>
          </cell>
        </row>
        <row r="1934">
          <cell r="L1934" t="str">
            <v>اليمامة</v>
          </cell>
          <cell r="M1934" t="str">
            <v>C2602</v>
          </cell>
          <cell r="AC1934">
            <v>36.880676270000002</v>
          </cell>
          <cell r="AD1934">
            <v>34.859680179999998</v>
          </cell>
        </row>
        <row r="1935">
          <cell r="L1935" t="str">
            <v>عين حسين شمالي</v>
          </cell>
          <cell r="M1935" t="str">
            <v>C2603</v>
          </cell>
          <cell r="AC1935">
            <v>36.90350342</v>
          </cell>
          <cell r="AD1935">
            <v>34.892883300000001</v>
          </cell>
        </row>
        <row r="1936">
          <cell r="L1936" t="str">
            <v>عين حسين غربي</v>
          </cell>
          <cell r="M1936" t="str">
            <v>C2604</v>
          </cell>
          <cell r="AC1936">
            <v>36.861511229999998</v>
          </cell>
          <cell r="AD1936">
            <v>34.874877929999997</v>
          </cell>
        </row>
        <row r="1937">
          <cell r="L1937" t="str">
            <v>عين النسر</v>
          </cell>
          <cell r="M1937" t="str">
            <v>C2605</v>
          </cell>
          <cell r="AC1937">
            <v>36.927917479999998</v>
          </cell>
          <cell r="AD1937">
            <v>34.841308589999997</v>
          </cell>
        </row>
        <row r="1938">
          <cell r="L1938" t="str">
            <v>الميدان</v>
          </cell>
          <cell r="M1938" t="str">
            <v>C2606</v>
          </cell>
          <cell r="AC1938">
            <v>36.946289059999998</v>
          </cell>
          <cell r="AD1938">
            <v>34.792480470000001</v>
          </cell>
        </row>
        <row r="1939">
          <cell r="L1939" t="str">
            <v>شيخ حميد</v>
          </cell>
          <cell r="M1939" t="str">
            <v>C2607</v>
          </cell>
          <cell r="AC1939">
            <v>36.923706060000001</v>
          </cell>
          <cell r="AD1939">
            <v>34.786499020000001</v>
          </cell>
        </row>
        <row r="1940">
          <cell r="L1940" t="str">
            <v>المشرفة</v>
          </cell>
          <cell r="M1940" t="str">
            <v>C2608</v>
          </cell>
          <cell r="AC1940">
            <v>36.851501470000002</v>
          </cell>
          <cell r="AD1940">
            <v>34.83410645</v>
          </cell>
        </row>
        <row r="1941">
          <cell r="L1941" t="str">
            <v>الجابرية</v>
          </cell>
          <cell r="M1941" t="str">
            <v>C2609</v>
          </cell>
          <cell r="AC1941">
            <v>36.856323240000002</v>
          </cell>
          <cell r="AD1941">
            <v>34.798889160000002</v>
          </cell>
        </row>
        <row r="1942">
          <cell r="L1942" t="str">
            <v>الحميدية-مهاجرين</v>
          </cell>
          <cell r="M1942" t="str">
            <v>C2610</v>
          </cell>
          <cell r="AC1942">
            <v>36.952697749999999</v>
          </cell>
          <cell r="AD1942">
            <v>34.808715820000003</v>
          </cell>
        </row>
        <row r="1943">
          <cell r="L1943" t="str">
            <v>برزة</v>
          </cell>
          <cell r="M1943" t="str">
            <v>C2611</v>
          </cell>
          <cell r="AC1943">
            <v>36.922912599999997</v>
          </cell>
          <cell r="AD1943">
            <v>34.775085449999999</v>
          </cell>
        </row>
        <row r="1944">
          <cell r="L1944" t="str">
            <v>حميمة</v>
          </cell>
          <cell r="M1944" t="str">
            <v>C2612</v>
          </cell>
          <cell r="AC1944">
            <v>36.917480470000001</v>
          </cell>
          <cell r="AD1944">
            <v>34.905883789999997</v>
          </cell>
        </row>
        <row r="1945">
          <cell r="L1945" t="str">
            <v>تلعمري</v>
          </cell>
          <cell r="M1945" t="str">
            <v>C2613</v>
          </cell>
          <cell r="AC1945">
            <v>36.919311520000001</v>
          </cell>
          <cell r="AD1945">
            <v>34.87408447</v>
          </cell>
        </row>
        <row r="1946">
          <cell r="L1946" t="str">
            <v>وريدة</v>
          </cell>
          <cell r="M1946" t="str">
            <v>C2614</v>
          </cell>
          <cell r="AC1946">
            <v>36.969116210000003</v>
          </cell>
          <cell r="AD1946">
            <v>34.778686520000001</v>
          </cell>
        </row>
        <row r="1947">
          <cell r="L1947" t="str">
            <v>وازعية عيفير</v>
          </cell>
          <cell r="M1947" t="str">
            <v>C2615</v>
          </cell>
          <cell r="AC1947">
            <v>36.932495119999999</v>
          </cell>
          <cell r="AD1947">
            <v>34.721313479999999</v>
          </cell>
        </row>
        <row r="1948">
          <cell r="L1948" t="str">
            <v>غلوة الزكم</v>
          </cell>
          <cell r="M1948" t="str">
            <v>C2616</v>
          </cell>
          <cell r="AC1948">
            <v>37.136901860000002</v>
          </cell>
          <cell r="AD1948">
            <v>34.5255127</v>
          </cell>
        </row>
        <row r="1949">
          <cell r="L1949" t="str">
            <v>الصابونية</v>
          </cell>
          <cell r="M1949" t="str">
            <v>C2617</v>
          </cell>
          <cell r="AC1949">
            <v>37.02069092</v>
          </cell>
          <cell r="AD1949">
            <v>34.572875979999999</v>
          </cell>
        </row>
        <row r="1950">
          <cell r="L1950" t="str">
            <v>حمرة الصوانة</v>
          </cell>
          <cell r="M1950" t="str">
            <v>C2618</v>
          </cell>
          <cell r="AC1950">
            <v>37.136291499999999</v>
          </cell>
          <cell r="AD1950">
            <v>34.645324709999997</v>
          </cell>
        </row>
        <row r="1951">
          <cell r="L1951" t="str">
            <v>أم تينة فدعوس</v>
          </cell>
          <cell r="M1951" t="str">
            <v>C2619</v>
          </cell>
          <cell r="AC1951">
            <v>37.186096190000001</v>
          </cell>
          <cell r="AD1951">
            <v>34.594726559999998</v>
          </cell>
        </row>
        <row r="1952">
          <cell r="L1952" t="str">
            <v>رجم طقو</v>
          </cell>
          <cell r="M1952" t="str">
            <v>C2620</v>
          </cell>
          <cell r="AC1952">
            <v>37.169677729999997</v>
          </cell>
          <cell r="AD1952">
            <v>34.565917970000001</v>
          </cell>
        </row>
        <row r="1953">
          <cell r="L1953" t="str">
            <v>الملاجة-خريجة الصليبي</v>
          </cell>
          <cell r="M1953" t="str">
            <v>C2621</v>
          </cell>
          <cell r="AC1953">
            <v>37.024108890000001</v>
          </cell>
          <cell r="AD1953">
            <v>34.607482910000002</v>
          </cell>
        </row>
        <row r="1954">
          <cell r="L1954" t="str">
            <v>الجربوعية-فطيم عرنوق</v>
          </cell>
          <cell r="M1954" t="str">
            <v>C2622</v>
          </cell>
          <cell r="AC1954">
            <v>36.972290039999997</v>
          </cell>
          <cell r="AD1954">
            <v>34.648498539999999</v>
          </cell>
        </row>
        <row r="1955">
          <cell r="L1955" t="str">
            <v>الخليلية</v>
          </cell>
          <cell r="M1955" t="str">
            <v>C2623</v>
          </cell>
          <cell r="AC1955">
            <v>37.232910160000003</v>
          </cell>
          <cell r="AD1955">
            <v>34.66290283</v>
          </cell>
        </row>
        <row r="1956">
          <cell r="L1956" t="str">
            <v>الصايد</v>
          </cell>
          <cell r="M1956" t="str">
            <v>C2624</v>
          </cell>
          <cell r="AC1956">
            <v>37.027282720000002</v>
          </cell>
          <cell r="AD1956">
            <v>34.63787842</v>
          </cell>
        </row>
        <row r="1957">
          <cell r="L1957" t="str">
            <v>حولايا</v>
          </cell>
          <cell r="M1957" t="str">
            <v>C2625</v>
          </cell>
          <cell r="AC1957">
            <v>37.048278809999999</v>
          </cell>
          <cell r="AD1957">
            <v>34.541076660000002</v>
          </cell>
        </row>
        <row r="1958">
          <cell r="L1958" t="str">
            <v>العباسية</v>
          </cell>
          <cell r="M1958" t="str">
            <v>C2626</v>
          </cell>
          <cell r="AC1958">
            <v>37.009094240000003</v>
          </cell>
          <cell r="AD1958">
            <v>34.595886229999998</v>
          </cell>
        </row>
        <row r="1959">
          <cell r="L1959" t="str">
            <v>أم التبابير</v>
          </cell>
          <cell r="M1959" t="str">
            <v>C2627</v>
          </cell>
          <cell r="AC1959">
            <v>37.279907229999999</v>
          </cell>
          <cell r="AD1959">
            <v>34.58227539</v>
          </cell>
        </row>
        <row r="1960">
          <cell r="L1960" t="str">
            <v>أم ساموك</v>
          </cell>
          <cell r="M1960" t="str">
            <v>C2628</v>
          </cell>
          <cell r="AC1960">
            <v>37.099121089999997</v>
          </cell>
          <cell r="AD1960">
            <v>34.686889649999998</v>
          </cell>
        </row>
        <row r="1961">
          <cell r="L1961" t="str">
            <v>جب الشامي</v>
          </cell>
          <cell r="M1961" t="str">
            <v>C2629</v>
          </cell>
          <cell r="AC1961">
            <v>37.091308589999997</v>
          </cell>
          <cell r="AD1961">
            <v>34.521484379999997</v>
          </cell>
        </row>
        <row r="1962">
          <cell r="L1962" t="str">
            <v>الشتاية</v>
          </cell>
          <cell r="M1962" t="str">
            <v>C2630</v>
          </cell>
          <cell r="AC1962">
            <v>36.953674319999998</v>
          </cell>
          <cell r="AD1962">
            <v>34.684692380000001</v>
          </cell>
        </row>
        <row r="1963">
          <cell r="L1963" t="str">
            <v>الناصرية</v>
          </cell>
          <cell r="M1963" t="str">
            <v>C2631</v>
          </cell>
          <cell r="AC1963">
            <v>36.929077149999998</v>
          </cell>
          <cell r="AD1963">
            <v>34.64868164</v>
          </cell>
        </row>
        <row r="1964">
          <cell r="L1964" t="str">
            <v>البسة</v>
          </cell>
          <cell r="M1964" t="str">
            <v>C2632</v>
          </cell>
          <cell r="AC1964">
            <v>37.056884770000003</v>
          </cell>
          <cell r="AD1964">
            <v>34.622924810000001</v>
          </cell>
        </row>
        <row r="1965">
          <cell r="L1965" t="str">
            <v>الفرقلس</v>
          </cell>
          <cell r="M1965" t="str">
            <v>C2633</v>
          </cell>
          <cell r="AC1965">
            <v>37.086120610000002</v>
          </cell>
          <cell r="AD1965">
            <v>34.602905270000001</v>
          </cell>
        </row>
        <row r="1966">
          <cell r="L1966" t="str">
            <v>الهزة</v>
          </cell>
          <cell r="M1966" t="str">
            <v>C2634</v>
          </cell>
          <cell r="AC1966">
            <v>36.947875979999999</v>
          </cell>
          <cell r="AD1966">
            <v>34.618286130000001</v>
          </cell>
        </row>
        <row r="1967">
          <cell r="L1967" t="str">
            <v>أم الطيور</v>
          </cell>
          <cell r="M1967" t="str">
            <v>C2635</v>
          </cell>
          <cell r="AC1967">
            <v>37.111083979999997</v>
          </cell>
          <cell r="AD1967">
            <v>34.691284179999997</v>
          </cell>
        </row>
        <row r="1968">
          <cell r="L1968" t="str">
            <v>عيفير</v>
          </cell>
          <cell r="M1968" t="str">
            <v>C2636</v>
          </cell>
          <cell r="AC1968">
            <v>36.945678710000003</v>
          </cell>
          <cell r="AD1968">
            <v>34.66131592</v>
          </cell>
        </row>
        <row r="1969">
          <cell r="L1969" t="str">
            <v>جباب حمد</v>
          </cell>
          <cell r="M1969" t="str">
            <v>C2637</v>
          </cell>
          <cell r="AC1969">
            <v>37.28491211</v>
          </cell>
          <cell r="AD1969">
            <v>34.657287599999997</v>
          </cell>
        </row>
        <row r="1970">
          <cell r="L1970" t="str">
            <v>أم جرين</v>
          </cell>
          <cell r="M1970" t="str">
            <v>C2638</v>
          </cell>
          <cell r="AC1970">
            <v>37.078674319999998</v>
          </cell>
          <cell r="AD1970">
            <v>34.655517580000001</v>
          </cell>
        </row>
        <row r="1971">
          <cell r="L1971" t="str">
            <v>فرحة</v>
          </cell>
          <cell r="M1971" t="str">
            <v>C2639</v>
          </cell>
          <cell r="AC1971">
            <v>37.230285649999999</v>
          </cell>
          <cell r="AD1971">
            <v>34.535888669999999</v>
          </cell>
        </row>
        <row r="1972">
          <cell r="L1972" t="str">
            <v>مران الفواعرة</v>
          </cell>
          <cell r="M1972" t="str">
            <v>C2640</v>
          </cell>
          <cell r="AC1972">
            <v>37.172729490000002</v>
          </cell>
          <cell r="AD1972">
            <v>34.625488279999999</v>
          </cell>
        </row>
        <row r="1973">
          <cell r="L1973" t="str">
            <v>العاليات</v>
          </cell>
          <cell r="M1973" t="str">
            <v>C2641</v>
          </cell>
          <cell r="AC1973">
            <v>36.830078129999997</v>
          </cell>
          <cell r="AD1973">
            <v>34.542480470000001</v>
          </cell>
        </row>
        <row r="1974">
          <cell r="L1974" t="str">
            <v>الرقاما</v>
          </cell>
          <cell r="M1974" t="str">
            <v>C2642</v>
          </cell>
          <cell r="AC1974">
            <v>36.917114259999998</v>
          </cell>
          <cell r="AD1974">
            <v>34.539489750000001</v>
          </cell>
        </row>
        <row r="1975">
          <cell r="L1975" t="str">
            <v>الاعور</v>
          </cell>
          <cell r="M1975" t="str">
            <v>C2643</v>
          </cell>
          <cell r="AC1975">
            <v>36.838317869999997</v>
          </cell>
          <cell r="AD1975">
            <v>34.571716309999999</v>
          </cell>
        </row>
        <row r="1976">
          <cell r="L1976" t="str">
            <v>الرضيفات</v>
          </cell>
          <cell r="M1976" t="str">
            <v>C2644</v>
          </cell>
          <cell r="AC1976">
            <v>37.01287842</v>
          </cell>
          <cell r="AD1976">
            <v>34.449096679999997</v>
          </cell>
        </row>
        <row r="1977">
          <cell r="L1977" t="str">
            <v>البلها</v>
          </cell>
          <cell r="M1977" t="str">
            <v>C2645</v>
          </cell>
          <cell r="AC1977">
            <v>36.972717289999999</v>
          </cell>
          <cell r="AD1977">
            <v>34.521728520000003</v>
          </cell>
        </row>
        <row r="1978">
          <cell r="L1978" t="str">
            <v>المضابع</v>
          </cell>
          <cell r="M1978" t="str">
            <v>C2646</v>
          </cell>
          <cell r="AC1978">
            <v>36.96990967</v>
          </cell>
          <cell r="AD1978">
            <v>34.58087158</v>
          </cell>
        </row>
        <row r="1979">
          <cell r="L1979" t="str">
            <v>أم دولاب-المظهرية</v>
          </cell>
          <cell r="M1979" t="str">
            <v>C2647</v>
          </cell>
          <cell r="AC1979">
            <v>36.831481930000002</v>
          </cell>
          <cell r="AD1979">
            <v>34.58709717</v>
          </cell>
        </row>
        <row r="1980">
          <cell r="L1980" t="str">
            <v>الحربية</v>
          </cell>
          <cell r="M1980" t="str">
            <v>C2648</v>
          </cell>
          <cell r="AC1980">
            <v>36.821105959999997</v>
          </cell>
          <cell r="AD1980">
            <v>34.525695800000001</v>
          </cell>
        </row>
        <row r="1981">
          <cell r="L1981" t="str">
            <v>القنية الشرقية</v>
          </cell>
          <cell r="M1981" t="str">
            <v>C2649</v>
          </cell>
          <cell r="AC1981">
            <v>37.038330080000001</v>
          </cell>
          <cell r="AD1981">
            <v>34.487487790000003</v>
          </cell>
        </row>
        <row r="1982">
          <cell r="L1982" t="str">
            <v>جباب الزيت</v>
          </cell>
          <cell r="M1982" t="str">
            <v>C2651</v>
          </cell>
          <cell r="AC1982">
            <v>36.873901369999999</v>
          </cell>
          <cell r="AD1982">
            <v>34.409728999999999</v>
          </cell>
        </row>
        <row r="1983">
          <cell r="L1983" t="str">
            <v>المنزول</v>
          </cell>
          <cell r="M1983" t="str">
            <v>C2652</v>
          </cell>
          <cell r="AC1983">
            <v>36.91290283</v>
          </cell>
          <cell r="AD1983">
            <v>34.519470220000002</v>
          </cell>
        </row>
        <row r="1984">
          <cell r="L1984" t="str">
            <v>الوازعية</v>
          </cell>
          <cell r="M1984" t="str">
            <v>C2653</v>
          </cell>
          <cell r="AC1984">
            <v>36.94348145</v>
          </cell>
          <cell r="AD1984">
            <v>34.455078129999997</v>
          </cell>
        </row>
        <row r="1985">
          <cell r="L1985" t="str">
            <v>الروضة</v>
          </cell>
          <cell r="M1985" t="str">
            <v>C2654</v>
          </cell>
          <cell r="AC1985">
            <v>36.896728520000003</v>
          </cell>
          <cell r="AD1985">
            <v>34.574096679999997</v>
          </cell>
        </row>
        <row r="1986">
          <cell r="L1986" t="str">
            <v>النعامية</v>
          </cell>
          <cell r="M1986" t="str">
            <v>C2655</v>
          </cell>
          <cell r="AC1986">
            <v>36.983276369999999</v>
          </cell>
          <cell r="AD1986">
            <v>34.416687009999997</v>
          </cell>
        </row>
        <row r="1987">
          <cell r="L1987" t="str">
            <v>العزيزية</v>
          </cell>
          <cell r="M1987" t="str">
            <v>C2656</v>
          </cell>
          <cell r="AC1987">
            <v>36.993896479999997</v>
          </cell>
          <cell r="AD1987">
            <v>34.527709960000003</v>
          </cell>
        </row>
        <row r="1988">
          <cell r="L1988" t="str">
            <v>النزهة</v>
          </cell>
          <cell r="M1988" t="str">
            <v>C2657</v>
          </cell>
          <cell r="AC1988">
            <v>36.808898929999998</v>
          </cell>
          <cell r="AD1988">
            <v>34.559082029999999</v>
          </cell>
        </row>
        <row r="1989">
          <cell r="L1989" t="str">
            <v>الغالية</v>
          </cell>
          <cell r="M1989" t="str">
            <v>C2658</v>
          </cell>
          <cell r="AC1989">
            <v>36.87731934</v>
          </cell>
          <cell r="AD1989">
            <v>34.472473149999999</v>
          </cell>
        </row>
        <row r="1990">
          <cell r="L1990" t="str">
            <v>الشعيرات</v>
          </cell>
          <cell r="M1990" t="str">
            <v>C2659</v>
          </cell>
          <cell r="AC1990">
            <v>36.94689941</v>
          </cell>
          <cell r="AD1990">
            <v>34.49450684</v>
          </cell>
        </row>
        <row r="1991">
          <cell r="L1991" t="str">
            <v>درداء-دردغان</v>
          </cell>
          <cell r="M1991" t="str">
            <v>C2660</v>
          </cell>
          <cell r="AC1991">
            <v>36.867492679999998</v>
          </cell>
          <cell r="AD1991">
            <v>34.508117679999998</v>
          </cell>
        </row>
        <row r="1992">
          <cell r="L1992" t="str">
            <v>الحمرات</v>
          </cell>
          <cell r="M1992" t="str">
            <v>C2661</v>
          </cell>
          <cell r="AC1992">
            <v>36.890930179999998</v>
          </cell>
          <cell r="AD1992">
            <v>34.455505369999997</v>
          </cell>
        </row>
        <row r="1993">
          <cell r="L1993" t="str">
            <v>الصفا_التياس</v>
          </cell>
          <cell r="M1993" t="str">
            <v>C2662</v>
          </cell>
          <cell r="AC1993">
            <v>37.674499509999997</v>
          </cell>
          <cell r="AD1993">
            <v>34.551086429999998</v>
          </cell>
        </row>
        <row r="1994">
          <cell r="L1994" t="str">
            <v>القريتين</v>
          </cell>
          <cell r="M1994" t="str">
            <v>C2663</v>
          </cell>
          <cell r="AC1994">
            <v>37.237304690000002</v>
          </cell>
          <cell r="AD1994">
            <v>34.226501470000002</v>
          </cell>
        </row>
        <row r="1995">
          <cell r="L1995" t="str">
            <v>حوارين</v>
          </cell>
          <cell r="M1995" t="str">
            <v>C2664</v>
          </cell>
          <cell r="AC1995">
            <v>37.075683589999997</v>
          </cell>
          <cell r="AD1995">
            <v>34.268676759999998</v>
          </cell>
        </row>
        <row r="1996">
          <cell r="L1996" t="str">
            <v>الحدث</v>
          </cell>
          <cell r="M1996" t="str">
            <v>C2665</v>
          </cell>
          <cell r="AC1996">
            <v>37.092102050000001</v>
          </cell>
          <cell r="AD1996">
            <v>34.312072749999999</v>
          </cell>
        </row>
        <row r="1997">
          <cell r="L1997" t="str">
            <v>القصر-الغنثر</v>
          </cell>
          <cell r="M1997" t="str">
            <v>C2666</v>
          </cell>
          <cell r="AC1997">
            <v>37.151489259999998</v>
          </cell>
          <cell r="AD1997">
            <v>34.395324709999997</v>
          </cell>
        </row>
        <row r="1998">
          <cell r="L1998" t="str">
            <v>مهين</v>
          </cell>
          <cell r="M1998" t="str">
            <v>C2667</v>
          </cell>
          <cell r="AC1998">
            <v>37.03930664</v>
          </cell>
          <cell r="AD1998">
            <v>34.244079589999998</v>
          </cell>
        </row>
        <row r="1999">
          <cell r="L1999" t="str">
            <v>قناة العمياء</v>
          </cell>
          <cell r="M1999" t="str">
            <v>C2668</v>
          </cell>
          <cell r="AC1999">
            <v>37.025329589999998</v>
          </cell>
          <cell r="AD1999">
            <v>34.289916990000002</v>
          </cell>
        </row>
        <row r="2000">
          <cell r="L2000" t="str">
            <v>البريج</v>
          </cell>
          <cell r="M2000" t="str">
            <v>C2669</v>
          </cell>
          <cell r="AC2000">
            <v>36.770507809999998</v>
          </cell>
          <cell r="AD2000">
            <v>34.258911130000001</v>
          </cell>
        </row>
        <row r="2001">
          <cell r="L2001" t="str">
            <v>الكشف</v>
          </cell>
          <cell r="M2001" t="str">
            <v>C2670</v>
          </cell>
          <cell r="AC2001">
            <v>36.839477539999997</v>
          </cell>
          <cell r="AD2001">
            <v>34.399291990000002</v>
          </cell>
        </row>
        <row r="2002">
          <cell r="L2002" t="str">
            <v>جندر</v>
          </cell>
          <cell r="M2002" t="str">
            <v>C2671</v>
          </cell>
          <cell r="AC2002">
            <v>36.778320309999998</v>
          </cell>
          <cell r="AD2002">
            <v>34.493896479999997</v>
          </cell>
        </row>
        <row r="2003">
          <cell r="L2003" t="str">
            <v>الديبة</v>
          </cell>
          <cell r="M2003" t="str">
            <v>C2672</v>
          </cell>
          <cell r="AC2003">
            <v>36.776123050000002</v>
          </cell>
          <cell r="AD2003">
            <v>34.55950928</v>
          </cell>
        </row>
        <row r="2004">
          <cell r="L2004" t="str">
            <v>جب الصدى</v>
          </cell>
          <cell r="M2004" t="str">
            <v>C2673</v>
          </cell>
          <cell r="AC2004">
            <v>36.823486330000001</v>
          </cell>
          <cell r="AD2004">
            <v>34.446716309999999</v>
          </cell>
        </row>
        <row r="2005">
          <cell r="L2005" t="str">
            <v>شمسين</v>
          </cell>
          <cell r="M2005" t="str">
            <v>C2674</v>
          </cell>
          <cell r="AC2005">
            <v>36.741516109999999</v>
          </cell>
          <cell r="AD2005">
            <v>34.540527339999997</v>
          </cell>
        </row>
        <row r="2006">
          <cell r="L2006" t="str">
            <v>حسياء</v>
          </cell>
          <cell r="M2006" t="str">
            <v>C2675</v>
          </cell>
          <cell r="AC2006">
            <v>36.759704589999998</v>
          </cell>
          <cell r="AD2006">
            <v>34.410705569999998</v>
          </cell>
        </row>
        <row r="2007">
          <cell r="L2007" t="str">
            <v>الحفر</v>
          </cell>
          <cell r="M2007" t="str">
            <v>C2676</v>
          </cell>
          <cell r="AC2007">
            <v>36.903320309999998</v>
          </cell>
          <cell r="AD2007">
            <v>34.253112790000003</v>
          </cell>
        </row>
        <row r="2008">
          <cell r="L2008" t="str">
            <v>صدد</v>
          </cell>
          <cell r="M2008" t="str">
            <v>C2677</v>
          </cell>
          <cell r="AC2008">
            <v>36.925109859999999</v>
          </cell>
          <cell r="AD2008">
            <v>34.313903809999999</v>
          </cell>
        </row>
        <row r="2009">
          <cell r="L2009" t="str">
            <v>أوتان</v>
          </cell>
          <cell r="M2009" t="str">
            <v>C2678</v>
          </cell>
          <cell r="AC2009">
            <v>36.421691899999999</v>
          </cell>
          <cell r="AD2009">
            <v>34.819519040000003</v>
          </cell>
        </row>
        <row r="2010">
          <cell r="L2010" t="str">
            <v>شرقلية</v>
          </cell>
          <cell r="M2010" t="str">
            <v>C2679</v>
          </cell>
          <cell r="AC2010">
            <v>36.512084960000003</v>
          </cell>
          <cell r="AD2010">
            <v>34.835876470000002</v>
          </cell>
        </row>
        <row r="2011">
          <cell r="L2011" t="str">
            <v>القبو</v>
          </cell>
          <cell r="M2011" t="str">
            <v>C2680</v>
          </cell>
          <cell r="AC2011">
            <v>36.458496089999997</v>
          </cell>
          <cell r="AD2011">
            <v>34.84350586</v>
          </cell>
        </row>
        <row r="2012">
          <cell r="L2012" t="str">
            <v>القناقية</v>
          </cell>
          <cell r="M2012" t="str">
            <v>C2681</v>
          </cell>
          <cell r="AC2012">
            <v>36.490905759999997</v>
          </cell>
          <cell r="AD2012">
            <v>34.833496089999997</v>
          </cell>
        </row>
        <row r="2013">
          <cell r="L2013" t="str">
            <v>رباح</v>
          </cell>
          <cell r="M2013" t="str">
            <v>C2682</v>
          </cell>
          <cell r="AC2013">
            <v>36.400878910000003</v>
          </cell>
          <cell r="AD2013">
            <v>34.825927729999997</v>
          </cell>
        </row>
        <row r="2014">
          <cell r="L2014" t="str">
            <v>الشنية</v>
          </cell>
          <cell r="M2014" t="str">
            <v>C2683</v>
          </cell>
          <cell r="AC2014">
            <v>36.453918459999997</v>
          </cell>
          <cell r="AD2014">
            <v>34.858703609999999</v>
          </cell>
        </row>
        <row r="2015">
          <cell r="L2015" t="str">
            <v>فاحل</v>
          </cell>
          <cell r="M2015" t="str">
            <v>C2684</v>
          </cell>
          <cell r="AC2015">
            <v>36.408874509999997</v>
          </cell>
          <cell r="AD2015">
            <v>34.847717289999999</v>
          </cell>
        </row>
        <row r="2016">
          <cell r="L2016" t="str">
            <v>بتيسة الجرد</v>
          </cell>
          <cell r="M2016" t="str">
            <v>C2685</v>
          </cell>
          <cell r="AC2016">
            <v>36.334472660000003</v>
          </cell>
          <cell r="AD2016">
            <v>34.877502440000001</v>
          </cell>
        </row>
        <row r="2017">
          <cell r="L2017" t="str">
            <v>جب البستان</v>
          </cell>
          <cell r="M2017" t="str">
            <v>C2686</v>
          </cell>
          <cell r="AC2017">
            <v>36.466674810000001</v>
          </cell>
          <cell r="AD2017">
            <v>34.773071289999997</v>
          </cell>
        </row>
        <row r="2018">
          <cell r="L2018" t="str">
            <v>حاصور</v>
          </cell>
          <cell r="M2018" t="str">
            <v>C2687</v>
          </cell>
          <cell r="AC2018">
            <v>36.343688970000002</v>
          </cell>
          <cell r="AD2018">
            <v>34.844116210000003</v>
          </cell>
        </row>
        <row r="2019">
          <cell r="L2019" t="str">
            <v>بحور</v>
          </cell>
          <cell r="M2019" t="str">
            <v>C2688</v>
          </cell>
          <cell r="AC2019">
            <v>36.373107910000002</v>
          </cell>
          <cell r="AD2019">
            <v>34.81408691</v>
          </cell>
        </row>
        <row r="2020">
          <cell r="L2020" t="str">
            <v>شين</v>
          </cell>
          <cell r="M2020" t="str">
            <v>C2689</v>
          </cell>
          <cell r="AC2020">
            <v>36.423522949999999</v>
          </cell>
          <cell r="AD2020">
            <v>34.777526860000002</v>
          </cell>
        </row>
        <row r="2021">
          <cell r="L2021" t="str">
            <v>خويخة</v>
          </cell>
          <cell r="M2021" t="str">
            <v>C2690</v>
          </cell>
          <cell r="AC2021">
            <v>36.392517089999998</v>
          </cell>
          <cell r="AD2021">
            <v>34.76330566</v>
          </cell>
        </row>
        <row r="2022">
          <cell r="L2022" t="str">
            <v>صفر-صقور أبو وردة</v>
          </cell>
          <cell r="M2022" t="str">
            <v>C2691</v>
          </cell>
          <cell r="AC2022">
            <v>36.474304199999999</v>
          </cell>
          <cell r="AD2022">
            <v>34.783874509999997</v>
          </cell>
        </row>
        <row r="2023">
          <cell r="L2023" t="str">
            <v>صفصافة</v>
          </cell>
          <cell r="M2023" t="str">
            <v>C2692</v>
          </cell>
          <cell r="AC2023">
            <v>36.394103999999999</v>
          </cell>
          <cell r="AD2023">
            <v>34.740478520000003</v>
          </cell>
        </row>
        <row r="2024">
          <cell r="L2024" t="str">
            <v>طويز الجنوبية</v>
          </cell>
          <cell r="M2024" t="str">
            <v>C2693</v>
          </cell>
          <cell r="AC2024">
            <v>36.302307130000003</v>
          </cell>
          <cell r="AD2024">
            <v>34.88671875</v>
          </cell>
        </row>
        <row r="2025">
          <cell r="L2025" t="str">
            <v>عيون الوادي</v>
          </cell>
          <cell r="M2025" t="str">
            <v>C2694</v>
          </cell>
          <cell r="AC2025">
            <v>36.27227783</v>
          </cell>
          <cell r="AD2025">
            <v>34.877929690000002</v>
          </cell>
        </row>
        <row r="2026">
          <cell r="L2026" t="str">
            <v>جبلايا</v>
          </cell>
          <cell r="M2026" t="str">
            <v>C2695</v>
          </cell>
          <cell r="AC2026">
            <v>36.392272949999999</v>
          </cell>
          <cell r="AD2026">
            <v>34.785888669999999</v>
          </cell>
        </row>
        <row r="2027">
          <cell r="L2027" t="str">
            <v>صويري</v>
          </cell>
          <cell r="M2027" t="str">
            <v>C2696</v>
          </cell>
          <cell r="AC2027">
            <v>36.460510249999999</v>
          </cell>
          <cell r="AD2027">
            <v>34.745910649999999</v>
          </cell>
        </row>
        <row r="2028">
          <cell r="L2028" t="str">
            <v>حدية</v>
          </cell>
          <cell r="M2028" t="str">
            <v>C2697</v>
          </cell>
          <cell r="AC2028">
            <v>36.329528809999999</v>
          </cell>
          <cell r="AD2028">
            <v>34.849914550000001</v>
          </cell>
        </row>
        <row r="2029">
          <cell r="L2029" t="str">
            <v>الجويخات</v>
          </cell>
          <cell r="M2029" t="str">
            <v>C2698</v>
          </cell>
          <cell r="AC2029">
            <v>36.297912599999997</v>
          </cell>
          <cell r="AD2029">
            <v>34.872314449999998</v>
          </cell>
        </row>
        <row r="2030">
          <cell r="L2030" t="str">
            <v>زعفرانة غربية</v>
          </cell>
          <cell r="M2030" t="str">
            <v>C2699</v>
          </cell>
          <cell r="AC2030">
            <v>36.463500979999999</v>
          </cell>
          <cell r="AD2030">
            <v>34.714904789999999</v>
          </cell>
        </row>
        <row r="2031">
          <cell r="L2031" t="str">
            <v>ديابية-ذهبية</v>
          </cell>
          <cell r="M2031" t="str">
            <v>C2700</v>
          </cell>
          <cell r="AC2031">
            <v>36.45587158</v>
          </cell>
          <cell r="AD2031">
            <v>34.698486330000001</v>
          </cell>
        </row>
        <row r="2032">
          <cell r="L2032" t="str">
            <v>مرانة</v>
          </cell>
          <cell r="M2032" t="str">
            <v>C2701</v>
          </cell>
          <cell r="AC2032">
            <v>36.413330080000001</v>
          </cell>
          <cell r="AD2032">
            <v>34.798889160000002</v>
          </cell>
        </row>
        <row r="2033">
          <cell r="L2033" t="str">
            <v>محفورة</v>
          </cell>
          <cell r="M2033" t="str">
            <v>C2702</v>
          </cell>
          <cell r="AC2033">
            <v>36.447875979999999</v>
          </cell>
          <cell r="AD2033">
            <v>34.81091309</v>
          </cell>
        </row>
        <row r="2034">
          <cell r="L2034" t="str">
            <v>متعارض</v>
          </cell>
          <cell r="M2034" t="str">
            <v>C2703</v>
          </cell>
          <cell r="AC2034">
            <v>36.441894529999999</v>
          </cell>
          <cell r="AD2034">
            <v>34.798278809999999</v>
          </cell>
        </row>
        <row r="2035">
          <cell r="L2035" t="str">
            <v>دمينة الغربية</v>
          </cell>
          <cell r="M2035" t="str">
            <v>C2704</v>
          </cell>
          <cell r="AC2035">
            <v>36.594116210000003</v>
          </cell>
          <cell r="AD2035">
            <v>34.600524900000003</v>
          </cell>
        </row>
        <row r="2036">
          <cell r="L2036" t="str">
            <v>ربلة</v>
          </cell>
          <cell r="M2036" t="str">
            <v>C2705</v>
          </cell>
          <cell r="AC2036">
            <v>36.558715820000003</v>
          </cell>
          <cell r="AD2036">
            <v>34.452697749999999</v>
          </cell>
        </row>
        <row r="2037">
          <cell r="L2037" t="str">
            <v>دمينة الشرقية</v>
          </cell>
          <cell r="M2037" t="str">
            <v>C2706</v>
          </cell>
          <cell r="AC2037">
            <v>36.678283690000001</v>
          </cell>
          <cell r="AD2037">
            <v>34.57629395</v>
          </cell>
        </row>
        <row r="2038">
          <cell r="L2038" t="str">
            <v>جوسية العمار</v>
          </cell>
          <cell r="M2038" t="str">
            <v>C2707</v>
          </cell>
          <cell r="AC2038">
            <v>36.569274900000003</v>
          </cell>
          <cell r="AD2038">
            <v>34.435729979999998</v>
          </cell>
        </row>
        <row r="2039">
          <cell r="L2039" t="str">
            <v>أم حارتين عتيق</v>
          </cell>
          <cell r="M2039" t="str">
            <v>C2708</v>
          </cell>
          <cell r="AC2039">
            <v>36.45288086</v>
          </cell>
          <cell r="AD2039">
            <v>34.58410645</v>
          </cell>
        </row>
        <row r="2040">
          <cell r="L2040" t="str">
            <v>دحيرج</v>
          </cell>
          <cell r="M2040" t="str">
            <v>C2709</v>
          </cell>
          <cell r="AC2040">
            <v>36.669494630000003</v>
          </cell>
          <cell r="AD2040">
            <v>34.518127440000001</v>
          </cell>
        </row>
        <row r="2041">
          <cell r="L2041" t="str">
            <v>دبين</v>
          </cell>
          <cell r="M2041" t="str">
            <v>C2710</v>
          </cell>
          <cell r="AC2041">
            <v>36.480285649999999</v>
          </cell>
          <cell r="AD2041">
            <v>34.606689449999998</v>
          </cell>
        </row>
        <row r="2042">
          <cell r="L2042" t="str">
            <v>الصخر-هيت</v>
          </cell>
          <cell r="M2042" t="str">
            <v>C2711</v>
          </cell>
          <cell r="AC2042">
            <v>36.417480470000001</v>
          </cell>
          <cell r="AD2042">
            <v>34.577087400000003</v>
          </cell>
        </row>
        <row r="2043">
          <cell r="L2043" t="str">
            <v>أبو جوري</v>
          </cell>
          <cell r="M2043" t="str">
            <v>C2712</v>
          </cell>
          <cell r="AC2043">
            <v>36.519714360000002</v>
          </cell>
          <cell r="AD2043">
            <v>34.494689940000001</v>
          </cell>
        </row>
        <row r="2044">
          <cell r="L2044" t="str">
            <v>عرجون</v>
          </cell>
          <cell r="M2044" t="str">
            <v>C2713</v>
          </cell>
          <cell r="AC2044">
            <v>36.536926270000002</v>
          </cell>
          <cell r="AD2044">
            <v>34.557312009999997</v>
          </cell>
        </row>
        <row r="2045">
          <cell r="L2045" t="str">
            <v>الحيدرية</v>
          </cell>
          <cell r="M2045" t="str">
            <v>C2714</v>
          </cell>
          <cell r="AC2045">
            <v>36.571105959999997</v>
          </cell>
          <cell r="AD2045">
            <v>34.591674810000001</v>
          </cell>
        </row>
        <row r="2046">
          <cell r="L2046" t="str">
            <v>البويضة الشرقية</v>
          </cell>
          <cell r="M2046" t="str">
            <v>C2715</v>
          </cell>
          <cell r="AC2046">
            <v>36.643920899999998</v>
          </cell>
          <cell r="AD2046">
            <v>34.60430908</v>
          </cell>
        </row>
        <row r="2047">
          <cell r="L2047" t="str">
            <v>الحامدية</v>
          </cell>
          <cell r="M2047" t="str">
            <v>C2716</v>
          </cell>
          <cell r="AC2047">
            <v>36.499694820000002</v>
          </cell>
          <cell r="AD2047">
            <v>34.526489259999998</v>
          </cell>
        </row>
        <row r="2048">
          <cell r="L2048" t="str">
            <v>الشومرية</v>
          </cell>
          <cell r="M2048" t="str">
            <v>C2717</v>
          </cell>
          <cell r="AC2048">
            <v>36.577514649999998</v>
          </cell>
          <cell r="AD2048">
            <v>34.624511720000001</v>
          </cell>
        </row>
        <row r="2049">
          <cell r="L2049" t="str">
            <v>زيتا الغربية</v>
          </cell>
          <cell r="M2049" t="str">
            <v>C2718</v>
          </cell>
          <cell r="AC2049">
            <v>36.484924319999998</v>
          </cell>
          <cell r="AD2049">
            <v>34.509521479999997</v>
          </cell>
        </row>
        <row r="2050">
          <cell r="L2050" t="str">
            <v>زراعة</v>
          </cell>
          <cell r="M2050" t="str">
            <v>C2719</v>
          </cell>
          <cell r="AC2050">
            <v>36.578125</v>
          </cell>
          <cell r="AD2050">
            <v>34.45727539</v>
          </cell>
        </row>
        <row r="2051">
          <cell r="L2051" t="str">
            <v>ضاحية المجد</v>
          </cell>
          <cell r="M2051" t="str">
            <v>C2720</v>
          </cell>
          <cell r="AC2051">
            <v>36.719482419999999</v>
          </cell>
          <cell r="AD2051">
            <v>34.581298830000001</v>
          </cell>
        </row>
        <row r="2052">
          <cell r="L2052" t="str">
            <v>السوادية</v>
          </cell>
          <cell r="M2052" t="str">
            <v>C2721</v>
          </cell>
          <cell r="AC2052">
            <v>36.475891109999999</v>
          </cell>
          <cell r="AD2052">
            <v>34.508911130000001</v>
          </cell>
        </row>
        <row r="2053">
          <cell r="L2053" t="str">
            <v>البويضة الغربية-العقربية</v>
          </cell>
          <cell r="M2053" t="str">
            <v>C2722</v>
          </cell>
          <cell r="AC2053">
            <v>36.473510740000002</v>
          </cell>
          <cell r="AD2053">
            <v>34.538879399999999</v>
          </cell>
        </row>
        <row r="2054">
          <cell r="L2054" t="str">
            <v>الشياحات</v>
          </cell>
          <cell r="M2054" t="str">
            <v>C2723</v>
          </cell>
          <cell r="AC2054">
            <v>36.575073240000002</v>
          </cell>
          <cell r="AD2054">
            <v>34.473693849999997</v>
          </cell>
        </row>
        <row r="2055">
          <cell r="L2055" t="str">
            <v>الحاوي_الحاويك</v>
          </cell>
          <cell r="M2055" t="str">
            <v>C2724</v>
          </cell>
          <cell r="AC2055">
            <v>36.422302250000001</v>
          </cell>
          <cell r="AD2055">
            <v>34.548278809999999</v>
          </cell>
        </row>
        <row r="2056">
          <cell r="L2056" t="str">
            <v>الحسينية</v>
          </cell>
          <cell r="M2056" t="str">
            <v>C2725</v>
          </cell>
          <cell r="AC2056">
            <v>36.712280270000001</v>
          </cell>
          <cell r="AD2056">
            <v>34.570129399999999</v>
          </cell>
        </row>
        <row r="2057">
          <cell r="L2057" t="str">
            <v>الضبعة</v>
          </cell>
          <cell r="M2057" t="str">
            <v>C2726</v>
          </cell>
          <cell r="AC2057">
            <v>36.613708500000001</v>
          </cell>
          <cell r="AD2057">
            <v>34.55310059</v>
          </cell>
        </row>
        <row r="2058">
          <cell r="L2058" t="str">
            <v>النيزارية</v>
          </cell>
          <cell r="M2058" t="str">
            <v>C2727</v>
          </cell>
          <cell r="AC2058">
            <v>36.54571533</v>
          </cell>
          <cell r="AD2058">
            <v>34.431518560000001</v>
          </cell>
        </row>
        <row r="2059">
          <cell r="L2059" t="str">
            <v>الفاضلية</v>
          </cell>
          <cell r="M2059" t="str">
            <v>C2728</v>
          </cell>
          <cell r="AC2059">
            <v>36.469299319999998</v>
          </cell>
          <cell r="AD2059">
            <v>34.524291990000002</v>
          </cell>
        </row>
        <row r="2060">
          <cell r="L2060" t="str">
            <v>حوش مرشد سمعان</v>
          </cell>
          <cell r="M2060" t="str">
            <v>C2729</v>
          </cell>
          <cell r="AC2060">
            <v>36.546875</v>
          </cell>
          <cell r="AD2060">
            <v>34.474487310000001</v>
          </cell>
        </row>
        <row r="2061">
          <cell r="L2061" t="str">
            <v>البرهانية-الرهوانية</v>
          </cell>
          <cell r="M2061" t="str">
            <v>C2730</v>
          </cell>
          <cell r="AC2061">
            <v>36.506286619999997</v>
          </cell>
          <cell r="AD2061">
            <v>34.529479979999998</v>
          </cell>
        </row>
        <row r="2062">
          <cell r="L2062" t="str">
            <v>سماقيات شرقية</v>
          </cell>
          <cell r="M2062" t="str">
            <v>C2731</v>
          </cell>
          <cell r="AC2062">
            <v>36.462280270000001</v>
          </cell>
          <cell r="AD2062">
            <v>34.572509770000003</v>
          </cell>
        </row>
        <row r="2063">
          <cell r="L2063" t="str">
            <v>سماقيات غربية</v>
          </cell>
          <cell r="M2063" t="str">
            <v>C2732</v>
          </cell>
          <cell r="AC2063">
            <v>36.447509770000003</v>
          </cell>
          <cell r="AD2063">
            <v>34.571105959999997</v>
          </cell>
        </row>
        <row r="2064">
          <cell r="L2064" t="str">
            <v>القصير</v>
          </cell>
          <cell r="M2064" t="str">
            <v>C2733</v>
          </cell>
          <cell r="AC2064">
            <v>36.579895020000002</v>
          </cell>
          <cell r="AD2064">
            <v>34.509704589999998</v>
          </cell>
        </row>
        <row r="2065">
          <cell r="L2065" t="str">
            <v>الخالدية</v>
          </cell>
          <cell r="M2065" t="str">
            <v>C2734</v>
          </cell>
          <cell r="AC2065">
            <v>36.511901860000002</v>
          </cell>
          <cell r="AD2065">
            <v>34.507324220000001</v>
          </cell>
        </row>
        <row r="2066">
          <cell r="L2066" t="str">
            <v>عين الصفا-أكوم</v>
          </cell>
          <cell r="M2066" t="str">
            <v>C2735</v>
          </cell>
          <cell r="AC2066">
            <v>36.370727539999997</v>
          </cell>
          <cell r="AD2066">
            <v>34.518676759999998</v>
          </cell>
        </row>
        <row r="2067">
          <cell r="L2067" t="str">
            <v>شنشار</v>
          </cell>
          <cell r="M2067" t="str">
            <v>C2736</v>
          </cell>
          <cell r="AC2067">
            <v>36.721679690000002</v>
          </cell>
          <cell r="AD2067">
            <v>34.60430908</v>
          </cell>
        </row>
        <row r="2068">
          <cell r="L2068" t="str">
            <v>بلوزة</v>
          </cell>
          <cell r="M2068" t="str">
            <v>C2737</v>
          </cell>
          <cell r="AC2068">
            <v>36.425476070000002</v>
          </cell>
          <cell r="AD2068">
            <v>34.534118650000003</v>
          </cell>
        </row>
        <row r="2069">
          <cell r="L2069" t="str">
            <v>ديابية</v>
          </cell>
          <cell r="M2069" t="str">
            <v>C2738</v>
          </cell>
          <cell r="AC2069">
            <v>36.630676270000002</v>
          </cell>
          <cell r="AD2069">
            <v>34.481689449999998</v>
          </cell>
        </row>
        <row r="2070">
          <cell r="L2070" t="str">
            <v>الموح</v>
          </cell>
          <cell r="M2070" t="str">
            <v>C2739</v>
          </cell>
          <cell r="AC2070">
            <v>36.526489259999998</v>
          </cell>
          <cell r="AD2070">
            <v>34.521484379999997</v>
          </cell>
        </row>
        <row r="2071">
          <cell r="L2071" t="str">
            <v>الناعم</v>
          </cell>
          <cell r="M2071" t="str">
            <v>C2740</v>
          </cell>
          <cell r="AC2071">
            <v>36.480102539999997</v>
          </cell>
          <cell r="AD2071">
            <v>34.591125490000003</v>
          </cell>
        </row>
        <row r="2072">
          <cell r="L2072" t="str">
            <v>البويت</v>
          </cell>
          <cell r="M2072" t="str">
            <v>C2741</v>
          </cell>
          <cell r="AC2072">
            <v>36.416320800000001</v>
          </cell>
          <cell r="AD2072">
            <v>34.599914550000001</v>
          </cell>
        </row>
        <row r="2073">
          <cell r="L2073" t="str">
            <v>القرنية</v>
          </cell>
          <cell r="M2073" t="str">
            <v>C2742</v>
          </cell>
          <cell r="AC2073">
            <v>36.491699220000001</v>
          </cell>
          <cell r="AD2073">
            <v>34.564697270000003</v>
          </cell>
        </row>
        <row r="2074">
          <cell r="L2074" t="str">
            <v>الحمراء</v>
          </cell>
          <cell r="M2074" t="str">
            <v>C2743</v>
          </cell>
          <cell r="AC2074">
            <v>36.670104979999998</v>
          </cell>
          <cell r="AD2074">
            <v>34.562927250000001</v>
          </cell>
        </row>
        <row r="2075">
          <cell r="L2075" t="str">
            <v>المصيطبة</v>
          </cell>
          <cell r="M2075" t="str">
            <v>C2744</v>
          </cell>
          <cell r="AC2075">
            <v>36.46990967</v>
          </cell>
          <cell r="AD2075">
            <v>34.518310550000002</v>
          </cell>
        </row>
        <row r="2076">
          <cell r="L2076" t="str">
            <v>المصرية</v>
          </cell>
          <cell r="M2076" t="str">
            <v>C2745</v>
          </cell>
          <cell r="AC2076">
            <v>36.477905270000001</v>
          </cell>
          <cell r="AD2076">
            <v>34.484680179999998</v>
          </cell>
        </row>
        <row r="2077">
          <cell r="L2077" t="str">
            <v>سقرجة-عين التنور</v>
          </cell>
          <cell r="M2077" t="str">
            <v>C2746</v>
          </cell>
          <cell r="AC2077">
            <v>36.499694820000002</v>
          </cell>
          <cell r="AD2077">
            <v>34.517089839999997</v>
          </cell>
        </row>
        <row r="2078">
          <cell r="L2078" t="str">
            <v>جوبانية-رام توت</v>
          </cell>
          <cell r="M2078" t="str">
            <v>C2747</v>
          </cell>
          <cell r="AC2078">
            <v>36.468322749999999</v>
          </cell>
          <cell r="AD2078">
            <v>34.623718259999997</v>
          </cell>
        </row>
        <row r="2079">
          <cell r="L2079" t="str">
            <v>الحمام</v>
          </cell>
          <cell r="M2079" t="str">
            <v>C2748</v>
          </cell>
          <cell r="AC2079">
            <v>36.507690429999997</v>
          </cell>
          <cell r="AD2079">
            <v>34.483886720000001</v>
          </cell>
        </row>
        <row r="2080">
          <cell r="L2080" t="str">
            <v>الغسانية</v>
          </cell>
          <cell r="M2080" t="str">
            <v>C2749</v>
          </cell>
          <cell r="AC2080">
            <v>36.553283690000001</v>
          </cell>
          <cell r="AD2080">
            <v>34.600280759999997</v>
          </cell>
        </row>
        <row r="2081">
          <cell r="L2081" t="str">
            <v>الحوز</v>
          </cell>
          <cell r="M2081" t="str">
            <v>C2750</v>
          </cell>
          <cell r="AC2081">
            <v>36.52111816</v>
          </cell>
          <cell r="AD2081">
            <v>34.572082520000002</v>
          </cell>
        </row>
        <row r="2082">
          <cell r="L2082" t="str">
            <v>حوش السيد علي</v>
          </cell>
          <cell r="M2082" t="str">
            <v>C2751</v>
          </cell>
          <cell r="AC2082">
            <v>36.497497559999999</v>
          </cell>
          <cell r="AD2082">
            <v>34.460083009999998</v>
          </cell>
        </row>
        <row r="2083">
          <cell r="L2083" t="str">
            <v>السلومية</v>
          </cell>
          <cell r="M2083" t="str">
            <v>C2752</v>
          </cell>
          <cell r="AC2083">
            <v>36.597290039999997</v>
          </cell>
          <cell r="AD2083">
            <v>34.621521000000001</v>
          </cell>
        </row>
        <row r="2084">
          <cell r="L2084" t="str">
            <v>وادي حنا</v>
          </cell>
          <cell r="M2084" t="str">
            <v>C2753</v>
          </cell>
          <cell r="AC2084">
            <v>36.3927002</v>
          </cell>
          <cell r="AD2084">
            <v>34.508483890000001</v>
          </cell>
        </row>
        <row r="2085">
          <cell r="L2085" t="str">
            <v>كمام</v>
          </cell>
          <cell r="M2085" t="str">
            <v>C2754</v>
          </cell>
          <cell r="AC2085">
            <v>36.614929199999999</v>
          </cell>
          <cell r="AD2085">
            <v>34.622070309999998</v>
          </cell>
        </row>
        <row r="2086">
          <cell r="L2086" t="str">
            <v>كوكران-السعديات</v>
          </cell>
          <cell r="M2086" t="str">
            <v>C2755</v>
          </cell>
          <cell r="AC2086">
            <v>36.669677729999997</v>
          </cell>
          <cell r="AD2086">
            <v>34.48529053</v>
          </cell>
        </row>
        <row r="2087">
          <cell r="L2087" t="str">
            <v>مودان</v>
          </cell>
          <cell r="M2087" t="str">
            <v>C2756</v>
          </cell>
          <cell r="AC2087">
            <v>36.523498539999999</v>
          </cell>
          <cell r="AD2087">
            <v>34.585510249999999</v>
          </cell>
        </row>
        <row r="2088">
          <cell r="L2088" t="str">
            <v>قادش-تل النبي مندو</v>
          </cell>
          <cell r="M2088" t="str">
            <v>C2757</v>
          </cell>
          <cell r="AC2088">
            <v>36.518493650000003</v>
          </cell>
          <cell r="AD2088">
            <v>34.553710940000002</v>
          </cell>
        </row>
        <row r="2089">
          <cell r="L2089" t="str">
            <v>الشبرونية</v>
          </cell>
          <cell r="M2089" t="str">
            <v>C2758</v>
          </cell>
          <cell r="AC2089">
            <v>36.159484859999999</v>
          </cell>
          <cell r="AD2089">
            <v>34.644103999999999</v>
          </cell>
        </row>
        <row r="2090">
          <cell r="L2090" t="str">
            <v>برج المكسور</v>
          </cell>
          <cell r="M2090" t="str">
            <v>C2759</v>
          </cell>
          <cell r="AC2090">
            <v>36.172302250000001</v>
          </cell>
          <cell r="AD2090">
            <v>34.698120119999999</v>
          </cell>
        </row>
        <row r="2091">
          <cell r="L2091" t="str">
            <v>شلوح</v>
          </cell>
          <cell r="M2091" t="str">
            <v>C2760</v>
          </cell>
          <cell r="AC2091">
            <v>36.224304199999999</v>
          </cell>
          <cell r="AD2091">
            <v>34.73669434</v>
          </cell>
        </row>
        <row r="2092">
          <cell r="L2092" t="str">
            <v>شميسة</v>
          </cell>
          <cell r="M2092" t="str">
            <v>C2761</v>
          </cell>
          <cell r="AC2092">
            <v>36.299316410000003</v>
          </cell>
          <cell r="AD2092">
            <v>34.729675290000003</v>
          </cell>
        </row>
        <row r="2093">
          <cell r="L2093" t="str">
            <v>تلكلخ</v>
          </cell>
          <cell r="M2093" t="str">
            <v>C2762</v>
          </cell>
          <cell r="AC2093">
            <v>36.258483890000001</v>
          </cell>
          <cell r="AD2093">
            <v>34.669494630000003</v>
          </cell>
        </row>
        <row r="2094">
          <cell r="L2094" t="str">
            <v>ادلين</v>
          </cell>
          <cell r="M2094" t="str">
            <v>C2763</v>
          </cell>
          <cell r="AC2094">
            <v>36.174316410000003</v>
          </cell>
          <cell r="AD2094">
            <v>34.6348877</v>
          </cell>
        </row>
        <row r="2095">
          <cell r="L2095" t="str">
            <v>البهلوانية</v>
          </cell>
          <cell r="M2095" t="str">
            <v>C2764</v>
          </cell>
          <cell r="AC2095">
            <v>36.264892580000001</v>
          </cell>
          <cell r="AD2095">
            <v>34.640686039999999</v>
          </cell>
        </row>
        <row r="2096">
          <cell r="L2096" t="str">
            <v>بيت قرين</v>
          </cell>
          <cell r="M2096" t="str">
            <v>C2765</v>
          </cell>
          <cell r="AC2096">
            <v>36.194519040000003</v>
          </cell>
          <cell r="AD2096">
            <v>34.670104979999998</v>
          </cell>
        </row>
        <row r="2097">
          <cell r="L2097" t="str">
            <v>تل حوش</v>
          </cell>
          <cell r="M2097" t="str">
            <v>C2766</v>
          </cell>
          <cell r="AC2097">
            <v>36.200683589999997</v>
          </cell>
          <cell r="AD2097">
            <v>34.749511720000001</v>
          </cell>
        </row>
        <row r="2098">
          <cell r="L2098" t="str">
            <v>الحالات</v>
          </cell>
          <cell r="M2098" t="str">
            <v>C2767</v>
          </cell>
          <cell r="AC2098">
            <v>36.225891109999999</v>
          </cell>
          <cell r="AD2098">
            <v>34.643676759999998</v>
          </cell>
        </row>
        <row r="2099">
          <cell r="L2099" t="str">
            <v>العامرية</v>
          </cell>
          <cell r="M2099" t="str">
            <v>C2768</v>
          </cell>
          <cell r="AC2099">
            <v>36.1505127</v>
          </cell>
          <cell r="AD2099">
            <v>34.658508300000001</v>
          </cell>
        </row>
        <row r="2100">
          <cell r="L2100" t="str">
            <v>الشبق-جبق</v>
          </cell>
          <cell r="M2100" t="str">
            <v>C2769</v>
          </cell>
          <cell r="AC2100">
            <v>36.218322749999999</v>
          </cell>
          <cell r="AD2100">
            <v>34.67211914</v>
          </cell>
        </row>
        <row r="2101">
          <cell r="L2101" t="str">
            <v>الشيخ علي</v>
          </cell>
          <cell r="M2101" t="str">
            <v>C2770</v>
          </cell>
          <cell r="AC2101">
            <v>36.11950684</v>
          </cell>
          <cell r="AD2101">
            <v>34.64868164</v>
          </cell>
        </row>
        <row r="2102">
          <cell r="L2102" t="str">
            <v>خربة الجباب</v>
          </cell>
          <cell r="M2102" t="str">
            <v>C2771</v>
          </cell>
          <cell r="AC2102">
            <v>36.269103999999999</v>
          </cell>
          <cell r="AD2102">
            <v>34.689697270000003</v>
          </cell>
        </row>
        <row r="2103">
          <cell r="L2103" t="str">
            <v>الزينبية</v>
          </cell>
          <cell r="M2103" t="str">
            <v>C2772</v>
          </cell>
          <cell r="AC2103">
            <v>36.15209961</v>
          </cell>
          <cell r="AD2103">
            <v>34.734313970000002</v>
          </cell>
        </row>
        <row r="2104">
          <cell r="L2104" t="str">
            <v>حصرجية</v>
          </cell>
          <cell r="M2104" t="str">
            <v>C2773</v>
          </cell>
          <cell r="AC2104">
            <v>36.255920410000002</v>
          </cell>
          <cell r="AD2104">
            <v>34.725891109999999</v>
          </cell>
        </row>
        <row r="2105">
          <cell r="L2105" t="str">
            <v>جعفريات</v>
          </cell>
          <cell r="M2105" t="str">
            <v>C2774</v>
          </cell>
          <cell r="AC2105">
            <v>36.145874020000001</v>
          </cell>
          <cell r="AD2105">
            <v>34.686279300000002</v>
          </cell>
        </row>
        <row r="2106">
          <cell r="L2106" t="str">
            <v>عين السودة</v>
          </cell>
          <cell r="M2106" t="str">
            <v>C2775</v>
          </cell>
          <cell r="AC2106">
            <v>36.201904300000002</v>
          </cell>
          <cell r="AD2106">
            <v>34.683898929999998</v>
          </cell>
        </row>
        <row r="2107">
          <cell r="L2107" t="str">
            <v>برج عرب</v>
          </cell>
          <cell r="M2107" t="str">
            <v>C2776</v>
          </cell>
          <cell r="AC2107">
            <v>36.166870119999999</v>
          </cell>
          <cell r="AD2107">
            <v>34.744079589999998</v>
          </cell>
        </row>
        <row r="2108">
          <cell r="L2108" t="str">
            <v>الزارة</v>
          </cell>
          <cell r="M2108" t="str">
            <v>C2777</v>
          </cell>
          <cell r="AC2108">
            <v>36.253112790000003</v>
          </cell>
          <cell r="AD2108">
            <v>34.71368408</v>
          </cell>
        </row>
        <row r="2109">
          <cell r="L2109" t="str">
            <v>باروحة</v>
          </cell>
          <cell r="M2109" t="str">
            <v>C2778</v>
          </cell>
          <cell r="AC2109">
            <v>36.28149414</v>
          </cell>
          <cell r="AD2109">
            <v>34.695495610000002</v>
          </cell>
        </row>
        <row r="2110">
          <cell r="L2110" t="str">
            <v>عزير</v>
          </cell>
          <cell r="M2110" t="str">
            <v>C2779</v>
          </cell>
          <cell r="AC2110">
            <v>36.216674810000001</v>
          </cell>
          <cell r="AD2110">
            <v>34.6427002</v>
          </cell>
        </row>
        <row r="2111">
          <cell r="L2111" t="str">
            <v>عين التينة الغربية</v>
          </cell>
          <cell r="M2111" t="str">
            <v>C2780</v>
          </cell>
          <cell r="AC2111">
            <v>36.223327640000001</v>
          </cell>
          <cell r="AD2111">
            <v>34.70288086</v>
          </cell>
        </row>
        <row r="2112">
          <cell r="L2112" t="str">
            <v>تل سارين</v>
          </cell>
          <cell r="M2112" t="str">
            <v>C2781</v>
          </cell>
          <cell r="AC2112">
            <v>36.224487310000001</v>
          </cell>
          <cell r="AD2112">
            <v>34.663879399999999</v>
          </cell>
        </row>
        <row r="2113">
          <cell r="L2113" t="str">
            <v>عين الشعرة</v>
          </cell>
          <cell r="M2113" t="str">
            <v>C2782</v>
          </cell>
          <cell r="AC2113">
            <v>36.20428467</v>
          </cell>
          <cell r="AD2113">
            <v>34.651672359999999</v>
          </cell>
        </row>
        <row r="2114">
          <cell r="L2114" t="str">
            <v>عريضة</v>
          </cell>
          <cell r="M2114" t="str">
            <v>C2783</v>
          </cell>
          <cell r="AC2114">
            <v>36.298278809999999</v>
          </cell>
          <cell r="AD2114">
            <v>34.668273929999998</v>
          </cell>
        </row>
        <row r="2115">
          <cell r="L2115" t="str">
            <v>سنديانة</v>
          </cell>
          <cell r="M2115" t="str">
            <v>C2784</v>
          </cell>
          <cell r="AC2115">
            <v>36.290710449999999</v>
          </cell>
          <cell r="AD2115">
            <v>34.705505369999997</v>
          </cell>
        </row>
        <row r="2116">
          <cell r="L2116" t="str">
            <v>الوريدات</v>
          </cell>
          <cell r="M2116" t="str">
            <v>C2785</v>
          </cell>
          <cell r="AC2116">
            <v>36.197875979999999</v>
          </cell>
          <cell r="AD2116">
            <v>34.691894529999999</v>
          </cell>
        </row>
        <row r="2117">
          <cell r="L2117" t="str">
            <v>عكاري</v>
          </cell>
          <cell r="M2117" t="str">
            <v>C2786</v>
          </cell>
          <cell r="AC2117">
            <v>36.175903320000003</v>
          </cell>
          <cell r="AD2117">
            <v>34.674316410000003</v>
          </cell>
        </row>
        <row r="2118">
          <cell r="L2118" t="str">
            <v>الرياف</v>
          </cell>
          <cell r="M2118" t="str">
            <v>C2787</v>
          </cell>
          <cell r="AC2118">
            <v>36.137512209999997</v>
          </cell>
          <cell r="AD2118">
            <v>34.680908199999998</v>
          </cell>
        </row>
        <row r="2119">
          <cell r="L2119" t="str">
            <v>سميكة</v>
          </cell>
          <cell r="M2119" t="str">
            <v>C2788</v>
          </cell>
          <cell r="AC2119">
            <v>36.163879399999999</v>
          </cell>
          <cell r="AD2119">
            <v>34.667114259999998</v>
          </cell>
        </row>
        <row r="2120">
          <cell r="L2120" t="str">
            <v>الحجر الأبيض</v>
          </cell>
          <cell r="M2120" t="str">
            <v>C2789</v>
          </cell>
          <cell r="AC2120">
            <v>36.234313970000002</v>
          </cell>
          <cell r="AD2120">
            <v>34.689270020000002</v>
          </cell>
        </row>
        <row r="2121">
          <cell r="L2121" t="str">
            <v>أبو المشاعيب</v>
          </cell>
          <cell r="M2121" t="str">
            <v>C2790</v>
          </cell>
          <cell r="AC2121">
            <v>36.18267822</v>
          </cell>
          <cell r="AD2121">
            <v>34.6505127</v>
          </cell>
        </row>
        <row r="2122">
          <cell r="L2122" t="str">
            <v>مصيدة</v>
          </cell>
          <cell r="M2122" t="str">
            <v>C2791</v>
          </cell>
          <cell r="AC2122">
            <v>36.195678710000003</v>
          </cell>
          <cell r="AD2122">
            <v>34.700317380000001</v>
          </cell>
        </row>
        <row r="2123">
          <cell r="L2123" t="str">
            <v>قميرة</v>
          </cell>
          <cell r="M2123" t="str">
            <v>C2792</v>
          </cell>
          <cell r="AC2123">
            <v>36.27709961</v>
          </cell>
          <cell r="AD2123">
            <v>34.722473149999999</v>
          </cell>
        </row>
        <row r="2124">
          <cell r="L2124" t="str">
            <v>معربو_الدبوسية</v>
          </cell>
          <cell r="M2124" t="str">
            <v>C2793</v>
          </cell>
          <cell r="AC2124">
            <v>36.118286130000001</v>
          </cell>
          <cell r="AD2124">
            <v>34.641113279999999</v>
          </cell>
        </row>
        <row r="2125">
          <cell r="L2125" t="str">
            <v>قنوتة</v>
          </cell>
          <cell r="M2125" t="str">
            <v>C2794</v>
          </cell>
          <cell r="AC2125">
            <v>36.279296879999997</v>
          </cell>
          <cell r="AD2125">
            <v>34.675292970000001</v>
          </cell>
        </row>
        <row r="2126">
          <cell r="L2126" t="str">
            <v>كفريش</v>
          </cell>
          <cell r="M2126" t="str">
            <v>C2795</v>
          </cell>
          <cell r="AC2126">
            <v>36.223083500000001</v>
          </cell>
          <cell r="AD2126">
            <v>34.714904789999999</v>
          </cell>
        </row>
        <row r="2127">
          <cell r="L2127" t="str">
            <v>نعرة</v>
          </cell>
          <cell r="M2127" t="str">
            <v>C2796</v>
          </cell>
          <cell r="AC2127">
            <v>36.211486819999998</v>
          </cell>
          <cell r="AD2127">
            <v>34.717102050000001</v>
          </cell>
        </row>
        <row r="2128">
          <cell r="L2128" t="str">
            <v>قريات</v>
          </cell>
          <cell r="M2128" t="str">
            <v>C2797</v>
          </cell>
          <cell r="AC2128">
            <v>36.251708979999997</v>
          </cell>
          <cell r="AD2128">
            <v>34.640502929999997</v>
          </cell>
        </row>
        <row r="2129">
          <cell r="L2129" t="str">
            <v>أم جامع</v>
          </cell>
          <cell r="M2129" t="str">
            <v>C2798</v>
          </cell>
          <cell r="AC2129">
            <v>36.366088869999999</v>
          </cell>
          <cell r="AD2129">
            <v>34.692871089999997</v>
          </cell>
        </row>
        <row r="2130">
          <cell r="L2130" t="str">
            <v>الناعورة</v>
          </cell>
          <cell r="M2130" t="str">
            <v>C2799</v>
          </cell>
          <cell r="AC2130">
            <v>36.357482910000002</v>
          </cell>
          <cell r="AD2130">
            <v>34.680725099999997</v>
          </cell>
        </row>
        <row r="2131">
          <cell r="L2131" t="str">
            <v>خربة المنقلة</v>
          </cell>
          <cell r="M2131" t="str">
            <v>C2800</v>
          </cell>
          <cell r="AC2131">
            <v>36.37268066</v>
          </cell>
          <cell r="AD2131">
            <v>34.73071289</v>
          </cell>
        </row>
        <row r="2132">
          <cell r="L2132" t="str">
            <v>أم الميس</v>
          </cell>
          <cell r="M2132" t="str">
            <v>C2801</v>
          </cell>
          <cell r="AC2132">
            <v>36.433471679999997</v>
          </cell>
          <cell r="AD2132">
            <v>34.648071289999997</v>
          </cell>
        </row>
        <row r="2133">
          <cell r="L2133" t="str">
            <v>دردارية</v>
          </cell>
          <cell r="M2133" t="str">
            <v>C2802</v>
          </cell>
          <cell r="AC2133">
            <v>36.408081060000001</v>
          </cell>
          <cell r="AD2133">
            <v>34.68591309</v>
          </cell>
        </row>
        <row r="2134">
          <cell r="L2134" t="str">
            <v>الحارتين</v>
          </cell>
          <cell r="M2134" t="str">
            <v>C2803</v>
          </cell>
          <cell r="AC2134">
            <v>36.37268066</v>
          </cell>
          <cell r="AD2134">
            <v>34.708496089999997</v>
          </cell>
        </row>
        <row r="2135">
          <cell r="L2135" t="str">
            <v>روضة الوعر-الزنابيل</v>
          </cell>
          <cell r="M2135" t="str">
            <v>C2804</v>
          </cell>
          <cell r="AC2135">
            <v>36.420104979999998</v>
          </cell>
          <cell r="AD2135">
            <v>34.71069336</v>
          </cell>
        </row>
        <row r="2136">
          <cell r="L2136" t="str">
            <v>خنساء-قزلاخر</v>
          </cell>
          <cell r="M2136" t="str">
            <v>C2805</v>
          </cell>
          <cell r="AC2136">
            <v>36.445495610000002</v>
          </cell>
          <cell r="AD2136">
            <v>34.681701660000002</v>
          </cell>
        </row>
        <row r="2137">
          <cell r="L2137" t="str">
            <v>ريحانية</v>
          </cell>
          <cell r="M2137" t="str">
            <v>C2806</v>
          </cell>
          <cell r="AC2137">
            <v>36.406311039999999</v>
          </cell>
          <cell r="AD2137">
            <v>34.720886229999998</v>
          </cell>
        </row>
        <row r="2138">
          <cell r="L2138" t="str">
            <v>عين التينة الشرقية</v>
          </cell>
          <cell r="M2138" t="str">
            <v>C2807</v>
          </cell>
          <cell r="AC2138">
            <v>36.38970947</v>
          </cell>
          <cell r="AD2138">
            <v>34.677673339999998</v>
          </cell>
        </row>
        <row r="2139">
          <cell r="L2139" t="str">
            <v>رجبلية</v>
          </cell>
          <cell r="M2139" t="str">
            <v>C2808</v>
          </cell>
          <cell r="AC2139">
            <v>36.375671390000001</v>
          </cell>
          <cell r="AD2139">
            <v>34.74609375</v>
          </cell>
        </row>
        <row r="2140">
          <cell r="L2140" t="str">
            <v>الرابية-قز الخاص</v>
          </cell>
          <cell r="M2140" t="str">
            <v>C2809</v>
          </cell>
          <cell r="AC2140">
            <v>36.391723630000001</v>
          </cell>
          <cell r="AD2140">
            <v>34.690307619999999</v>
          </cell>
        </row>
        <row r="2141">
          <cell r="L2141" t="str">
            <v>بعيون</v>
          </cell>
          <cell r="M2141" t="str">
            <v>C2810</v>
          </cell>
          <cell r="AC2141">
            <v>36.38647461</v>
          </cell>
          <cell r="AD2141">
            <v>34.65649414</v>
          </cell>
        </row>
        <row r="2142">
          <cell r="L2142" t="str">
            <v>بزناية</v>
          </cell>
          <cell r="M2142" t="str">
            <v>C2811</v>
          </cell>
          <cell r="AC2142">
            <v>36.426879880000001</v>
          </cell>
          <cell r="AD2142">
            <v>34.640075680000002</v>
          </cell>
        </row>
        <row r="2143">
          <cell r="L2143" t="str">
            <v>حديدة</v>
          </cell>
          <cell r="M2143" t="str">
            <v>C2812</v>
          </cell>
          <cell r="AC2143">
            <v>36.39868164</v>
          </cell>
          <cell r="AD2143">
            <v>34.674682619999999</v>
          </cell>
        </row>
        <row r="2144">
          <cell r="L2144" t="str">
            <v>الصوانة</v>
          </cell>
          <cell r="M2144" t="str">
            <v>C2813</v>
          </cell>
          <cell r="AC2144">
            <v>36.37731934</v>
          </cell>
          <cell r="AD2144">
            <v>34.66888428</v>
          </cell>
        </row>
        <row r="2145">
          <cell r="L2145" t="str">
            <v>البارودية</v>
          </cell>
          <cell r="M2145" t="str">
            <v>C2814</v>
          </cell>
          <cell r="AC2145">
            <v>36.424316410000003</v>
          </cell>
          <cell r="AD2145">
            <v>34.73071289</v>
          </cell>
        </row>
        <row r="2146">
          <cell r="L2146" t="str">
            <v>أم الدوالي</v>
          </cell>
          <cell r="M2146" t="str">
            <v>C2815</v>
          </cell>
          <cell r="AC2146">
            <v>36.427673339999998</v>
          </cell>
          <cell r="AD2146">
            <v>34.66131592</v>
          </cell>
        </row>
        <row r="2147">
          <cell r="L2147" t="str">
            <v>تل الصفا-تل جردون</v>
          </cell>
          <cell r="M2147" t="str">
            <v>C2816</v>
          </cell>
          <cell r="AC2147">
            <v>36.393310550000002</v>
          </cell>
          <cell r="AD2147">
            <v>34.723876949999998</v>
          </cell>
        </row>
        <row r="2148">
          <cell r="L2148" t="str">
            <v>مراسية</v>
          </cell>
          <cell r="M2148" t="str">
            <v>C2817</v>
          </cell>
          <cell r="AC2148">
            <v>36.396484379999997</v>
          </cell>
          <cell r="AD2148">
            <v>34.65209961</v>
          </cell>
        </row>
        <row r="2149">
          <cell r="L2149" t="str">
            <v>مشيرفة الشرقية</v>
          </cell>
          <cell r="M2149" t="str">
            <v>C2818</v>
          </cell>
          <cell r="AC2149">
            <v>36.361083979999997</v>
          </cell>
          <cell r="AD2149">
            <v>34.657470699999998</v>
          </cell>
        </row>
        <row r="2150">
          <cell r="L2150" t="str">
            <v>لويبدة</v>
          </cell>
          <cell r="M2150" t="str">
            <v>C2819</v>
          </cell>
          <cell r="AC2150">
            <v>36.444274900000003</v>
          </cell>
          <cell r="AD2150">
            <v>34.6875</v>
          </cell>
        </row>
        <row r="2151">
          <cell r="L2151" t="str">
            <v>ناعسية</v>
          </cell>
          <cell r="M2151" t="str">
            <v>C2820</v>
          </cell>
          <cell r="AC2151">
            <v>36.362304690000002</v>
          </cell>
          <cell r="AD2151">
            <v>34.68267822</v>
          </cell>
        </row>
        <row r="2152">
          <cell r="L2152" t="str">
            <v>حارة محفوض</v>
          </cell>
          <cell r="M2152" t="str">
            <v>C2821</v>
          </cell>
          <cell r="AC2152">
            <v>36.33868408</v>
          </cell>
          <cell r="AD2152">
            <v>34.811706540000003</v>
          </cell>
        </row>
        <row r="2153">
          <cell r="L2153" t="str">
            <v>بحزينا</v>
          </cell>
          <cell r="M2153" t="str">
            <v>C2822</v>
          </cell>
          <cell r="AC2153">
            <v>36.20727539</v>
          </cell>
          <cell r="AD2153">
            <v>34.748474119999997</v>
          </cell>
        </row>
        <row r="2154">
          <cell r="L2154" t="str">
            <v>جوار العفص</v>
          </cell>
          <cell r="M2154" t="str">
            <v>C2823</v>
          </cell>
          <cell r="AC2154">
            <v>36.241882320000002</v>
          </cell>
          <cell r="AD2154">
            <v>34.777282720000002</v>
          </cell>
        </row>
        <row r="2155">
          <cell r="L2155" t="str">
            <v>المشتاية</v>
          </cell>
          <cell r="M2155" t="str">
            <v>C2824</v>
          </cell>
          <cell r="AC2155">
            <v>36.27368164</v>
          </cell>
          <cell r="AD2155">
            <v>34.77111816</v>
          </cell>
        </row>
        <row r="2156">
          <cell r="L2156" t="str">
            <v>جنكمرة</v>
          </cell>
          <cell r="M2156" t="str">
            <v>C2825</v>
          </cell>
          <cell r="AC2156">
            <v>36.317077640000001</v>
          </cell>
          <cell r="AD2156">
            <v>34.836486819999998</v>
          </cell>
        </row>
        <row r="2157">
          <cell r="L2157" t="str">
            <v>تنورين</v>
          </cell>
          <cell r="M2157" t="str">
            <v>C2826</v>
          </cell>
          <cell r="AC2157">
            <v>36.226501470000002</v>
          </cell>
          <cell r="AD2157">
            <v>34.780273440000002</v>
          </cell>
        </row>
        <row r="2158">
          <cell r="L2158" t="str">
            <v>حبنمرة</v>
          </cell>
          <cell r="M2158" t="str">
            <v>C2827</v>
          </cell>
          <cell r="AC2158">
            <v>36.253723149999999</v>
          </cell>
          <cell r="AD2158">
            <v>34.797302250000001</v>
          </cell>
        </row>
        <row r="2159">
          <cell r="L2159" t="str">
            <v>الناصرة</v>
          </cell>
          <cell r="M2159" t="str">
            <v>C2828</v>
          </cell>
          <cell r="AC2159">
            <v>36.285278320000003</v>
          </cell>
          <cell r="AD2159">
            <v>34.78631592</v>
          </cell>
        </row>
        <row r="2160">
          <cell r="L2160" t="str">
            <v>بيدر رفيع</v>
          </cell>
          <cell r="M2160" t="str">
            <v>C2829</v>
          </cell>
          <cell r="AC2160">
            <v>36.312683110000002</v>
          </cell>
          <cell r="AD2160">
            <v>34.856689449999998</v>
          </cell>
        </row>
        <row r="2161">
          <cell r="L2161" t="str">
            <v>عمار</v>
          </cell>
          <cell r="M2161" t="str">
            <v>C2830</v>
          </cell>
          <cell r="AC2161">
            <v>36.264282229999999</v>
          </cell>
          <cell r="AD2161">
            <v>34.754882809999998</v>
          </cell>
        </row>
        <row r="2162">
          <cell r="L2162" t="str">
            <v>دغلة</v>
          </cell>
          <cell r="M2162" t="str">
            <v>C2831</v>
          </cell>
          <cell r="AC2162">
            <v>36.30627441</v>
          </cell>
          <cell r="AD2162">
            <v>34.805114750000001</v>
          </cell>
        </row>
        <row r="2163">
          <cell r="L2163" t="str">
            <v>زويتينة</v>
          </cell>
          <cell r="M2163" t="str">
            <v>C2832</v>
          </cell>
          <cell r="AC2163">
            <v>36.248718259999997</v>
          </cell>
          <cell r="AD2163">
            <v>34.768676759999998</v>
          </cell>
        </row>
        <row r="2164">
          <cell r="L2164" t="str">
            <v>عين الراهب</v>
          </cell>
          <cell r="M2164" t="str">
            <v>C2833</v>
          </cell>
          <cell r="AC2164">
            <v>36.244323729999998</v>
          </cell>
          <cell r="AD2164">
            <v>34.77227783</v>
          </cell>
        </row>
        <row r="2165">
          <cell r="L2165" t="str">
            <v>عين الباردة</v>
          </cell>
          <cell r="M2165" t="str">
            <v>C2834</v>
          </cell>
          <cell r="AC2165">
            <v>36.267272949999999</v>
          </cell>
          <cell r="AD2165">
            <v>34.795898440000002</v>
          </cell>
        </row>
        <row r="2166">
          <cell r="L2166" t="str">
            <v>كيمة</v>
          </cell>
          <cell r="M2166" t="str">
            <v>C2835</v>
          </cell>
          <cell r="AC2166">
            <v>36.31872559</v>
          </cell>
          <cell r="AD2166">
            <v>34.820678710000003</v>
          </cell>
        </row>
        <row r="2167">
          <cell r="L2167" t="str">
            <v>مشتى عازار</v>
          </cell>
          <cell r="M2167" t="str">
            <v>C2836</v>
          </cell>
          <cell r="AC2167">
            <v>36.208129880000001</v>
          </cell>
          <cell r="AD2167">
            <v>34.771728520000003</v>
          </cell>
        </row>
        <row r="2168">
          <cell r="L2168" t="str">
            <v>قرب علي</v>
          </cell>
          <cell r="M2168" t="str">
            <v>C2837</v>
          </cell>
          <cell r="AC2168">
            <v>36.297729490000002</v>
          </cell>
          <cell r="AD2168">
            <v>34.824707029999999</v>
          </cell>
        </row>
        <row r="2169">
          <cell r="L2169" t="str">
            <v>مرمريتا</v>
          </cell>
          <cell r="M2169" t="str">
            <v>C2838</v>
          </cell>
          <cell r="AC2169">
            <v>36.2598877</v>
          </cell>
          <cell r="AD2169">
            <v>34.781677250000001</v>
          </cell>
        </row>
        <row r="2170">
          <cell r="L2170" t="str">
            <v>قلاطية</v>
          </cell>
          <cell r="M2170" t="str">
            <v>C2839</v>
          </cell>
          <cell r="AC2170">
            <v>36.314270020000002</v>
          </cell>
          <cell r="AD2170">
            <v>34.793701169999999</v>
          </cell>
        </row>
        <row r="2171">
          <cell r="L2171" t="str">
            <v>كفرة</v>
          </cell>
          <cell r="M2171" t="str">
            <v>C2840</v>
          </cell>
          <cell r="AC2171">
            <v>36.273925779999999</v>
          </cell>
          <cell r="AD2171">
            <v>34.779296879999997</v>
          </cell>
        </row>
        <row r="2172">
          <cell r="L2172" t="str">
            <v>الحصن</v>
          </cell>
          <cell r="M2172" t="str">
            <v>C2841</v>
          </cell>
          <cell r="AC2172">
            <v>36.300720220000002</v>
          </cell>
          <cell r="AD2172">
            <v>34.760498050000002</v>
          </cell>
        </row>
        <row r="2173">
          <cell r="L2173" t="str">
            <v>الحواش</v>
          </cell>
          <cell r="M2173" t="str">
            <v>C2842</v>
          </cell>
          <cell r="AC2173">
            <v>36.321105959999997</v>
          </cell>
          <cell r="AD2173">
            <v>34.764099119999997</v>
          </cell>
        </row>
        <row r="2174">
          <cell r="L2174" t="str">
            <v>عش الشوحة</v>
          </cell>
          <cell r="M2174" t="str">
            <v>C2843</v>
          </cell>
          <cell r="AC2174">
            <v>36.333923339999998</v>
          </cell>
          <cell r="AD2174">
            <v>34.837890629999997</v>
          </cell>
        </row>
        <row r="2175">
          <cell r="L2175" t="str">
            <v>عين الغارة</v>
          </cell>
          <cell r="M2175" t="str">
            <v>C2844</v>
          </cell>
          <cell r="AC2175">
            <v>36.368530270000001</v>
          </cell>
          <cell r="AD2175">
            <v>34.785705569999998</v>
          </cell>
        </row>
        <row r="2176">
          <cell r="L2176" t="str">
            <v>بصومع</v>
          </cell>
          <cell r="M2176" t="str">
            <v>C2845</v>
          </cell>
          <cell r="AC2176">
            <v>36.306884770000003</v>
          </cell>
          <cell r="AD2176">
            <v>34.786682130000003</v>
          </cell>
        </row>
        <row r="2177">
          <cell r="L2177" t="str">
            <v>دوير اللين</v>
          </cell>
          <cell r="M2177" t="str">
            <v>C2846</v>
          </cell>
          <cell r="AC2177">
            <v>36.33569336</v>
          </cell>
          <cell r="AD2177">
            <v>34.820129399999999</v>
          </cell>
        </row>
        <row r="2178">
          <cell r="L2178" t="str">
            <v>عناز</v>
          </cell>
          <cell r="M2178" t="str">
            <v>C2847</v>
          </cell>
          <cell r="AC2178">
            <v>36.315917970000001</v>
          </cell>
          <cell r="AD2178">
            <v>34.744079589999998</v>
          </cell>
        </row>
        <row r="2179">
          <cell r="L2179" t="str">
            <v>شواهد</v>
          </cell>
          <cell r="M2179" t="str">
            <v>C2848</v>
          </cell>
          <cell r="AC2179">
            <v>36.274719240000003</v>
          </cell>
          <cell r="AD2179">
            <v>34.738891600000002</v>
          </cell>
        </row>
        <row r="2180">
          <cell r="L2180" t="str">
            <v>عيناتا</v>
          </cell>
          <cell r="M2180" t="str">
            <v>C2849</v>
          </cell>
          <cell r="AC2180">
            <v>36.354675290000003</v>
          </cell>
          <cell r="AD2180">
            <v>34.76928711</v>
          </cell>
        </row>
        <row r="2181">
          <cell r="L2181" t="str">
            <v>بساس</v>
          </cell>
          <cell r="M2181" t="str">
            <v>C2850</v>
          </cell>
          <cell r="AC2181">
            <v>36.300903320000003</v>
          </cell>
          <cell r="AD2181">
            <v>34.748474119999997</v>
          </cell>
        </row>
        <row r="2182">
          <cell r="L2182" t="str">
            <v>تلة</v>
          </cell>
          <cell r="M2182" t="str">
            <v>C2851</v>
          </cell>
          <cell r="AC2182">
            <v>36.31408691</v>
          </cell>
          <cell r="AD2182">
            <v>34.778686520000001</v>
          </cell>
        </row>
        <row r="2183">
          <cell r="L2183" t="str">
            <v>بلاط</v>
          </cell>
          <cell r="M2183" t="str">
            <v>C2852</v>
          </cell>
          <cell r="AC2183">
            <v>36.350708009999998</v>
          </cell>
          <cell r="AD2183">
            <v>34.792114259999998</v>
          </cell>
        </row>
        <row r="2184">
          <cell r="L2184" t="str">
            <v>جوانيات</v>
          </cell>
          <cell r="M2184" t="str">
            <v>C2853</v>
          </cell>
          <cell r="AC2184">
            <v>36.343322749999999</v>
          </cell>
          <cell r="AD2184">
            <v>34.798278809999999</v>
          </cell>
        </row>
        <row r="2185">
          <cell r="L2185" t="str">
            <v>مقلس</v>
          </cell>
          <cell r="M2185" t="str">
            <v>C2854</v>
          </cell>
          <cell r="AC2185">
            <v>36.347473149999999</v>
          </cell>
          <cell r="AD2185">
            <v>34.830322270000003</v>
          </cell>
        </row>
        <row r="2186">
          <cell r="L2186" t="str">
            <v>مزينة</v>
          </cell>
          <cell r="M2186" t="str">
            <v>C2855</v>
          </cell>
          <cell r="AC2186">
            <v>36.339904789999999</v>
          </cell>
          <cell r="AD2186">
            <v>34.770080569999998</v>
          </cell>
        </row>
        <row r="2187">
          <cell r="L2187" t="str">
            <v>مقعبرة</v>
          </cell>
          <cell r="M2187" t="str">
            <v>C2856</v>
          </cell>
          <cell r="AC2187">
            <v>36.330688479999999</v>
          </cell>
          <cell r="AD2187">
            <v>34.810729979999998</v>
          </cell>
        </row>
        <row r="2188">
          <cell r="L2188" t="str">
            <v>مزرعة</v>
          </cell>
          <cell r="M2188" t="str">
            <v>C2857</v>
          </cell>
          <cell r="AC2188">
            <v>36.350708009999998</v>
          </cell>
          <cell r="AD2188">
            <v>34.8203125</v>
          </cell>
        </row>
        <row r="2189">
          <cell r="L2189" t="str">
            <v>قلع السقا-عين الملا</v>
          </cell>
          <cell r="M2189" t="str">
            <v>C2858</v>
          </cell>
          <cell r="AC2189">
            <v>36.358093259999997</v>
          </cell>
          <cell r="AD2189">
            <v>34.76287842</v>
          </cell>
        </row>
        <row r="2190">
          <cell r="L2190" t="str">
            <v>زميمير</v>
          </cell>
          <cell r="M2190" t="str">
            <v>C2859</v>
          </cell>
          <cell r="AC2190">
            <v>36.694091800000002</v>
          </cell>
          <cell r="AD2190">
            <v>34.904296879999997</v>
          </cell>
        </row>
        <row r="2191">
          <cell r="L2191" t="str">
            <v>عز الدين</v>
          </cell>
          <cell r="M2191" t="str">
            <v>C2860</v>
          </cell>
          <cell r="AC2191">
            <v>36.917297359999999</v>
          </cell>
          <cell r="AD2191">
            <v>34.947875979999999</v>
          </cell>
        </row>
        <row r="2192">
          <cell r="L2192" t="str">
            <v>البلان</v>
          </cell>
          <cell r="M2192" t="str">
            <v>C2861</v>
          </cell>
          <cell r="AC2192">
            <v>36.762084960000003</v>
          </cell>
          <cell r="AD2192">
            <v>34.921691899999999</v>
          </cell>
        </row>
        <row r="2193">
          <cell r="L2193" t="str">
            <v>الوازعية</v>
          </cell>
          <cell r="M2193" t="str">
            <v>C2862</v>
          </cell>
          <cell r="AC2193">
            <v>36.888122559999999</v>
          </cell>
          <cell r="AD2193">
            <v>34.948913570000002</v>
          </cell>
        </row>
        <row r="2194">
          <cell r="L2194" t="str">
            <v>عسيلة</v>
          </cell>
          <cell r="M2194" t="str">
            <v>C2863</v>
          </cell>
          <cell r="AC2194">
            <v>36.84790039</v>
          </cell>
          <cell r="AD2194">
            <v>34.957702640000001</v>
          </cell>
        </row>
        <row r="2195">
          <cell r="L2195" t="str">
            <v>المنارة</v>
          </cell>
          <cell r="M2195" t="str">
            <v>C2864</v>
          </cell>
          <cell r="AC2195">
            <v>36.705322270000003</v>
          </cell>
          <cell r="AD2195">
            <v>34.89868164</v>
          </cell>
        </row>
        <row r="2196">
          <cell r="L2196" t="str">
            <v>سليم</v>
          </cell>
          <cell r="M2196" t="str">
            <v>C2865</v>
          </cell>
          <cell r="AC2196">
            <v>36.944885249999999</v>
          </cell>
          <cell r="AD2196">
            <v>34.919677729999997</v>
          </cell>
        </row>
        <row r="2197">
          <cell r="L2197" t="str">
            <v>أبو همامة</v>
          </cell>
          <cell r="M2197" t="str">
            <v>C2866</v>
          </cell>
          <cell r="AC2197">
            <v>36.878112790000003</v>
          </cell>
          <cell r="AD2197">
            <v>34.953491210000003</v>
          </cell>
        </row>
        <row r="2198">
          <cell r="L2198" t="str">
            <v>الغاصبية</v>
          </cell>
          <cell r="M2198" t="str">
            <v>C2867</v>
          </cell>
          <cell r="AC2198">
            <v>36.9005127</v>
          </cell>
          <cell r="AD2198">
            <v>34.956298830000001</v>
          </cell>
        </row>
        <row r="2199">
          <cell r="L2199" t="str">
            <v>غرناطة</v>
          </cell>
          <cell r="M2199" t="str">
            <v>C2868</v>
          </cell>
          <cell r="AC2199">
            <v>36.681091309999999</v>
          </cell>
          <cell r="AD2199">
            <v>34.897888180000002</v>
          </cell>
        </row>
        <row r="2200">
          <cell r="L2200" t="str">
            <v>الحميس</v>
          </cell>
          <cell r="M2200" t="str">
            <v>C2869</v>
          </cell>
          <cell r="AC2200">
            <v>36.928283690000001</v>
          </cell>
          <cell r="AD2200">
            <v>34.908874509999997</v>
          </cell>
        </row>
        <row r="2201">
          <cell r="L2201" t="str">
            <v>الرستن</v>
          </cell>
          <cell r="M2201" t="str">
            <v>C2870</v>
          </cell>
          <cell r="AC2201">
            <v>36.731323240000002</v>
          </cell>
          <cell r="AD2201">
            <v>34.924072270000003</v>
          </cell>
        </row>
        <row r="2202">
          <cell r="L2202" t="str">
            <v>دلفين</v>
          </cell>
          <cell r="M2202" t="str">
            <v>C2871</v>
          </cell>
          <cell r="AC2202">
            <v>36.893676759999998</v>
          </cell>
          <cell r="AD2202">
            <v>34.968872070000003</v>
          </cell>
        </row>
        <row r="2203">
          <cell r="L2203" t="str">
            <v>القنيطرات</v>
          </cell>
          <cell r="M2203" t="str">
            <v>C2872</v>
          </cell>
          <cell r="AC2203">
            <v>36.945495610000002</v>
          </cell>
          <cell r="AD2203">
            <v>34.937683110000002</v>
          </cell>
        </row>
        <row r="2204">
          <cell r="L2204" t="str">
            <v>تسنين</v>
          </cell>
          <cell r="M2204" t="str">
            <v>C2873</v>
          </cell>
          <cell r="AC2204">
            <v>36.653076169999999</v>
          </cell>
          <cell r="AD2204">
            <v>34.870117190000002</v>
          </cell>
        </row>
        <row r="2205">
          <cell r="L2205" t="str">
            <v>مرج الدر</v>
          </cell>
          <cell r="M2205" t="str">
            <v>C2874</v>
          </cell>
          <cell r="AC2205">
            <v>36.772094729999999</v>
          </cell>
          <cell r="AD2205">
            <v>34.946105959999997</v>
          </cell>
        </row>
        <row r="2206">
          <cell r="L2206" t="str">
            <v>كفرنان</v>
          </cell>
          <cell r="M2206" t="str">
            <v>C2875</v>
          </cell>
          <cell r="AC2206">
            <v>36.648315429999997</v>
          </cell>
          <cell r="AD2206">
            <v>34.885498050000002</v>
          </cell>
        </row>
        <row r="2207">
          <cell r="L2207" t="str">
            <v>كيسين</v>
          </cell>
          <cell r="M2207" t="str">
            <v>C2876</v>
          </cell>
          <cell r="AC2207">
            <v>36.621887209999997</v>
          </cell>
          <cell r="AD2207">
            <v>34.901123050000002</v>
          </cell>
        </row>
        <row r="2208">
          <cell r="L2208" t="str">
            <v>الهاشمية</v>
          </cell>
          <cell r="M2208" t="str">
            <v>C2877</v>
          </cell>
          <cell r="AC2208">
            <v>36.790100099999997</v>
          </cell>
          <cell r="AD2208">
            <v>34.870483399999998</v>
          </cell>
        </row>
        <row r="2209">
          <cell r="L2209" t="str">
            <v>دير فول</v>
          </cell>
          <cell r="M2209" t="str">
            <v>C2878</v>
          </cell>
          <cell r="AC2209">
            <v>36.84008789</v>
          </cell>
          <cell r="AD2209">
            <v>34.923889160000002</v>
          </cell>
        </row>
        <row r="2210">
          <cell r="L2210" t="str">
            <v>المكرمية</v>
          </cell>
          <cell r="M2210" t="str">
            <v>C2879</v>
          </cell>
          <cell r="AC2210">
            <v>36.779724119999997</v>
          </cell>
          <cell r="AD2210">
            <v>34.870117190000002</v>
          </cell>
        </row>
        <row r="2211">
          <cell r="L2211" t="str">
            <v>جبورين</v>
          </cell>
          <cell r="M2211" t="str">
            <v>C2880</v>
          </cell>
          <cell r="AC2211">
            <v>36.671508789999997</v>
          </cell>
          <cell r="AD2211">
            <v>34.846923830000001</v>
          </cell>
        </row>
        <row r="2212">
          <cell r="L2212" t="str">
            <v>سعن الاسود</v>
          </cell>
          <cell r="M2212" t="str">
            <v>C2881</v>
          </cell>
          <cell r="AC2212">
            <v>36.812072749999999</v>
          </cell>
          <cell r="AD2212">
            <v>34.861877440000001</v>
          </cell>
        </row>
        <row r="2213">
          <cell r="L2213" t="str">
            <v>تلبيسة</v>
          </cell>
          <cell r="M2213" t="str">
            <v>C2882</v>
          </cell>
          <cell r="AC2213">
            <v>36.726684570000003</v>
          </cell>
          <cell r="AD2213">
            <v>34.842712400000003</v>
          </cell>
        </row>
        <row r="2214">
          <cell r="L2214" t="str">
            <v>أم شرشوح</v>
          </cell>
          <cell r="M2214" t="str">
            <v>C2883</v>
          </cell>
          <cell r="AC2214">
            <v>36.691284179999997</v>
          </cell>
          <cell r="AD2214">
            <v>34.875122070000003</v>
          </cell>
        </row>
        <row r="2215">
          <cell r="L2215" t="str">
            <v>القنية</v>
          </cell>
          <cell r="M2215" t="str">
            <v>C2884</v>
          </cell>
          <cell r="AC2215">
            <v>36.659118650000003</v>
          </cell>
          <cell r="AD2215">
            <v>34.848693849999997</v>
          </cell>
        </row>
        <row r="2216">
          <cell r="L2216" t="str">
            <v>الغنطو</v>
          </cell>
          <cell r="M2216" t="str">
            <v>C2885</v>
          </cell>
          <cell r="AC2216">
            <v>36.696716309999999</v>
          </cell>
          <cell r="AD2216">
            <v>34.822082520000002</v>
          </cell>
        </row>
        <row r="2217">
          <cell r="L2217" t="str">
            <v>الشبعانية</v>
          </cell>
          <cell r="M2217" t="str">
            <v>C2886</v>
          </cell>
          <cell r="AC2217">
            <v>36.694885249999999</v>
          </cell>
          <cell r="AD2217">
            <v>34.89868164</v>
          </cell>
        </row>
        <row r="2218">
          <cell r="L2218" t="str">
            <v>الفرحانية</v>
          </cell>
          <cell r="M2218" t="str">
            <v>C2887</v>
          </cell>
          <cell r="AC2218">
            <v>36.753112790000003</v>
          </cell>
          <cell r="AD2218">
            <v>34.877685550000002</v>
          </cell>
        </row>
        <row r="2219">
          <cell r="L2219" t="str">
            <v>الزعفرانية</v>
          </cell>
          <cell r="M2219" t="str">
            <v>C2888</v>
          </cell>
          <cell r="AC2219">
            <v>36.779479979999998</v>
          </cell>
          <cell r="AD2219">
            <v>34.891479490000002</v>
          </cell>
        </row>
        <row r="2220">
          <cell r="L2220" t="str">
            <v>تدمر</v>
          </cell>
          <cell r="M2220" t="str">
            <v>C2889</v>
          </cell>
          <cell r="AC2220">
            <v>38.287719729999999</v>
          </cell>
          <cell r="AD2220">
            <v>34.565673830000001</v>
          </cell>
        </row>
        <row r="2221">
          <cell r="L2221" t="str">
            <v>آراك</v>
          </cell>
          <cell r="M2221" t="str">
            <v>C2890</v>
          </cell>
          <cell r="AC2221">
            <v>38.569274900000003</v>
          </cell>
          <cell r="AD2221">
            <v>34.640075680000002</v>
          </cell>
        </row>
        <row r="2222">
          <cell r="L2222" t="str">
            <v>العليانية</v>
          </cell>
          <cell r="M2222" t="str">
            <v>C2891</v>
          </cell>
          <cell r="AC2222">
            <v>38.096679690000002</v>
          </cell>
          <cell r="AD2222">
            <v>34.014099119999997</v>
          </cell>
        </row>
        <row r="2223">
          <cell r="L2223" t="str">
            <v>التوينات</v>
          </cell>
          <cell r="M2223" t="str">
            <v>C2892</v>
          </cell>
          <cell r="AC2223">
            <v>38.397888180000002</v>
          </cell>
          <cell r="AD2223">
            <v>35.056701660000002</v>
          </cell>
        </row>
        <row r="2224">
          <cell r="L2224" t="str">
            <v>السخنة</v>
          </cell>
          <cell r="M2224" t="str">
            <v>C2893</v>
          </cell>
          <cell r="AC2224">
            <v>38.870117190000002</v>
          </cell>
          <cell r="AD2224">
            <v>34.883300779999999</v>
          </cell>
        </row>
        <row r="2225">
          <cell r="L2225" t="str">
            <v>الكوم</v>
          </cell>
          <cell r="M2225" t="str">
            <v>C2894</v>
          </cell>
          <cell r="AC2225">
            <v>38.856506349999997</v>
          </cell>
          <cell r="AD2225">
            <v>35.19348145</v>
          </cell>
        </row>
        <row r="2226">
          <cell r="L2226" t="str">
            <v>الكدير</v>
          </cell>
          <cell r="M2226" t="str">
            <v>C2895</v>
          </cell>
          <cell r="AC2226">
            <v>38.845520020000002</v>
          </cell>
          <cell r="AD2226">
            <v>35.27368164</v>
          </cell>
        </row>
        <row r="2227">
          <cell r="L2227" t="str">
            <v>الطيبة</v>
          </cell>
          <cell r="M2227" t="str">
            <v>C2896</v>
          </cell>
          <cell r="AC2227">
            <v>38.914489750000001</v>
          </cell>
          <cell r="AD2227">
            <v>35.08868408</v>
          </cell>
        </row>
        <row r="2228">
          <cell r="L2228" t="str">
            <v>كريم</v>
          </cell>
          <cell r="M2228" t="str">
            <v>C2898</v>
          </cell>
          <cell r="AC2228">
            <v>38.621276860000002</v>
          </cell>
          <cell r="AD2228">
            <v>35.269897460000003</v>
          </cell>
        </row>
        <row r="2229">
          <cell r="L2229" t="str">
            <v>البطمة</v>
          </cell>
          <cell r="M2229" t="str">
            <v>C2899</v>
          </cell>
          <cell r="AC2229">
            <v>37.119873050000002</v>
          </cell>
          <cell r="AD2229">
            <v>34.733520509999998</v>
          </cell>
        </row>
        <row r="2230">
          <cell r="L2230" t="str">
            <v>ام التين-ام تويني</v>
          </cell>
          <cell r="M2230" t="str">
            <v>C2900</v>
          </cell>
          <cell r="AC2230">
            <v>37.067077640000001</v>
          </cell>
          <cell r="AD2230">
            <v>34.791503910000003</v>
          </cell>
        </row>
        <row r="2231">
          <cell r="L2231" t="str">
            <v>المخرم الفوقاني</v>
          </cell>
          <cell r="M2231" t="str">
            <v>C2901</v>
          </cell>
          <cell r="AC2231">
            <v>37.080505369999997</v>
          </cell>
          <cell r="AD2231">
            <v>34.816528320000003</v>
          </cell>
        </row>
        <row r="2232">
          <cell r="L2232" t="str">
            <v>باب الهوى</v>
          </cell>
          <cell r="M2232" t="str">
            <v>C2902</v>
          </cell>
          <cell r="AC2232">
            <v>37.210876470000002</v>
          </cell>
          <cell r="AD2232">
            <v>34.82147217</v>
          </cell>
        </row>
        <row r="2233">
          <cell r="L2233" t="str">
            <v>شوكتلية</v>
          </cell>
          <cell r="M2233" t="str">
            <v>C2903</v>
          </cell>
          <cell r="AC2233">
            <v>37.01171875</v>
          </cell>
          <cell r="AD2233">
            <v>34.789916990000002</v>
          </cell>
        </row>
        <row r="2234">
          <cell r="L2234" t="str">
            <v>الجنينات</v>
          </cell>
          <cell r="M2234" t="str">
            <v>C2904</v>
          </cell>
          <cell r="AC2234">
            <v>37.083129880000001</v>
          </cell>
          <cell r="AD2234">
            <v>34.749877929999997</v>
          </cell>
        </row>
        <row r="2235">
          <cell r="L2235" t="str">
            <v>أبو العلايا</v>
          </cell>
          <cell r="M2235" t="str">
            <v>C2905</v>
          </cell>
          <cell r="AC2235">
            <v>37.313293459999997</v>
          </cell>
          <cell r="AD2235">
            <v>34.933898929999998</v>
          </cell>
        </row>
        <row r="2236">
          <cell r="L2236" t="str">
            <v>أم السرج الشمالي</v>
          </cell>
          <cell r="M2236" t="str">
            <v>C2906</v>
          </cell>
          <cell r="AC2236">
            <v>37.208129880000001</v>
          </cell>
          <cell r="AD2236">
            <v>34.778686520000001</v>
          </cell>
        </row>
        <row r="2237">
          <cell r="L2237" t="str">
            <v>أم السرج القبلي</v>
          </cell>
          <cell r="M2237" t="str">
            <v>C2907</v>
          </cell>
          <cell r="AC2237">
            <v>37.195678710000003</v>
          </cell>
          <cell r="AD2237">
            <v>34.761291499999999</v>
          </cell>
        </row>
        <row r="2238">
          <cell r="L2238" t="str">
            <v>تل شنان</v>
          </cell>
          <cell r="M2238" t="str">
            <v>C2908</v>
          </cell>
          <cell r="AC2238">
            <v>37.003295899999998</v>
          </cell>
          <cell r="AD2238">
            <v>34.696716309999999</v>
          </cell>
        </row>
        <row r="2239">
          <cell r="L2239" t="str">
            <v>الحمودية</v>
          </cell>
          <cell r="M2239" t="str">
            <v>C2909</v>
          </cell>
          <cell r="AC2239">
            <v>37.052124020000001</v>
          </cell>
          <cell r="AD2239">
            <v>34.740722660000003</v>
          </cell>
        </row>
        <row r="2240">
          <cell r="L2240" t="str">
            <v>الجمالية</v>
          </cell>
          <cell r="M2240" t="str">
            <v>C2910</v>
          </cell>
          <cell r="AC2240">
            <v>37.047729490000002</v>
          </cell>
          <cell r="AD2240">
            <v>34.685302729999997</v>
          </cell>
        </row>
        <row r="2241">
          <cell r="L2241" t="str">
            <v>الحراكي</v>
          </cell>
          <cell r="M2241" t="str">
            <v>C2911</v>
          </cell>
          <cell r="AC2241">
            <v>37.047302250000001</v>
          </cell>
          <cell r="AD2241">
            <v>34.723083500000001</v>
          </cell>
        </row>
        <row r="2242">
          <cell r="L2242" t="str">
            <v>العثمانية</v>
          </cell>
          <cell r="M2242" t="str">
            <v>C2912</v>
          </cell>
          <cell r="AC2242">
            <v>37.086486819999998</v>
          </cell>
          <cell r="AD2242">
            <v>34.884521479999997</v>
          </cell>
        </row>
        <row r="2243">
          <cell r="L2243" t="str">
            <v>أم دالي</v>
          </cell>
          <cell r="M2243" t="str">
            <v>C2913</v>
          </cell>
          <cell r="AC2243">
            <v>37.108703609999999</v>
          </cell>
          <cell r="AD2243">
            <v>34.754272460000003</v>
          </cell>
        </row>
        <row r="2244">
          <cell r="L2244" t="str">
            <v>السنكري</v>
          </cell>
          <cell r="M2244" t="str">
            <v>C2914</v>
          </cell>
          <cell r="AC2244">
            <v>37.141723630000001</v>
          </cell>
          <cell r="AD2244">
            <v>34.804504399999999</v>
          </cell>
        </row>
        <row r="2245">
          <cell r="L2245" t="str">
            <v>أم العمد</v>
          </cell>
          <cell r="M2245" t="str">
            <v>C2915</v>
          </cell>
          <cell r="AC2245">
            <v>37.009704589999998</v>
          </cell>
          <cell r="AD2245">
            <v>34.812683110000002</v>
          </cell>
        </row>
        <row r="2246">
          <cell r="L2246" t="str">
            <v>تل الورد</v>
          </cell>
          <cell r="M2246" t="str">
            <v>C2916</v>
          </cell>
          <cell r="AC2246">
            <v>37.224914550000001</v>
          </cell>
          <cell r="AD2246">
            <v>34.822692869999997</v>
          </cell>
        </row>
        <row r="2247">
          <cell r="L2247" t="str">
            <v>خلفة</v>
          </cell>
          <cell r="M2247" t="str">
            <v>C2917</v>
          </cell>
          <cell r="AC2247">
            <v>37.199890140000001</v>
          </cell>
          <cell r="AD2247">
            <v>34.884704589999998</v>
          </cell>
        </row>
        <row r="2248">
          <cell r="L2248" t="str">
            <v>أم جباب</v>
          </cell>
          <cell r="M2248" t="str">
            <v>C2918</v>
          </cell>
          <cell r="AC2248">
            <v>37.080322270000003</v>
          </cell>
          <cell r="AD2248">
            <v>34.775085449999999</v>
          </cell>
        </row>
        <row r="2249">
          <cell r="L2249" t="str">
            <v>أم جامع</v>
          </cell>
          <cell r="M2249" t="str">
            <v>C2919</v>
          </cell>
          <cell r="AC2249">
            <v>37.17028809</v>
          </cell>
          <cell r="AD2249">
            <v>34.740722660000003</v>
          </cell>
        </row>
        <row r="2250">
          <cell r="L2250" t="str">
            <v>تل الاغر</v>
          </cell>
          <cell r="M2250" t="str">
            <v>C2920</v>
          </cell>
          <cell r="AC2250">
            <v>37.051330569999998</v>
          </cell>
          <cell r="AD2250">
            <v>34.771728520000003</v>
          </cell>
        </row>
        <row r="2251">
          <cell r="L2251" t="str">
            <v>أبو حكفة الجنوبي</v>
          </cell>
          <cell r="M2251" t="str">
            <v>C2921</v>
          </cell>
          <cell r="AC2251">
            <v>37.141113279999999</v>
          </cell>
          <cell r="AD2251">
            <v>34.885681150000003</v>
          </cell>
        </row>
        <row r="2252">
          <cell r="L2252" t="str">
            <v>أبو خشبة</v>
          </cell>
          <cell r="M2252" t="str">
            <v>C2922</v>
          </cell>
          <cell r="AC2252">
            <v>37.198730470000001</v>
          </cell>
          <cell r="AD2252">
            <v>34.805480959999997</v>
          </cell>
        </row>
        <row r="2253">
          <cell r="L2253" t="str">
            <v>بويضة ريحانية</v>
          </cell>
          <cell r="M2253" t="str">
            <v>C2923</v>
          </cell>
          <cell r="AC2253">
            <v>37.144103999999999</v>
          </cell>
          <cell r="AD2253">
            <v>34.861511229999998</v>
          </cell>
        </row>
        <row r="2254">
          <cell r="L2254" t="str">
            <v>بويضة سلمية</v>
          </cell>
          <cell r="M2254" t="str">
            <v>C2924</v>
          </cell>
          <cell r="AC2254">
            <v>37.01330566</v>
          </cell>
          <cell r="AD2254">
            <v>34.839294430000002</v>
          </cell>
        </row>
        <row r="2255">
          <cell r="L2255" t="str">
            <v>أبو حكفة الشمالي</v>
          </cell>
          <cell r="M2255" t="str">
            <v>C2925</v>
          </cell>
          <cell r="AC2255">
            <v>37.131286619999997</v>
          </cell>
          <cell r="AD2255">
            <v>34.903320309999998</v>
          </cell>
        </row>
        <row r="2256">
          <cell r="L2256" t="str">
            <v>جب عباس</v>
          </cell>
          <cell r="M2256" t="str">
            <v>C2926</v>
          </cell>
          <cell r="AC2256">
            <v>37.004516600000002</v>
          </cell>
          <cell r="AD2256">
            <v>34.7520752</v>
          </cell>
        </row>
        <row r="2257">
          <cell r="L2257" t="str">
            <v>مخرم التحتاني</v>
          </cell>
          <cell r="M2257" t="str">
            <v>C2927</v>
          </cell>
          <cell r="AC2257">
            <v>37.046875</v>
          </cell>
          <cell r="AD2257">
            <v>34.852111819999998</v>
          </cell>
        </row>
        <row r="2258">
          <cell r="L2258" t="str">
            <v>نوى</v>
          </cell>
          <cell r="M2258" t="str">
            <v>C2928</v>
          </cell>
          <cell r="AC2258">
            <v>36.983886720000001</v>
          </cell>
          <cell r="AD2258">
            <v>34.84191895</v>
          </cell>
        </row>
        <row r="2259">
          <cell r="L2259" t="str">
            <v>الاشرفية الشرقية-دويعر الشرقي</v>
          </cell>
          <cell r="M2259" t="str">
            <v>C2929</v>
          </cell>
          <cell r="AC2259">
            <v>37.275695800000001</v>
          </cell>
          <cell r="AD2259">
            <v>34.82928467</v>
          </cell>
        </row>
        <row r="2260">
          <cell r="L2260" t="str">
            <v>اصمد</v>
          </cell>
          <cell r="M2260" t="str">
            <v>C2930</v>
          </cell>
          <cell r="AC2260">
            <v>37.29571533</v>
          </cell>
          <cell r="AD2260">
            <v>34.918090820000003</v>
          </cell>
        </row>
        <row r="2261">
          <cell r="L2261" t="str">
            <v>الاشرفية الغربية_دويعر الغربي</v>
          </cell>
          <cell r="M2261" t="str">
            <v>C2931</v>
          </cell>
          <cell r="AC2261">
            <v>37.246521000000001</v>
          </cell>
          <cell r="AD2261">
            <v>34.824523929999998</v>
          </cell>
        </row>
        <row r="2262">
          <cell r="L2262" t="str">
            <v>رحوم</v>
          </cell>
          <cell r="M2262" t="str">
            <v>C2932</v>
          </cell>
          <cell r="AC2262">
            <v>37.325683589999997</v>
          </cell>
          <cell r="AD2262">
            <v>34.791870119999999</v>
          </cell>
        </row>
        <row r="2263">
          <cell r="L2263" t="str">
            <v>تلقطا</v>
          </cell>
          <cell r="M2263" t="str">
            <v>C2933</v>
          </cell>
          <cell r="AC2263">
            <v>37.212707520000002</v>
          </cell>
          <cell r="AD2263">
            <v>34.917297359999999</v>
          </cell>
        </row>
        <row r="2264">
          <cell r="L2264" t="str">
            <v>تلعداي</v>
          </cell>
          <cell r="M2264" t="str">
            <v>C2934</v>
          </cell>
          <cell r="AC2264">
            <v>37.194091800000002</v>
          </cell>
          <cell r="AD2264">
            <v>34.914672850000002</v>
          </cell>
        </row>
        <row r="2265">
          <cell r="L2265" t="str">
            <v>علية العليان-علية العميان</v>
          </cell>
          <cell r="M2265" t="str">
            <v>C2935</v>
          </cell>
          <cell r="AC2265">
            <v>37.57629395</v>
          </cell>
          <cell r="AD2265">
            <v>34.813903809999999</v>
          </cell>
        </row>
        <row r="2266">
          <cell r="L2266" t="str">
            <v>رسم الطويل</v>
          </cell>
          <cell r="M2266" t="str">
            <v>C2936</v>
          </cell>
          <cell r="AC2266">
            <v>37.318115229999997</v>
          </cell>
          <cell r="AD2266">
            <v>34.718872070000003</v>
          </cell>
        </row>
        <row r="2267">
          <cell r="L2267" t="str">
            <v>حويسيس</v>
          </cell>
          <cell r="M2267" t="str">
            <v>C2937</v>
          </cell>
          <cell r="AC2267">
            <v>37.684692380000001</v>
          </cell>
          <cell r="AD2267">
            <v>34.831481930000002</v>
          </cell>
        </row>
        <row r="2268">
          <cell r="L2268" t="str">
            <v>أم الريف-الريش</v>
          </cell>
          <cell r="M2268" t="str">
            <v>C2938</v>
          </cell>
          <cell r="AC2268">
            <v>37.390686039999999</v>
          </cell>
          <cell r="AD2268">
            <v>34.890686039999999</v>
          </cell>
        </row>
        <row r="2269">
          <cell r="L2269" t="str">
            <v>أبو قاطور</v>
          </cell>
          <cell r="M2269" t="str">
            <v>C2939</v>
          </cell>
          <cell r="AC2269">
            <v>37.364318849999997</v>
          </cell>
          <cell r="AD2269">
            <v>34.723876949999998</v>
          </cell>
        </row>
        <row r="2270">
          <cell r="L2270" t="str">
            <v>رسم حميدة</v>
          </cell>
          <cell r="M2270" t="str">
            <v>C2940</v>
          </cell>
          <cell r="AC2270">
            <v>37.280700680000002</v>
          </cell>
          <cell r="AD2270">
            <v>34.705322270000003</v>
          </cell>
        </row>
        <row r="2271">
          <cell r="L2271" t="str">
            <v>طويل</v>
          </cell>
          <cell r="M2271" t="str">
            <v>C2941</v>
          </cell>
          <cell r="AC2271">
            <v>37.34790039</v>
          </cell>
          <cell r="AD2271">
            <v>34.77252197</v>
          </cell>
        </row>
        <row r="2272">
          <cell r="L2272" t="str">
            <v>ام تويني شمالية</v>
          </cell>
          <cell r="M2272" t="str">
            <v>C2942</v>
          </cell>
          <cell r="AC2272">
            <v>37.377502440000001</v>
          </cell>
          <cell r="AD2272">
            <v>34.949279789999999</v>
          </cell>
        </row>
        <row r="2273">
          <cell r="L2273" t="str">
            <v>شيحة</v>
          </cell>
          <cell r="M2273" t="str">
            <v>C2943</v>
          </cell>
          <cell r="AC2273">
            <v>37.411926270000002</v>
          </cell>
          <cell r="AD2273">
            <v>34.892089839999997</v>
          </cell>
        </row>
        <row r="2274">
          <cell r="L2274" t="str">
            <v>غزالة-غزيلة</v>
          </cell>
          <cell r="M2274" t="str">
            <v>C2944</v>
          </cell>
          <cell r="AC2274">
            <v>37.469299319999998</v>
          </cell>
          <cell r="AD2274">
            <v>34.842529300000002</v>
          </cell>
        </row>
        <row r="2275">
          <cell r="L2275" t="str">
            <v>العريضة-خطملو</v>
          </cell>
          <cell r="M2275" t="str">
            <v>C2945</v>
          </cell>
          <cell r="AC2275">
            <v>37.357482910000002</v>
          </cell>
          <cell r="AD2275">
            <v>34.965698240000002</v>
          </cell>
        </row>
        <row r="2276">
          <cell r="L2276" t="str">
            <v>طرفاوي</v>
          </cell>
          <cell r="M2276" t="str">
            <v>C2946</v>
          </cell>
          <cell r="AC2276">
            <v>37.329895020000002</v>
          </cell>
          <cell r="AD2276">
            <v>34.923278809999999</v>
          </cell>
        </row>
        <row r="2277">
          <cell r="L2277" t="str">
            <v>جب الجراح</v>
          </cell>
          <cell r="M2277" t="str">
            <v>C2947</v>
          </cell>
          <cell r="AC2277">
            <v>37.323913570000002</v>
          </cell>
          <cell r="AD2277">
            <v>34.834716800000002</v>
          </cell>
        </row>
        <row r="2278">
          <cell r="L2278" t="str">
            <v>سلام شرقي</v>
          </cell>
          <cell r="M2278" t="str">
            <v>C2948</v>
          </cell>
          <cell r="AC2278">
            <v>37.355896000000001</v>
          </cell>
          <cell r="AD2278">
            <v>34.952270509999998</v>
          </cell>
        </row>
        <row r="2279">
          <cell r="L2279" t="str">
            <v>مشيرفة قبلية</v>
          </cell>
          <cell r="M2279" t="str">
            <v>C2949</v>
          </cell>
          <cell r="AC2279">
            <v>37.245300290000003</v>
          </cell>
          <cell r="AD2279">
            <v>34.75872803</v>
          </cell>
        </row>
        <row r="2280">
          <cell r="L2280" t="str">
            <v>مسعودية</v>
          </cell>
          <cell r="M2280" t="str">
            <v>C2950</v>
          </cell>
          <cell r="AC2280">
            <v>37.307128910000003</v>
          </cell>
          <cell r="AD2280">
            <v>34.858276369999999</v>
          </cell>
        </row>
        <row r="2281">
          <cell r="L2281" t="str">
            <v>منطار العبل</v>
          </cell>
          <cell r="M2281" t="str">
            <v>C2951</v>
          </cell>
          <cell r="AC2281">
            <v>37.249877929999997</v>
          </cell>
          <cell r="AD2281">
            <v>34.845275880000003</v>
          </cell>
        </row>
        <row r="2282">
          <cell r="L2282" t="str">
            <v>مسعدة</v>
          </cell>
          <cell r="M2282" t="str">
            <v>C2952</v>
          </cell>
          <cell r="AC2282">
            <v>37.373107910000002</v>
          </cell>
          <cell r="AD2282">
            <v>34.876892089999998</v>
          </cell>
        </row>
        <row r="2283">
          <cell r="L2283" t="str">
            <v>هبرة غربية</v>
          </cell>
          <cell r="M2283" t="str">
            <v>C2953</v>
          </cell>
          <cell r="AC2283">
            <v>37.24908447</v>
          </cell>
          <cell r="AD2283">
            <v>34.723876949999998</v>
          </cell>
        </row>
        <row r="2284">
          <cell r="L2284" t="str">
            <v>مكسر الحصان</v>
          </cell>
          <cell r="M2284" t="str">
            <v>C2954</v>
          </cell>
          <cell r="AC2284">
            <v>37.305725099999997</v>
          </cell>
          <cell r="AD2284">
            <v>34.811889649999998</v>
          </cell>
        </row>
        <row r="2285">
          <cell r="L2285" t="str">
            <v>مقيزل</v>
          </cell>
          <cell r="M2285" t="str">
            <v>C2955</v>
          </cell>
          <cell r="AC2285">
            <v>37.447509770000003</v>
          </cell>
          <cell r="AD2285">
            <v>34.902526860000002</v>
          </cell>
        </row>
        <row r="2286">
          <cell r="L2286" t="str">
            <v>مزين البقر</v>
          </cell>
          <cell r="M2286" t="str">
            <v>C2956</v>
          </cell>
          <cell r="AC2286">
            <v>37.382324220000001</v>
          </cell>
          <cell r="AD2286">
            <v>34.858276369999999</v>
          </cell>
        </row>
        <row r="2287">
          <cell r="L2287" t="str">
            <v>هبرة شرقية</v>
          </cell>
          <cell r="M2287" t="str">
            <v>C2957</v>
          </cell>
          <cell r="AC2287">
            <v>37.2677002</v>
          </cell>
          <cell r="AD2287">
            <v>34.741088869999999</v>
          </cell>
        </row>
        <row r="2288">
          <cell r="L2288" t="str">
            <v>المباركات</v>
          </cell>
          <cell r="M2288" t="str">
            <v>C2958</v>
          </cell>
          <cell r="AC2288">
            <v>36.86169434</v>
          </cell>
          <cell r="AD2288">
            <v>35.122070309999998</v>
          </cell>
        </row>
        <row r="2289">
          <cell r="L2289" t="str">
            <v>الخلا</v>
          </cell>
          <cell r="M2289" t="str">
            <v>C2959</v>
          </cell>
          <cell r="AC2289">
            <v>36.896484379999997</v>
          </cell>
          <cell r="AD2289">
            <v>35.178710940000002</v>
          </cell>
        </row>
        <row r="2290">
          <cell r="L2290" t="str">
            <v>أم الطيور</v>
          </cell>
          <cell r="M2290" t="str">
            <v>C2960</v>
          </cell>
          <cell r="AC2290">
            <v>36.533874509999997</v>
          </cell>
          <cell r="AD2290">
            <v>35.130126949999998</v>
          </cell>
        </row>
        <row r="2291">
          <cell r="L2291" t="str">
            <v>رعبون</v>
          </cell>
          <cell r="M2291" t="str">
            <v>C2961</v>
          </cell>
          <cell r="AC2291">
            <v>36.825500490000003</v>
          </cell>
          <cell r="AD2291">
            <v>35.097473149999999</v>
          </cell>
        </row>
        <row r="2292">
          <cell r="L2292" t="str">
            <v>أرزة_الضبعة</v>
          </cell>
          <cell r="M2292" t="str">
            <v>C2962</v>
          </cell>
          <cell r="AC2292">
            <v>36.698120119999999</v>
          </cell>
          <cell r="AD2292">
            <v>35.174682619999999</v>
          </cell>
        </row>
        <row r="2293">
          <cell r="L2293" t="str">
            <v>البياض</v>
          </cell>
          <cell r="M2293" t="str">
            <v>C2963</v>
          </cell>
          <cell r="AC2293">
            <v>36.559875490000003</v>
          </cell>
          <cell r="AD2293">
            <v>35.145080569999998</v>
          </cell>
        </row>
        <row r="2294">
          <cell r="L2294" t="str">
            <v>صفينا</v>
          </cell>
          <cell r="M2294" t="str">
            <v>C2964</v>
          </cell>
          <cell r="AC2294">
            <v>36.903686520000001</v>
          </cell>
          <cell r="AD2294">
            <v>35.140930179999998</v>
          </cell>
        </row>
        <row r="2295">
          <cell r="L2295" t="str">
            <v>الجاجية</v>
          </cell>
          <cell r="M2295" t="str">
            <v>C2965</v>
          </cell>
          <cell r="AC2295">
            <v>36.808105470000001</v>
          </cell>
          <cell r="AD2295">
            <v>35.122314449999998</v>
          </cell>
        </row>
        <row r="2296">
          <cell r="L2296" t="str">
            <v>الهاشمية</v>
          </cell>
          <cell r="M2296" t="str">
            <v>C2966</v>
          </cell>
          <cell r="AC2296">
            <v>36.77893066</v>
          </cell>
          <cell r="AD2296">
            <v>35.197326660000002</v>
          </cell>
        </row>
        <row r="2297">
          <cell r="L2297" t="str">
            <v>المبطن</v>
          </cell>
          <cell r="M2297" t="str">
            <v>C2967</v>
          </cell>
          <cell r="AC2297">
            <v>36.843078609999999</v>
          </cell>
          <cell r="AD2297">
            <v>35.279113770000002</v>
          </cell>
        </row>
        <row r="2298">
          <cell r="L2298" t="str">
            <v>الجوزية_الجرنية</v>
          </cell>
          <cell r="M2298" t="str">
            <v>C2968</v>
          </cell>
          <cell r="AC2298">
            <v>36.86328125</v>
          </cell>
          <cell r="AD2298">
            <v>35.04388428</v>
          </cell>
        </row>
        <row r="2299">
          <cell r="L2299" t="str">
            <v>جبرين</v>
          </cell>
          <cell r="M2299" t="str">
            <v>C2969</v>
          </cell>
          <cell r="AC2299">
            <v>36.799072270000003</v>
          </cell>
          <cell r="AD2299">
            <v>35.183471679999997</v>
          </cell>
        </row>
        <row r="2300">
          <cell r="L2300" t="str">
            <v>جرجرة</v>
          </cell>
          <cell r="M2300" t="str">
            <v>C2970</v>
          </cell>
          <cell r="AC2300">
            <v>36.562072749999999</v>
          </cell>
          <cell r="AD2300">
            <v>35.138122559999999</v>
          </cell>
        </row>
        <row r="2301">
          <cell r="L2301" t="str">
            <v>حوير الصليب</v>
          </cell>
          <cell r="M2301" t="str">
            <v>C2971</v>
          </cell>
          <cell r="AC2301">
            <v>36.54388428</v>
          </cell>
          <cell r="AD2301">
            <v>35.054504399999999</v>
          </cell>
        </row>
        <row r="2302">
          <cell r="L2302" t="str">
            <v>الجنان</v>
          </cell>
          <cell r="M2302" t="str">
            <v>C2972</v>
          </cell>
          <cell r="AC2302">
            <v>36.846679690000002</v>
          </cell>
          <cell r="AD2302">
            <v>35.084472660000003</v>
          </cell>
        </row>
        <row r="2303">
          <cell r="L2303" t="str">
            <v>زور أبو دردة النشمي</v>
          </cell>
          <cell r="M2303" t="str">
            <v>C2973</v>
          </cell>
          <cell r="AC2303">
            <v>36.830322270000003</v>
          </cell>
          <cell r="AD2303">
            <v>34.966125490000003</v>
          </cell>
        </row>
        <row r="2304">
          <cell r="L2304" t="str">
            <v>أم العمد</v>
          </cell>
          <cell r="M2304" t="str">
            <v>C2974</v>
          </cell>
          <cell r="AC2304">
            <v>36.572692869999997</v>
          </cell>
          <cell r="AD2304">
            <v>35.044677729999997</v>
          </cell>
        </row>
        <row r="2305">
          <cell r="L2305" t="str">
            <v>الربيعة</v>
          </cell>
          <cell r="M2305" t="str">
            <v>C2975</v>
          </cell>
          <cell r="AC2305">
            <v>36.61169434</v>
          </cell>
          <cell r="AD2305">
            <v>35.097106930000002</v>
          </cell>
        </row>
        <row r="2306">
          <cell r="L2306" t="str">
            <v>شيحة حماة</v>
          </cell>
          <cell r="M2306" t="str">
            <v>C2977</v>
          </cell>
          <cell r="AC2306">
            <v>36.688110350000002</v>
          </cell>
          <cell r="AD2306">
            <v>35.152282720000002</v>
          </cell>
        </row>
        <row r="2307">
          <cell r="L2307" t="str">
            <v>أبو منسف</v>
          </cell>
          <cell r="M2307" t="str">
            <v>C2978</v>
          </cell>
          <cell r="AC2307">
            <v>36.871887209999997</v>
          </cell>
          <cell r="AD2307">
            <v>35.265686039999999</v>
          </cell>
        </row>
        <row r="2308">
          <cell r="L2308" t="str">
            <v>الزبادة</v>
          </cell>
          <cell r="M2308" t="str">
            <v>C2979</v>
          </cell>
          <cell r="AC2308">
            <v>36.846313479999999</v>
          </cell>
          <cell r="AD2308">
            <v>35.069274900000003</v>
          </cell>
        </row>
        <row r="2309">
          <cell r="L2309" t="str">
            <v>سريحين</v>
          </cell>
          <cell r="M2309" t="str">
            <v>C2980</v>
          </cell>
          <cell r="AC2309">
            <v>36.798278809999999</v>
          </cell>
          <cell r="AD2309">
            <v>35.106079100000002</v>
          </cell>
        </row>
        <row r="2310">
          <cell r="L2310" t="str">
            <v>البراق</v>
          </cell>
          <cell r="M2310" t="str">
            <v>C2981</v>
          </cell>
          <cell r="AC2310">
            <v>36.792480470000001</v>
          </cell>
          <cell r="AD2310">
            <v>35.031677250000001</v>
          </cell>
        </row>
        <row r="2311">
          <cell r="L2311" t="str">
            <v>عدبس</v>
          </cell>
          <cell r="M2311" t="str">
            <v>C2982</v>
          </cell>
          <cell r="AC2311">
            <v>36.597473149999999</v>
          </cell>
          <cell r="AD2311">
            <v>35.141296390000001</v>
          </cell>
        </row>
        <row r="2312">
          <cell r="L2312" t="str">
            <v>تقسيس</v>
          </cell>
          <cell r="M2312" t="str">
            <v>C2983</v>
          </cell>
          <cell r="AC2312">
            <v>36.859680179999998</v>
          </cell>
          <cell r="AD2312">
            <v>35.017517089999998</v>
          </cell>
        </row>
        <row r="2313">
          <cell r="L2313" t="str">
            <v>السويدة الشرقية</v>
          </cell>
          <cell r="M2313" t="str">
            <v>C2984</v>
          </cell>
          <cell r="AC2313">
            <v>36.820495610000002</v>
          </cell>
          <cell r="AD2313">
            <v>35.026672359999999</v>
          </cell>
        </row>
        <row r="2314">
          <cell r="L2314" t="str">
            <v>السويدة الغربية</v>
          </cell>
          <cell r="M2314" t="str">
            <v>C2985</v>
          </cell>
          <cell r="AC2314">
            <v>36.72747803</v>
          </cell>
          <cell r="AD2314">
            <v>34.987670899999998</v>
          </cell>
        </row>
        <row r="2315">
          <cell r="L2315" t="str">
            <v>الجومقلية</v>
          </cell>
          <cell r="M2315" t="str">
            <v>C2986</v>
          </cell>
          <cell r="AC2315">
            <v>36.854125979999999</v>
          </cell>
          <cell r="AD2315">
            <v>34.972106930000002</v>
          </cell>
        </row>
        <row r="2316">
          <cell r="L2316" t="str">
            <v>حماة</v>
          </cell>
          <cell r="M2316" t="str">
            <v>C2987</v>
          </cell>
          <cell r="AC2316">
            <v>36.761291499999999</v>
          </cell>
          <cell r="AD2316">
            <v>35.13372803</v>
          </cell>
        </row>
        <row r="2317">
          <cell r="L2317" t="str">
            <v>العلمين</v>
          </cell>
          <cell r="M2317" t="str">
            <v>C2988</v>
          </cell>
          <cell r="AC2317">
            <v>36.733093259999997</v>
          </cell>
          <cell r="AD2317">
            <v>34.961303710000003</v>
          </cell>
        </row>
        <row r="2318">
          <cell r="L2318" t="str">
            <v>أبسيرين</v>
          </cell>
          <cell r="M2318" t="str">
            <v>C2989</v>
          </cell>
          <cell r="AC2318">
            <v>36.746887209999997</v>
          </cell>
          <cell r="AD2318">
            <v>35.02069092</v>
          </cell>
        </row>
        <row r="2319">
          <cell r="L2319" t="str">
            <v>أبو دردة</v>
          </cell>
          <cell r="M2319" t="str">
            <v>C2990</v>
          </cell>
          <cell r="AC2319">
            <v>36.820922850000002</v>
          </cell>
          <cell r="AD2319">
            <v>34.98413086</v>
          </cell>
        </row>
        <row r="2320">
          <cell r="L2320" t="str">
            <v>خطاب</v>
          </cell>
          <cell r="M2320" t="str">
            <v>C2991</v>
          </cell>
          <cell r="AC2320">
            <v>36.668518069999998</v>
          </cell>
          <cell r="AD2320">
            <v>35.195678710000003</v>
          </cell>
        </row>
        <row r="2321">
          <cell r="L2321" t="str">
            <v>أيو</v>
          </cell>
          <cell r="M2321" t="str">
            <v>C2992</v>
          </cell>
          <cell r="AC2321">
            <v>36.744873050000002</v>
          </cell>
          <cell r="AD2321">
            <v>35.041320800000001</v>
          </cell>
        </row>
        <row r="2322">
          <cell r="L2322" t="str">
            <v>تيزين</v>
          </cell>
          <cell r="M2322" t="str">
            <v>C2993</v>
          </cell>
          <cell r="AC2322">
            <v>36.653686520000001</v>
          </cell>
          <cell r="AD2322">
            <v>35.124877929999997</v>
          </cell>
        </row>
        <row r="2323">
          <cell r="L2323" t="str">
            <v>الدمينة</v>
          </cell>
          <cell r="M2323" t="str">
            <v>C2994</v>
          </cell>
          <cell r="AC2323">
            <v>36.893676759999998</v>
          </cell>
          <cell r="AD2323">
            <v>34.982727050000001</v>
          </cell>
        </row>
        <row r="2324">
          <cell r="L2324" t="str">
            <v>تل قرطل</v>
          </cell>
          <cell r="M2324" t="str">
            <v>C2995</v>
          </cell>
          <cell r="AC2324">
            <v>36.78009033</v>
          </cell>
          <cell r="AD2324">
            <v>35.01147461</v>
          </cell>
        </row>
        <row r="2325">
          <cell r="L2325" t="str">
            <v>الصاوا</v>
          </cell>
          <cell r="M2325" t="str">
            <v>C2996</v>
          </cell>
          <cell r="AC2325">
            <v>36.519470220000002</v>
          </cell>
          <cell r="AD2325">
            <v>35.166503910000003</v>
          </cell>
        </row>
        <row r="2326">
          <cell r="L2326" t="str">
            <v>عمارة أصلان</v>
          </cell>
          <cell r="M2326" t="str">
            <v>C2997</v>
          </cell>
          <cell r="AC2326">
            <v>36.867492679999998</v>
          </cell>
          <cell r="AD2326">
            <v>35.000305179999998</v>
          </cell>
        </row>
        <row r="2327">
          <cell r="L2327" t="str">
            <v>تل النهر تل سكين</v>
          </cell>
          <cell r="M2327" t="str">
            <v>C2998</v>
          </cell>
          <cell r="AC2327">
            <v>36.582885740000002</v>
          </cell>
          <cell r="AD2327">
            <v>35.154479979999998</v>
          </cell>
        </row>
        <row r="2328">
          <cell r="L2328" t="str">
            <v>الخالدية</v>
          </cell>
          <cell r="M2328" t="str">
            <v>C2999</v>
          </cell>
          <cell r="AC2328">
            <v>36.742309570000003</v>
          </cell>
          <cell r="AD2328">
            <v>35.07788086</v>
          </cell>
        </row>
        <row r="2329">
          <cell r="L2329" t="str">
            <v>السمرة</v>
          </cell>
          <cell r="M2329" t="str">
            <v>C3000</v>
          </cell>
          <cell r="AC2329">
            <v>36.870300290000003</v>
          </cell>
          <cell r="AD2329">
            <v>35.290527339999997</v>
          </cell>
        </row>
        <row r="2330">
          <cell r="L2330" t="str">
            <v>حوايس أم جرن</v>
          </cell>
          <cell r="M2330" t="str">
            <v>C3001</v>
          </cell>
          <cell r="AC2330">
            <v>36.893920899999998</v>
          </cell>
          <cell r="AD2330">
            <v>35.121521000000001</v>
          </cell>
        </row>
        <row r="2331">
          <cell r="L2331" t="str">
            <v>البحرة</v>
          </cell>
          <cell r="M2331" t="str">
            <v>C3002</v>
          </cell>
          <cell r="AC2331">
            <v>36.581298830000001</v>
          </cell>
          <cell r="AD2331">
            <v>35.065124509999997</v>
          </cell>
        </row>
        <row r="2332">
          <cell r="L2332" t="str">
            <v>معر شحور</v>
          </cell>
          <cell r="M2332" t="str">
            <v>C3003</v>
          </cell>
          <cell r="AC2332">
            <v>36.85131836</v>
          </cell>
          <cell r="AD2332">
            <v>35.206481930000002</v>
          </cell>
        </row>
        <row r="2333">
          <cell r="L2333" t="str">
            <v>كفر عميم</v>
          </cell>
          <cell r="M2333" t="str">
            <v>C3004</v>
          </cell>
          <cell r="AC2333">
            <v>36.589721679999997</v>
          </cell>
          <cell r="AD2333">
            <v>35.175476070000002</v>
          </cell>
        </row>
        <row r="2334">
          <cell r="L2334" t="str">
            <v>كفراع</v>
          </cell>
          <cell r="M2334" t="str">
            <v>C3005</v>
          </cell>
          <cell r="AC2334">
            <v>36.809082029999999</v>
          </cell>
          <cell r="AD2334">
            <v>35.21691895</v>
          </cell>
        </row>
        <row r="2335">
          <cell r="L2335" t="str">
            <v>قبيبات العاصي</v>
          </cell>
          <cell r="M2335" t="str">
            <v>C3006</v>
          </cell>
          <cell r="AC2335">
            <v>36.785522460000003</v>
          </cell>
          <cell r="AD2335">
            <v>34.95910645</v>
          </cell>
        </row>
        <row r="2336">
          <cell r="L2336" t="str">
            <v>مقطع الحجر</v>
          </cell>
          <cell r="M2336" t="str">
            <v>C3007</v>
          </cell>
          <cell r="AC2336">
            <v>36.690673830000001</v>
          </cell>
          <cell r="AD2336">
            <v>35.095520020000002</v>
          </cell>
        </row>
        <row r="2337">
          <cell r="L2337" t="str">
            <v>قمحانة</v>
          </cell>
          <cell r="M2337" t="str">
            <v>C3008</v>
          </cell>
          <cell r="AC2337">
            <v>36.732482910000002</v>
          </cell>
          <cell r="AD2337">
            <v>35.197692869999997</v>
          </cell>
        </row>
        <row r="2338">
          <cell r="L2338" t="str">
            <v>معردفتين</v>
          </cell>
          <cell r="M2338" t="str">
            <v>C3009</v>
          </cell>
          <cell r="AC2338">
            <v>36.701721190000001</v>
          </cell>
          <cell r="AD2338">
            <v>35.140502929999997</v>
          </cell>
        </row>
        <row r="2339">
          <cell r="L2339" t="str">
            <v>غور العاصي</v>
          </cell>
          <cell r="M2339" t="str">
            <v>C3010</v>
          </cell>
          <cell r="AC2339">
            <v>36.768920899999998</v>
          </cell>
          <cell r="AD2339">
            <v>34.955078129999997</v>
          </cell>
        </row>
        <row r="2340">
          <cell r="L2340" t="str">
            <v>معرين</v>
          </cell>
          <cell r="M2340" t="str">
            <v>C3011</v>
          </cell>
          <cell r="AC2340">
            <v>36.764892580000001</v>
          </cell>
          <cell r="AD2340">
            <v>35.048706060000001</v>
          </cell>
        </row>
        <row r="2341">
          <cell r="L2341" t="str">
            <v>كفر الطون</v>
          </cell>
          <cell r="M2341" t="str">
            <v>C3012</v>
          </cell>
          <cell r="AC2341">
            <v>36.629882809999998</v>
          </cell>
          <cell r="AD2341">
            <v>35.159728999999999</v>
          </cell>
        </row>
        <row r="2342">
          <cell r="L2342" t="str">
            <v>كفر بهم</v>
          </cell>
          <cell r="M2342" t="str">
            <v>C3013</v>
          </cell>
          <cell r="AC2342">
            <v>36.699096679999997</v>
          </cell>
          <cell r="AD2342">
            <v>35.060485839999998</v>
          </cell>
        </row>
        <row r="2343">
          <cell r="L2343" t="str">
            <v>مضبعة</v>
          </cell>
          <cell r="M2343" t="str">
            <v>C3014</v>
          </cell>
          <cell r="AC2343">
            <v>36.87109375</v>
          </cell>
          <cell r="AD2343">
            <v>35.239318849999997</v>
          </cell>
        </row>
        <row r="2344">
          <cell r="L2344" t="str">
            <v>متنين</v>
          </cell>
          <cell r="M2344" t="str">
            <v>C3015</v>
          </cell>
          <cell r="AC2344">
            <v>36.650878910000003</v>
          </cell>
          <cell r="AD2344">
            <v>35.110107419999999</v>
          </cell>
        </row>
        <row r="2345">
          <cell r="L2345" t="str">
            <v>كاسون الجبل</v>
          </cell>
          <cell r="M2345" t="str">
            <v>C3016</v>
          </cell>
          <cell r="AC2345">
            <v>36.84790039</v>
          </cell>
          <cell r="AD2345">
            <v>35.154724119999997</v>
          </cell>
        </row>
        <row r="2346">
          <cell r="L2346" t="str">
            <v>الشعثة</v>
          </cell>
          <cell r="M2346" t="str">
            <v>C3017</v>
          </cell>
          <cell r="AC2346">
            <v>36.894714360000002</v>
          </cell>
          <cell r="AD2346">
            <v>35.353515629999997</v>
          </cell>
        </row>
        <row r="2347">
          <cell r="L2347" t="str">
            <v>أم حارتين</v>
          </cell>
          <cell r="M2347" t="str">
            <v>C3018</v>
          </cell>
          <cell r="AC2347">
            <v>36.860900880000003</v>
          </cell>
          <cell r="AD2347">
            <v>35.387084960000003</v>
          </cell>
        </row>
        <row r="2348">
          <cell r="L2348" t="str">
            <v>خربة الحجامة</v>
          </cell>
          <cell r="M2348" t="str">
            <v>C3019</v>
          </cell>
          <cell r="AC2348">
            <v>36.691528320000003</v>
          </cell>
          <cell r="AD2348">
            <v>35.208679199999999</v>
          </cell>
        </row>
        <row r="2349">
          <cell r="L2349" t="str">
            <v>بويضة</v>
          </cell>
          <cell r="M2349" t="str">
            <v>C3020</v>
          </cell>
          <cell r="AC2349">
            <v>36.695495610000002</v>
          </cell>
          <cell r="AD2349">
            <v>35.316284179999997</v>
          </cell>
        </row>
        <row r="2350">
          <cell r="L2350" t="str">
            <v>عطشان</v>
          </cell>
          <cell r="M2350" t="str">
            <v>C3021</v>
          </cell>
          <cell r="AC2350">
            <v>36.82189941</v>
          </cell>
          <cell r="AD2350">
            <v>35.40649414</v>
          </cell>
        </row>
        <row r="2351">
          <cell r="L2351" t="str">
            <v>الطليسية</v>
          </cell>
          <cell r="M2351" t="str">
            <v>C3022</v>
          </cell>
          <cell r="AC2351">
            <v>36.914489750000001</v>
          </cell>
          <cell r="AD2351">
            <v>35.367126470000002</v>
          </cell>
        </row>
        <row r="2352">
          <cell r="L2352" t="str">
            <v>زور الحيصة الشرقية</v>
          </cell>
          <cell r="M2352" t="str">
            <v>C3023</v>
          </cell>
          <cell r="AC2352">
            <v>36.642517089999998</v>
          </cell>
          <cell r="AD2352">
            <v>35.277282720000002</v>
          </cell>
        </row>
        <row r="2353">
          <cell r="L2353" t="str">
            <v>زور أبو زيد</v>
          </cell>
          <cell r="M2353" t="str">
            <v>C3024</v>
          </cell>
          <cell r="AC2353">
            <v>36.656921390000001</v>
          </cell>
          <cell r="AD2353">
            <v>35.240722660000003</v>
          </cell>
        </row>
        <row r="2354">
          <cell r="L2354" t="str">
            <v>خفسين</v>
          </cell>
          <cell r="M2354" t="str">
            <v>C3025</v>
          </cell>
          <cell r="AC2354">
            <v>36.856323240000002</v>
          </cell>
          <cell r="AD2354">
            <v>35.347717289999999</v>
          </cell>
        </row>
        <row r="2355">
          <cell r="L2355" t="str">
            <v>صوران</v>
          </cell>
          <cell r="M2355" t="str">
            <v>C3026</v>
          </cell>
          <cell r="AC2355">
            <v>36.744079589999998</v>
          </cell>
          <cell r="AD2355">
            <v>35.286682130000003</v>
          </cell>
        </row>
        <row r="2356">
          <cell r="L2356" t="str">
            <v>طيبة الاسم</v>
          </cell>
          <cell r="M2356" t="str">
            <v>C3027</v>
          </cell>
          <cell r="AC2356">
            <v>36.86169434</v>
          </cell>
          <cell r="AD2356">
            <v>35.318298339999998</v>
          </cell>
        </row>
        <row r="2357">
          <cell r="L2357" t="str">
            <v>طيبة الإمام</v>
          </cell>
          <cell r="M2357" t="str">
            <v>C3028</v>
          </cell>
          <cell r="AC2357">
            <v>36.71069336</v>
          </cell>
          <cell r="AD2357">
            <v>35.264099119999997</v>
          </cell>
        </row>
        <row r="2358">
          <cell r="L2358" t="str">
            <v>مورك</v>
          </cell>
          <cell r="M2358" t="str">
            <v>C3029</v>
          </cell>
          <cell r="AC2358">
            <v>36.689270020000002</v>
          </cell>
          <cell r="AD2358">
            <v>35.373901369999999</v>
          </cell>
        </row>
        <row r="2359">
          <cell r="L2359" t="str">
            <v>معركبة</v>
          </cell>
          <cell r="M2359" t="str">
            <v>C3030</v>
          </cell>
          <cell r="AC2359">
            <v>36.66772461</v>
          </cell>
          <cell r="AD2359">
            <v>35.317077640000001</v>
          </cell>
        </row>
        <row r="2360">
          <cell r="L2360" t="str">
            <v>معردس</v>
          </cell>
          <cell r="M2360" t="str">
            <v>C3031</v>
          </cell>
          <cell r="AC2360">
            <v>36.756103520000003</v>
          </cell>
          <cell r="AD2360">
            <v>35.254882809999998</v>
          </cell>
        </row>
        <row r="2361">
          <cell r="L2361" t="str">
            <v>فان شمالي</v>
          </cell>
          <cell r="M2361" t="str">
            <v>C3032</v>
          </cell>
          <cell r="AC2361">
            <v>36.916870119999999</v>
          </cell>
          <cell r="AD2361">
            <v>35.309875490000003</v>
          </cell>
        </row>
        <row r="2362">
          <cell r="L2362" t="str">
            <v>قبيبات أبو الهدى</v>
          </cell>
          <cell r="M2362" t="str">
            <v>C3033</v>
          </cell>
          <cell r="AC2362">
            <v>36.856323240000002</v>
          </cell>
          <cell r="AD2362">
            <v>35.371887209999997</v>
          </cell>
        </row>
        <row r="2363">
          <cell r="L2363" t="str">
            <v>لحايا</v>
          </cell>
          <cell r="M2363" t="str">
            <v>C3034</v>
          </cell>
          <cell r="AC2363">
            <v>36.683105470000001</v>
          </cell>
          <cell r="AD2363">
            <v>35.334716800000002</v>
          </cell>
        </row>
        <row r="2364">
          <cell r="L2364" t="str">
            <v>معان</v>
          </cell>
          <cell r="M2364" t="str">
            <v>C3035</v>
          </cell>
          <cell r="AC2364">
            <v>36.795898440000002</v>
          </cell>
          <cell r="AD2364">
            <v>35.358703609999999</v>
          </cell>
        </row>
        <row r="2365">
          <cell r="L2365" t="str">
            <v>مصاصنة</v>
          </cell>
          <cell r="M2365" t="str">
            <v>C3036</v>
          </cell>
          <cell r="AC2365">
            <v>36.663330080000001</v>
          </cell>
          <cell r="AD2365">
            <v>35.290893560000001</v>
          </cell>
        </row>
        <row r="2366">
          <cell r="L2366" t="str">
            <v>كوكب</v>
          </cell>
          <cell r="M2366" t="str">
            <v>C3037</v>
          </cell>
          <cell r="AC2366">
            <v>36.80169678</v>
          </cell>
          <cell r="AD2366">
            <v>35.299072270000003</v>
          </cell>
        </row>
        <row r="2367">
          <cell r="L2367" t="str">
            <v>قصر أبو سمرة</v>
          </cell>
          <cell r="M2367" t="str">
            <v>C3038</v>
          </cell>
          <cell r="AC2367">
            <v>36.971130369999997</v>
          </cell>
          <cell r="AD2367">
            <v>35.353515629999997</v>
          </cell>
        </row>
        <row r="2368">
          <cell r="L2368" t="str">
            <v>قصر المخرم</v>
          </cell>
          <cell r="M2368" t="str">
            <v>C3039</v>
          </cell>
          <cell r="AC2368">
            <v>36.948486330000001</v>
          </cell>
          <cell r="AD2368">
            <v>35.328918459999997</v>
          </cell>
        </row>
        <row r="2369">
          <cell r="L2369" t="str">
            <v>حر بنفسه</v>
          </cell>
          <cell r="M2369" t="str">
            <v>C3040</v>
          </cell>
          <cell r="AC2369">
            <v>36.622497559999999</v>
          </cell>
          <cell r="AD2369">
            <v>34.93908691</v>
          </cell>
        </row>
        <row r="2370">
          <cell r="L2370" t="str">
            <v>الزارا</v>
          </cell>
          <cell r="M2370" t="str">
            <v>C3041</v>
          </cell>
          <cell r="AC2370">
            <v>36.659484859999999</v>
          </cell>
          <cell r="AD2370">
            <v>34.92028809</v>
          </cell>
        </row>
        <row r="2371">
          <cell r="L2371" t="str">
            <v>خربة عارف</v>
          </cell>
          <cell r="M2371" t="str">
            <v>C3042</v>
          </cell>
          <cell r="AC2371">
            <v>36.554870610000002</v>
          </cell>
          <cell r="AD2371">
            <v>34.987304690000002</v>
          </cell>
        </row>
        <row r="2372">
          <cell r="L2372" t="str">
            <v>البجة</v>
          </cell>
          <cell r="M2372" t="str">
            <v>C3043</v>
          </cell>
          <cell r="AC2372">
            <v>36.528076169999999</v>
          </cell>
          <cell r="AD2372">
            <v>35.018676759999998</v>
          </cell>
        </row>
        <row r="2373">
          <cell r="L2373" t="str">
            <v>تومين</v>
          </cell>
          <cell r="M2373" t="str">
            <v>C3044</v>
          </cell>
          <cell r="AC2373">
            <v>36.714294430000002</v>
          </cell>
          <cell r="AD2373">
            <v>34.948486330000001</v>
          </cell>
        </row>
        <row r="2374">
          <cell r="L2374" t="str">
            <v>بللين</v>
          </cell>
          <cell r="M2374" t="str">
            <v>C3045</v>
          </cell>
          <cell r="AC2374">
            <v>36.513488770000002</v>
          </cell>
          <cell r="AD2374">
            <v>35.048095699999998</v>
          </cell>
        </row>
        <row r="2375">
          <cell r="L2375" t="str">
            <v>أكرادإبراهيم</v>
          </cell>
          <cell r="M2375" t="str">
            <v>C3046</v>
          </cell>
          <cell r="AC2375">
            <v>36.459899900000003</v>
          </cell>
          <cell r="AD2375">
            <v>34.977111819999998</v>
          </cell>
        </row>
        <row r="2376">
          <cell r="L2376" t="str">
            <v>البيه</v>
          </cell>
          <cell r="M2376" t="str">
            <v>C3047</v>
          </cell>
          <cell r="AC2376">
            <v>36.689697270000003</v>
          </cell>
          <cell r="AD2376">
            <v>34.984313970000002</v>
          </cell>
        </row>
        <row r="2377">
          <cell r="L2377" t="str">
            <v>جرجيسا</v>
          </cell>
          <cell r="M2377" t="str">
            <v>C3048</v>
          </cell>
          <cell r="AC2377">
            <v>36.693298339999998</v>
          </cell>
          <cell r="AD2377">
            <v>34.943908690000001</v>
          </cell>
        </row>
        <row r="2378">
          <cell r="L2378" t="str">
            <v>عقرب</v>
          </cell>
          <cell r="M2378" t="str">
            <v>C3049</v>
          </cell>
          <cell r="AC2378">
            <v>36.45910645</v>
          </cell>
          <cell r="AD2378">
            <v>34.936279300000002</v>
          </cell>
        </row>
        <row r="2379">
          <cell r="L2379" t="str">
            <v>طلف</v>
          </cell>
          <cell r="M2379" t="str">
            <v>C3050</v>
          </cell>
          <cell r="AC2379">
            <v>36.55950928</v>
          </cell>
          <cell r="AD2379">
            <v>34.911926270000002</v>
          </cell>
        </row>
        <row r="2380">
          <cell r="L2380" t="str">
            <v>بيصين</v>
          </cell>
          <cell r="M2380" t="str">
            <v>C3051</v>
          </cell>
          <cell r="AC2380">
            <v>36.502502440000001</v>
          </cell>
          <cell r="AD2380">
            <v>35.002685550000002</v>
          </cell>
        </row>
        <row r="2381">
          <cell r="L2381" t="str">
            <v>بولص</v>
          </cell>
          <cell r="M2381" t="str">
            <v>C3052</v>
          </cell>
          <cell r="AC2381">
            <v>36.558105470000001</v>
          </cell>
          <cell r="AD2381">
            <v>34.984924319999998</v>
          </cell>
        </row>
        <row r="2382">
          <cell r="L2382" t="str">
            <v>بيرين</v>
          </cell>
          <cell r="M2382" t="str">
            <v>C3053</v>
          </cell>
          <cell r="AC2382">
            <v>36.669494630000003</v>
          </cell>
          <cell r="AD2382">
            <v>35.0098877</v>
          </cell>
        </row>
        <row r="2383">
          <cell r="L2383" t="str">
            <v>الحميري</v>
          </cell>
          <cell r="M2383" t="str">
            <v>C3054</v>
          </cell>
          <cell r="AC2383">
            <v>36.502929690000002</v>
          </cell>
          <cell r="AD2383">
            <v>34.974914550000001</v>
          </cell>
        </row>
        <row r="2384">
          <cell r="L2384" t="str">
            <v>الصومعة</v>
          </cell>
          <cell r="M2384" t="str">
            <v>C3055</v>
          </cell>
          <cell r="AC2384">
            <v>36.471923830000001</v>
          </cell>
          <cell r="AD2384">
            <v>35.047729490000002</v>
          </cell>
        </row>
        <row r="2385">
          <cell r="L2385" t="str">
            <v>الموعة</v>
          </cell>
          <cell r="M2385" t="str">
            <v>C3056</v>
          </cell>
          <cell r="AC2385">
            <v>36.576904300000002</v>
          </cell>
          <cell r="AD2385">
            <v>35.026672359999999</v>
          </cell>
        </row>
        <row r="2386">
          <cell r="L2386" t="str">
            <v>جافعا</v>
          </cell>
          <cell r="M2386" t="str">
            <v>C3057</v>
          </cell>
          <cell r="AC2386">
            <v>36.595886229999998</v>
          </cell>
          <cell r="AD2386">
            <v>35.010498050000002</v>
          </cell>
        </row>
        <row r="2387">
          <cell r="L2387" t="str">
            <v>خربة القصر</v>
          </cell>
          <cell r="M2387" t="str">
            <v>C3058</v>
          </cell>
          <cell r="AC2387">
            <v>36.536682130000003</v>
          </cell>
          <cell r="AD2387">
            <v>34.985473630000001</v>
          </cell>
        </row>
        <row r="2388">
          <cell r="L2388" t="str">
            <v>جدرين</v>
          </cell>
          <cell r="M2388" t="str">
            <v>C3061</v>
          </cell>
          <cell r="AC2388">
            <v>36.581726070000002</v>
          </cell>
          <cell r="AD2388">
            <v>34.95129395</v>
          </cell>
        </row>
        <row r="2389">
          <cell r="L2389" t="str">
            <v>خربة الجامع</v>
          </cell>
          <cell r="M2389" t="str">
            <v>C3062</v>
          </cell>
          <cell r="AC2389">
            <v>36.45288086</v>
          </cell>
          <cell r="AD2389">
            <v>34.957519529999999</v>
          </cell>
        </row>
        <row r="2390">
          <cell r="L2390" t="str">
            <v>دير الفرديس</v>
          </cell>
          <cell r="M2390" t="str">
            <v>C3063</v>
          </cell>
          <cell r="AC2390">
            <v>36.643676759999998</v>
          </cell>
          <cell r="AD2390">
            <v>34.978088380000003</v>
          </cell>
        </row>
        <row r="2391">
          <cell r="L2391" t="str">
            <v>كفر قدح</v>
          </cell>
          <cell r="M2391" t="str">
            <v>C3064</v>
          </cell>
          <cell r="AC2391">
            <v>36.538879399999999</v>
          </cell>
          <cell r="AD2391">
            <v>34.972106930000002</v>
          </cell>
        </row>
        <row r="2392">
          <cell r="L2392" t="str">
            <v>قفيلون</v>
          </cell>
          <cell r="M2392" t="str">
            <v>C3065</v>
          </cell>
          <cell r="AC2392">
            <v>36.481689449999998</v>
          </cell>
          <cell r="AD2392">
            <v>34.970886229999998</v>
          </cell>
        </row>
        <row r="2393">
          <cell r="L2393" t="str">
            <v>موسى الحوله</v>
          </cell>
          <cell r="M2393" t="str">
            <v>C3066</v>
          </cell>
          <cell r="AC2393">
            <v>36.560729979999998</v>
          </cell>
          <cell r="AD2393">
            <v>34.962707520000002</v>
          </cell>
        </row>
        <row r="2394">
          <cell r="L2394" t="str">
            <v>رأس العين</v>
          </cell>
          <cell r="M2394" t="str">
            <v>C3067</v>
          </cell>
          <cell r="AC2394">
            <v>37.068908690000001</v>
          </cell>
          <cell r="AD2394">
            <v>35.284484859999999</v>
          </cell>
        </row>
        <row r="2395">
          <cell r="L2395" t="str">
            <v>بيوض</v>
          </cell>
          <cell r="M2395" t="str">
            <v>C3068</v>
          </cell>
          <cell r="AC2395">
            <v>37.358886720000001</v>
          </cell>
          <cell r="AD2395">
            <v>35.492492679999998</v>
          </cell>
        </row>
        <row r="2396">
          <cell r="L2396" t="str">
            <v>ربدة</v>
          </cell>
          <cell r="M2396" t="str">
            <v>C3069</v>
          </cell>
          <cell r="AC2396">
            <v>37.052490229999997</v>
          </cell>
          <cell r="AD2396">
            <v>35.385925290000003</v>
          </cell>
        </row>
        <row r="2397">
          <cell r="L2397" t="str">
            <v>دلة</v>
          </cell>
          <cell r="M2397" t="str">
            <v>C3070</v>
          </cell>
          <cell r="AC2397">
            <v>37.176330569999998</v>
          </cell>
          <cell r="AD2397">
            <v>35.495727539999997</v>
          </cell>
        </row>
        <row r="2398">
          <cell r="L2398" t="str">
            <v>رسم الضاهرية</v>
          </cell>
          <cell r="M2398" t="str">
            <v>C3071</v>
          </cell>
          <cell r="AC2398">
            <v>37.279907229999999</v>
          </cell>
          <cell r="AD2398">
            <v>35.431091309999999</v>
          </cell>
        </row>
        <row r="2399">
          <cell r="L2399" t="str">
            <v>الالا</v>
          </cell>
          <cell r="M2399" t="str">
            <v>C3072</v>
          </cell>
          <cell r="AC2399">
            <v>37.10913086</v>
          </cell>
          <cell r="AD2399">
            <v>35.305908199999998</v>
          </cell>
        </row>
        <row r="2400">
          <cell r="L2400" t="str">
            <v>ثروة_تروت</v>
          </cell>
          <cell r="M2400" t="str">
            <v>C3073</v>
          </cell>
          <cell r="AC2400">
            <v>37.3125</v>
          </cell>
          <cell r="AD2400">
            <v>35.404296879999997</v>
          </cell>
        </row>
        <row r="2401">
          <cell r="L2401" t="str">
            <v>جب العثمان</v>
          </cell>
          <cell r="M2401" t="str">
            <v>C3074</v>
          </cell>
          <cell r="AC2401">
            <v>37.237487790000003</v>
          </cell>
          <cell r="AD2401">
            <v>35.5020752</v>
          </cell>
        </row>
        <row r="2402">
          <cell r="L2402" t="str">
            <v>الزغبة</v>
          </cell>
          <cell r="M2402" t="str">
            <v>C3075</v>
          </cell>
          <cell r="AC2402">
            <v>36.960083009999998</v>
          </cell>
          <cell r="AD2402">
            <v>35.380126949999998</v>
          </cell>
        </row>
        <row r="2403">
          <cell r="L2403" t="str">
            <v>دوما</v>
          </cell>
          <cell r="M2403" t="str">
            <v>C3076</v>
          </cell>
          <cell r="AC2403">
            <v>37.003112790000003</v>
          </cell>
          <cell r="AD2403">
            <v>35.34008789</v>
          </cell>
        </row>
        <row r="2404">
          <cell r="L2404" t="str">
            <v>رسم الورد</v>
          </cell>
          <cell r="M2404" t="str">
            <v>C3078</v>
          </cell>
          <cell r="AC2404">
            <v>37.286926270000002</v>
          </cell>
          <cell r="AD2404">
            <v>35.449279789999999</v>
          </cell>
        </row>
        <row r="2405">
          <cell r="L2405" t="str">
            <v>أم زهمك</v>
          </cell>
          <cell r="M2405" t="str">
            <v>C3079</v>
          </cell>
          <cell r="AC2405">
            <v>37.23669434</v>
          </cell>
          <cell r="AD2405">
            <v>35.453125</v>
          </cell>
        </row>
        <row r="2406">
          <cell r="L2406" t="str">
            <v>جانات الصوارنة</v>
          </cell>
          <cell r="M2406" t="str">
            <v>C3080</v>
          </cell>
          <cell r="AC2406">
            <v>37.167297359999999</v>
          </cell>
          <cell r="AD2406">
            <v>35.333679199999999</v>
          </cell>
        </row>
        <row r="2407">
          <cell r="L2407" t="str">
            <v>أم تريكية القبلية</v>
          </cell>
          <cell r="M2407" t="str">
            <v>C3081</v>
          </cell>
          <cell r="AC2407">
            <v>37.061706540000003</v>
          </cell>
          <cell r="AD2407">
            <v>35.262512209999997</v>
          </cell>
        </row>
        <row r="2408">
          <cell r="L2408" t="str">
            <v>الرحية</v>
          </cell>
          <cell r="M2408" t="str">
            <v>C3082</v>
          </cell>
          <cell r="AC2408">
            <v>37.106689449999998</v>
          </cell>
          <cell r="AD2408">
            <v>35.244689940000001</v>
          </cell>
        </row>
        <row r="2409">
          <cell r="L2409" t="str">
            <v>جب الصفا</v>
          </cell>
          <cell r="M2409" t="str">
            <v>C3083</v>
          </cell>
          <cell r="AC2409">
            <v>37.168701169999999</v>
          </cell>
          <cell r="AD2409">
            <v>35.441284179999997</v>
          </cell>
        </row>
        <row r="2410">
          <cell r="L2410" t="str">
            <v>البارودية</v>
          </cell>
          <cell r="M2410" t="str">
            <v>C3084</v>
          </cell>
          <cell r="AC2410">
            <v>37.223876949999998</v>
          </cell>
          <cell r="AD2410">
            <v>35.525329589999998</v>
          </cell>
        </row>
        <row r="2411">
          <cell r="L2411" t="str">
            <v>عزيزية</v>
          </cell>
          <cell r="M2411" t="str">
            <v>C3085</v>
          </cell>
          <cell r="AC2411">
            <v>37.185119630000003</v>
          </cell>
          <cell r="AD2411">
            <v>35.516113279999999</v>
          </cell>
        </row>
        <row r="2412">
          <cell r="L2412" t="str">
            <v>طوال دباغين</v>
          </cell>
          <cell r="M2412" t="str">
            <v>C3086</v>
          </cell>
          <cell r="AC2412">
            <v>37.166076660000002</v>
          </cell>
          <cell r="AD2412">
            <v>35.318115229999997</v>
          </cell>
        </row>
        <row r="2413">
          <cell r="L2413" t="str">
            <v>طليحات</v>
          </cell>
          <cell r="M2413" t="str">
            <v>C3087</v>
          </cell>
          <cell r="AC2413">
            <v>37.281311039999999</v>
          </cell>
          <cell r="AD2413">
            <v>35.314880369999997</v>
          </cell>
        </row>
        <row r="2414">
          <cell r="L2414" t="str">
            <v>المجدوعة_جدوعة شمالية</v>
          </cell>
          <cell r="M2414" t="str">
            <v>C3088</v>
          </cell>
          <cell r="AC2414">
            <v>37.233886720000001</v>
          </cell>
          <cell r="AD2414">
            <v>35.546691899999999</v>
          </cell>
        </row>
        <row r="2415">
          <cell r="L2415" t="str">
            <v>العنز</v>
          </cell>
          <cell r="M2415" t="str">
            <v>C3089</v>
          </cell>
          <cell r="AC2415">
            <v>37.020874020000001</v>
          </cell>
          <cell r="AD2415">
            <v>35.260498050000002</v>
          </cell>
        </row>
        <row r="2416">
          <cell r="L2416" t="str">
            <v>حوايس أم جرن</v>
          </cell>
          <cell r="M2416" t="str">
            <v>C3090</v>
          </cell>
          <cell r="AC2416">
            <v>37.124694820000002</v>
          </cell>
          <cell r="AD2416">
            <v>35.427124020000001</v>
          </cell>
        </row>
        <row r="2417">
          <cell r="L2417" t="str">
            <v>عرفه</v>
          </cell>
          <cell r="M2417" t="str">
            <v>C3091</v>
          </cell>
          <cell r="AC2417">
            <v>37.023498539999999</v>
          </cell>
          <cell r="AD2417">
            <v>35.38189697</v>
          </cell>
        </row>
        <row r="2418">
          <cell r="L2418" t="str">
            <v>الفيضة</v>
          </cell>
          <cell r="M2418" t="str">
            <v>C3092</v>
          </cell>
          <cell r="AC2418">
            <v>37.215698240000002</v>
          </cell>
          <cell r="AD2418">
            <v>35.483093259999997</v>
          </cell>
        </row>
        <row r="2419">
          <cell r="L2419" t="str">
            <v>الطرفاوي</v>
          </cell>
          <cell r="M2419" t="str">
            <v>C3093</v>
          </cell>
          <cell r="AC2419">
            <v>37.205505369999997</v>
          </cell>
          <cell r="AD2419">
            <v>35.533874509999997</v>
          </cell>
        </row>
        <row r="2420">
          <cell r="L2420" t="str">
            <v>شيحة الحمراء</v>
          </cell>
          <cell r="M2420" t="str">
            <v>C3094</v>
          </cell>
          <cell r="AC2420">
            <v>37.22290039</v>
          </cell>
          <cell r="AD2420">
            <v>35.342529300000002</v>
          </cell>
        </row>
        <row r="2421">
          <cell r="L2421" t="str">
            <v>القناطر</v>
          </cell>
          <cell r="M2421" t="str">
            <v>C3095</v>
          </cell>
          <cell r="AC2421">
            <v>37.233093259999997</v>
          </cell>
          <cell r="AD2421">
            <v>35.471130369999997</v>
          </cell>
        </row>
        <row r="2422">
          <cell r="L2422" t="str">
            <v>الحمراء</v>
          </cell>
          <cell r="M2422" t="str">
            <v>C3096</v>
          </cell>
          <cell r="AC2422">
            <v>37.088073729999998</v>
          </cell>
          <cell r="AD2422">
            <v>35.312072749999999</v>
          </cell>
        </row>
        <row r="2423">
          <cell r="L2423" t="str">
            <v>الهيمانية_الهيجانة</v>
          </cell>
          <cell r="M2423" t="str">
            <v>C3097</v>
          </cell>
          <cell r="AC2423">
            <v>37.255676270000002</v>
          </cell>
          <cell r="AD2423">
            <v>35.492309570000003</v>
          </cell>
        </row>
        <row r="2424">
          <cell r="L2424" t="str">
            <v>أبو عجوة</v>
          </cell>
          <cell r="M2424" t="str">
            <v>C3098</v>
          </cell>
          <cell r="AC2424">
            <v>37.200683589999997</v>
          </cell>
          <cell r="AD2424">
            <v>35.367919919999999</v>
          </cell>
        </row>
        <row r="2425">
          <cell r="L2425" t="str">
            <v>السماقية القبلية</v>
          </cell>
          <cell r="M2425" t="str">
            <v>C3099</v>
          </cell>
          <cell r="AC2425">
            <v>37.012084960000003</v>
          </cell>
          <cell r="AD2425">
            <v>35.304321289999997</v>
          </cell>
        </row>
        <row r="2426">
          <cell r="L2426" t="str">
            <v>جنينة</v>
          </cell>
          <cell r="M2426" t="str">
            <v>C3100</v>
          </cell>
          <cell r="AC2426">
            <v>37.297302250000001</v>
          </cell>
          <cell r="AD2426">
            <v>35.483520509999998</v>
          </cell>
        </row>
        <row r="2427">
          <cell r="L2427" t="str">
            <v>حزم</v>
          </cell>
          <cell r="M2427" t="str">
            <v>C3101</v>
          </cell>
          <cell r="AC2427">
            <v>37.025085449999999</v>
          </cell>
          <cell r="AD2427">
            <v>35.370727539999997</v>
          </cell>
        </row>
        <row r="2428">
          <cell r="L2428" t="str">
            <v>سروج</v>
          </cell>
          <cell r="M2428" t="str">
            <v>C3102</v>
          </cell>
          <cell r="AC2428">
            <v>37.203125</v>
          </cell>
          <cell r="AD2428">
            <v>35.320678710000003</v>
          </cell>
        </row>
        <row r="2429">
          <cell r="L2429" t="str">
            <v>قصر علي</v>
          </cell>
          <cell r="M2429" t="str">
            <v>C3104</v>
          </cell>
          <cell r="AC2429">
            <v>37.026123050000002</v>
          </cell>
          <cell r="AD2429">
            <v>35.401916499999999</v>
          </cell>
        </row>
        <row r="2430">
          <cell r="L2430" t="str">
            <v>قصر بن وردان</v>
          </cell>
          <cell r="M2430" t="str">
            <v>C3105</v>
          </cell>
          <cell r="AC2430">
            <v>37.248901369999999</v>
          </cell>
          <cell r="AD2430">
            <v>35.37890625</v>
          </cell>
        </row>
        <row r="2431">
          <cell r="L2431" t="str">
            <v>مويلح الصوارنة</v>
          </cell>
          <cell r="M2431" t="str">
            <v>C3106</v>
          </cell>
          <cell r="AC2431">
            <v>37.143127440000001</v>
          </cell>
          <cell r="AD2431">
            <v>35.339721679999997</v>
          </cell>
        </row>
        <row r="2432">
          <cell r="L2432" t="str">
            <v>معرشمالي</v>
          </cell>
          <cell r="M2432" t="str">
            <v>C3107</v>
          </cell>
          <cell r="AC2432">
            <v>37.36212158</v>
          </cell>
          <cell r="AD2432">
            <v>35.403076169999999</v>
          </cell>
        </row>
        <row r="2433">
          <cell r="L2433" t="str">
            <v>ملولح</v>
          </cell>
          <cell r="M2433" t="str">
            <v>C3108</v>
          </cell>
          <cell r="AC2433">
            <v>37.203918459999997</v>
          </cell>
          <cell r="AD2433">
            <v>35.489074709999997</v>
          </cell>
        </row>
        <row r="2434">
          <cell r="L2434" t="str">
            <v>أبو كليفون</v>
          </cell>
          <cell r="M2434" t="str">
            <v>C3109</v>
          </cell>
          <cell r="AC2434">
            <v>36.245483399999998</v>
          </cell>
          <cell r="AD2434">
            <v>35.37268066</v>
          </cell>
        </row>
        <row r="2435">
          <cell r="L2435" t="str">
            <v>عين وريدة</v>
          </cell>
          <cell r="M2435" t="str">
            <v>C3110</v>
          </cell>
          <cell r="AC2435">
            <v>36.260925290000003</v>
          </cell>
          <cell r="AD2435">
            <v>35.37731934</v>
          </cell>
        </row>
        <row r="2436">
          <cell r="L2436" t="str">
            <v>حيالين</v>
          </cell>
          <cell r="M2436" t="str">
            <v>C3111</v>
          </cell>
          <cell r="AC2436">
            <v>36.439514160000002</v>
          </cell>
          <cell r="AD2436">
            <v>35.353515629999997</v>
          </cell>
        </row>
        <row r="2437">
          <cell r="L2437" t="str">
            <v>تل كمبتري</v>
          </cell>
          <cell r="M2437" t="str">
            <v>C3112</v>
          </cell>
          <cell r="AC2437">
            <v>36.32629395</v>
          </cell>
          <cell r="AD2437">
            <v>35.345092770000001</v>
          </cell>
        </row>
        <row r="2438">
          <cell r="L2438" t="str">
            <v>عبر بيت سيف</v>
          </cell>
          <cell r="M2438" t="str">
            <v>C3113</v>
          </cell>
          <cell r="AC2438">
            <v>36.316894529999999</v>
          </cell>
          <cell r="AD2438">
            <v>35.378478999999999</v>
          </cell>
        </row>
        <row r="2439">
          <cell r="L2439" t="str">
            <v>السقيلبية</v>
          </cell>
          <cell r="M2439" t="str">
            <v>C3114</v>
          </cell>
          <cell r="AC2439">
            <v>36.393920899999998</v>
          </cell>
          <cell r="AD2439">
            <v>35.361877440000001</v>
          </cell>
        </row>
        <row r="2440">
          <cell r="L2440" t="str">
            <v>الخنساء_الشعثة</v>
          </cell>
          <cell r="M2440" t="str">
            <v>C3115</v>
          </cell>
          <cell r="AC2440">
            <v>36.311889649999998</v>
          </cell>
          <cell r="AD2440">
            <v>35.365112310000001</v>
          </cell>
        </row>
        <row r="2441">
          <cell r="L2441" t="str">
            <v>صلبا</v>
          </cell>
          <cell r="M2441" t="str">
            <v>C3116</v>
          </cell>
          <cell r="AC2441">
            <v>36.444885249999999</v>
          </cell>
          <cell r="AD2441">
            <v>35.334899900000003</v>
          </cell>
        </row>
        <row r="2442">
          <cell r="L2442" t="str">
            <v>عناب</v>
          </cell>
          <cell r="M2442" t="str">
            <v>C3117</v>
          </cell>
          <cell r="AC2442">
            <v>36.23828125</v>
          </cell>
          <cell r="AD2442">
            <v>35.428894040000003</v>
          </cell>
        </row>
        <row r="2443">
          <cell r="L2443" t="str">
            <v>بلونة</v>
          </cell>
          <cell r="M2443" t="str">
            <v>C3118</v>
          </cell>
          <cell r="AC2443">
            <v>36.27227783</v>
          </cell>
          <cell r="AD2443">
            <v>35.33569336</v>
          </cell>
        </row>
        <row r="2444">
          <cell r="L2444" t="str">
            <v>تل التتن</v>
          </cell>
          <cell r="M2444" t="str">
            <v>C3119</v>
          </cell>
          <cell r="AC2444">
            <v>36.347473149999999</v>
          </cell>
          <cell r="AD2444">
            <v>35.354125979999999</v>
          </cell>
        </row>
        <row r="2445">
          <cell r="L2445" t="str">
            <v>جرنية الطار</v>
          </cell>
          <cell r="M2445" t="str">
            <v>C3120</v>
          </cell>
          <cell r="AC2445">
            <v>36.423889160000002</v>
          </cell>
          <cell r="AD2445">
            <v>35.375488279999999</v>
          </cell>
        </row>
        <row r="2446">
          <cell r="L2446" t="str">
            <v>بريديج</v>
          </cell>
          <cell r="M2446" t="str">
            <v>C3121</v>
          </cell>
          <cell r="AC2446">
            <v>36.458923339999998</v>
          </cell>
          <cell r="AD2446">
            <v>35.388488770000002</v>
          </cell>
        </row>
        <row r="2447">
          <cell r="L2447" t="str">
            <v>حورات عمورين</v>
          </cell>
          <cell r="M2447" t="str">
            <v>C3122</v>
          </cell>
          <cell r="AC2447">
            <v>36.366882320000002</v>
          </cell>
          <cell r="AD2447">
            <v>35.332519529999999</v>
          </cell>
        </row>
        <row r="2448">
          <cell r="L2448" t="str">
            <v>عين الكروم</v>
          </cell>
          <cell r="M2448" t="str">
            <v>C3123</v>
          </cell>
          <cell r="AC2448">
            <v>36.276489259999998</v>
          </cell>
          <cell r="AD2448">
            <v>35.351074220000001</v>
          </cell>
        </row>
        <row r="2449">
          <cell r="L2449" t="str">
            <v>طاحونة الحلاوة</v>
          </cell>
          <cell r="M2449" t="str">
            <v>C3124</v>
          </cell>
          <cell r="AC2449">
            <v>36.254699709999997</v>
          </cell>
          <cell r="AD2449">
            <v>35.385070800000001</v>
          </cell>
        </row>
        <row r="2450">
          <cell r="L2450" t="str">
            <v>ساقية نجم</v>
          </cell>
          <cell r="M2450" t="str">
            <v>C3125</v>
          </cell>
          <cell r="AC2450">
            <v>36.271911619999997</v>
          </cell>
          <cell r="AD2450">
            <v>35.365112310000001</v>
          </cell>
        </row>
        <row r="2451">
          <cell r="L2451" t="str">
            <v>الشجر</v>
          </cell>
          <cell r="M2451" t="str">
            <v>C3126</v>
          </cell>
          <cell r="AC2451">
            <v>36.307312009999997</v>
          </cell>
          <cell r="AD2451">
            <v>35.389282229999999</v>
          </cell>
        </row>
        <row r="2452">
          <cell r="L2452" t="str">
            <v>عوينة</v>
          </cell>
          <cell r="M2452" t="str">
            <v>C3127</v>
          </cell>
          <cell r="AC2452">
            <v>36.434082029999999</v>
          </cell>
          <cell r="AD2452">
            <v>35.319519040000003</v>
          </cell>
        </row>
        <row r="2453">
          <cell r="L2453" t="str">
            <v>الخندق الشرقي</v>
          </cell>
          <cell r="M2453" t="str">
            <v>C3128</v>
          </cell>
          <cell r="AC2453">
            <v>36.308288570000002</v>
          </cell>
          <cell r="AD2453">
            <v>35.40649414</v>
          </cell>
        </row>
        <row r="2454">
          <cell r="L2454" t="str">
            <v>الخندق الغربي</v>
          </cell>
          <cell r="M2454" t="str">
            <v>C3129</v>
          </cell>
          <cell r="AC2454">
            <v>36.31091309</v>
          </cell>
          <cell r="AD2454">
            <v>35.417297359999999</v>
          </cell>
        </row>
        <row r="2455">
          <cell r="L2455" t="str">
            <v>الشحطة</v>
          </cell>
          <cell r="M2455" t="str">
            <v>C3130</v>
          </cell>
          <cell r="AC2455">
            <v>36.2833252</v>
          </cell>
          <cell r="AD2455">
            <v>35.334472660000003</v>
          </cell>
        </row>
        <row r="2456">
          <cell r="L2456" t="str">
            <v>نبع الطيب</v>
          </cell>
          <cell r="M2456" t="str">
            <v>C3131</v>
          </cell>
          <cell r="AC2456">
            <v>36.247070309999998</v>
          </cell>
          <cell r="AD2456">
            <v>35.403686520000001</v>
          </cell>
        </row>
        <row r="2457">
          <cell r="L2457" t="str">
            <v>قلعة الجراص</v>
          </cell>
          <cell r="M2457" t="str">
            <v>C3132</v>
          </cell>
          <cell r="AC2457">
            <v>36.302673339999998</v>
          </cell>
          <cell r="AD2457">
            <v>35.329895020000002</v>
          </cell>
        </row>
        <row r="2458">
          <cell r="L2458" t="str">
            <v>مشتى الشلاهمة</v>
          </cell>
          <cell r="M2458" t="str">
            <v>C3133</v>
          </cell>
          <cell r="AC2458">
            <v>36.25549316</v>
          </cell>
          <cell r="AD2458">
            <v>35.348693849999997</v>
          </cell>
        </row>
        <row r="2459">
          <cell r="L2459" t="str">
            <v>عمورين</v>
          </cell>
          <cell r="M2459" t="str">
            <v>C3134</v>
          </cell>
          <cell r="AC2459">
            <v>36.381103520000003</v>
          </cell>
          <cell r="AD2459">
            <v>35.322082520000002</v>
          </cell>
        </row>
        <row r="2460">
          <cell r="L2460" t="str">
            <v>بيرة الجبل</v>
          </cell>
          <cell r="M2460" t="str">
            <v>C3135</v>
          </cell>
          <cell r="AC2460">
            <v>36.29571533</v>
          </cell>
          <cell r="AD2460">
            <v>35.237487790000003</v>
          </cell>
        </row>
        <row r="2461">
          <cell r="L2461" t="str">
            <v>أبو قبيس</v>
          </cell>
          <cell r="M2461" t="str">
            <v>C3136</v>
          </cell>
          <cell r="AC2461">
            <v>36.314880369999997</v>
          </cell>
          <cell r="AD2461">
            <v>35.23529053</v>
          </cell>
        </row>
        <row r="2462">
          <cell r="L2462" t="str">
            <v>الكنائس</v>
          </cell>
          <cell r="M2462" t="str">
            <v>C3137</v>
          </cell>
          <cell r="AC2462">
            <v>36.30310059</v>
          </cell>
          <cell r="AD2462">
            <v>35.214477539999997</v>
          </cell>
        </row>
        <row r="2463">
          <cell r="L2463" t="str">
            <v>اللطمة</v>
          </cell>
          <cell r="M2463" t="str">
            <v>C3138</v>
          </cell>
          <cell r="AC2463">
            <v>36.360473630000001</v>
          </cell>
          <cell r="AD2463">
            <v>35.33410645</v>
          </cell>
        </row>
        <row r="2464">
          <cell r="L2464" t="str">
            <v>رسم الجرن</v>
          </cell>
          <cell r="M2464" t="str">
            <v>C3139</v>
          </cell>
          <cell r="AC2464">
            <v>36.347717289999999</v>
          </cell>
          <cell r="AD2464">
            <v>35.333923339999998</v>
          </cell>
        </row>
        <row r="2465">
          <cell r="L2465" t="str">
            <v>عشارنة</v>
          </cell>
          <cell r="M2465" t="str">
            <v>C3140</v>
          </cell>
          <cell r="AC2465">
            <v>36.399475099999997</v>
          </cell>
          <cell r="AD2465">
            <v>35.289123539999999</v>
          </cell>
        </row>
        <row r="2466">
          <cell r="L2466" t="str">
            <v>الحوائق شمالي وجنوبي</v>
          </cell>
          <cell r="M2466" t="str">
            <v>C3141</v>
          </cell>
          <cell r="AC2466">
            <v>36.345886229999998</v>
          </cell>
          <cell r="AD2466">
            <v>35.328674319999998</v>
          </cell>
        </row>
        <row r="2467">
          <cell r="L2467" t="str">
            <v>التوبة</v>
          </cell>
          <cell r="M2467" t="str">
            <v>C3142</v>
          </cell>
          <cell r="AC2467">
            <v>36.324523929999998</v>
          </cell>
          <cell r="AD2467">
            <v>35.316101070000002</v>
          </cell>
        </row>
        <row r="2468">
          <cell r="L2468" t="str">
            <v>تمازة</v>
          </cell>
          <cell r="M2468" t="str">
            <v>C3143</v>
          </cell>
          <cell r="AC2468">
            <v>36.252685550000002</v>
          </cell>
          <cell r="AD2468">
            <v>35.2677002</v>
          </cell>
        </row>
        <row r="2469">
          <cell r="L2469" t="str">
            <v>المزحل</v>
          </cell>
          <cell r="M2469" t="str">
            <v>C3144</v>
          </cell>
          <cell r="AC2469">
            <v>36.33111572</v>
          </cell>
          <cell r="AD2469">
            <v>35.30627441</v>
          </cell>
        </row>
        <row r="2470">
          <cell r="L2470" t="str">
            <v>تل سلحب</v>
          </cell>
          <cell r="M2470" t="str">
            <v>C3145</v>
          </cell>
          <cell r="AC2470">
            <v>36.382690429999997</v>
          </cell>
          <cell r="AD2470">
            <v>35.257080080000001</v>
          </cell>
        </row>
        <row r="2471">
          <cell r="L2471" t="str">
            <v>عين الجرن</v>
          </cell>
          <cell r="M2471" t="str">
            <v>C3146</v>
          </cell>
          <cell r="AC2471">
            <v>36.349121089999997</v>
          </cell>
          <cell r="AD2471">
            <v>35.237304690000002</v>
          </cell>
        </row>
        <row r="2472">
          <cell r="L2472" t="str">
            <v>الخرائب</v>
          </cell>
          <cell r="M2472" t="str">
            <v>C3147</v>
          </cell>
          <cell r="AC2472">
            <v>36.30950928</v>
          </cell>
          <cell r="AD2472">
            <v>35.229675290000003</v>
          </cell>
        </row>
        <row r="2473">
          <cell r="L2473" t="str">
            <v>أبو فرج</v>
          </cell>
          <cell r="M2473" t="str">
            <v>C3148</v>
          </cell>
          <cell r="AC2473">
            <v>36.361083979999997</v>
          </cell>
          <cell r="AD2473">
            <v>35.311706540000003</v>
          </cell>
        </row>
        <row r="2474">
          <cell r="L2474" t="str">
            <v>حير المسيل</v>
          </cell>
          <cell r="M2474" t="str">
            <v>C3149</v>
          </cell>
          <cell r="AC2474">
            <v>36.333923339999998</v>
          </cell>
          <cell r="AD2474">
            <v>35.268310550000002</v>
          </cell>
        </row>
        <row r="2475">
          <cell r="L2475" t="str">
            <v>نهر البارد</v>
          </cell>
          <cell r="M2475" t="str">
            <v>C3150</v>
          </cell>
          <cell r="AC2475">
            <v>36.343322749999999</v>
          </cell>
          <cell r="AD2475">
            <v>35.29272461</v>
          </cell>
        </row>
        <row r="2476">
          <cell r="L2476" t="str">
            <v>السنديانة</v>
          </cell>
          <cell r="M2476" t="str">
            <v>C3151</v>
          </cell>
          <cell r="AC2476">
            <v>36.257507320000002</v>
          </cell>
          <cell r="AD2476">
            <v>35.73712158</v>
          </cell>
        </row>
        <row r="2477">
          <cell r="L2477" t="str">
            <v>عين الحمام</v>
          </cell>
          <cell r="M2477" t="str">
            <v>C3152</v>
          </cell>
          <cell r="AC2477">
            <v>36.26171875</v>
          </cell>
          <cell r="AD2477">
            <v>35.63970947</v>
          </cell>
        </row>
        <row r="2478">
          <cell r="L2478" t="str">
            <v>الصفصافة</v>
          </cell>
          <cell r="M2478" t="str">
            <v>C3153</v>
          </cell>
          <cell r="AC2478">
            <v>36.273071289999997</v>
          </cell>
          <cell r="AD2478">
            <v>35.691711429999998</v>
          </cell>
        </row>
        <row r="2479">
          <cell r="L2479" t="str">
            <v>العمقية تحتا</v>
          </cell>
          <cell r="M2479" t="str">
            <v>C3154</v>
          </cell>
          <cell r="AC2479">
            <v>36.392272949999999</v>
          </cell>
          <cell r="AD2479">
            <v>35.573120119999999</v>
          </cell>
        </row>
        <row r="2480">
          <cell r="L2480" t="str">
            <v>العنكاوي</v>
          </cell>
          <cell r="M2480" t="str">
            <v>C3155</v>
          </cell>
          <cell r="AC2480">
            <v>36.38787842</v>
          </cell>
          <cell r="AD2480">
            <v>35.596679690000002</v>
          </cell>
        </row>
        <row r="2481">
          <cell r="L2481" t="str">
            <v>دقماق</v>
          </cell>
          <cell r="M2481" t="str">
            <v>C3156</v>
          </cell>
          <cell r="AC2481">
            <v>36.38830566</v>
          </cell>
          <cell r="AD2481">
            <v>35.644470220000002</v>
          </cell>
        </row>
        <row r="2482">
          <cell r="L2482" t="str">
            <v>تل واسط</v>
          </cell>
          <cell r="M2482" t="str">
            <v>C3157</v>
          </cell>
          <cell r="AC2482">
            <v>36.343688970000002</v>
          </cell>
          <cell r="AD2482">
            <v>35.66247559</v>
          </cell>
        </row>
        <row r="2483">
          <cell r="L2483" t="str">
            <v>دوير الأكراد</v>
          </cell>
          <cell r="M2483" t="str">
            <v>C3158</v>
          </cell>
          <cell r="AC2483">
            <v>36.260314940000001</v>
          </cell>
          <cell r="AD2483">
            <v>35.722473149999999</v>
          </cell>
        </row>
        <row r="2484">
          <cell r="L2484" t="str">
            <v>سرمانية</v>
          </cell>
          <cell r="M2484" t="str">
            <v>C3159</v>
          </cell>
          <cell r="AC2484">
            <v>36.277893069999998</v>
          </cell>
          <cell r="AD2484">
            <v>35.722290039999997</v>
          </cell>
        </row>
        <row r="2485">
          <cell r="L2485" t="str">
            <v>المنصورة</v>
          </cell>
          <cell r="M2485" t="str">
            <v>C3160</v>
          </cell>
          <cell r="AC2485">
            <v>36.349487310000001</v>
          </cell>
          <cell r="AD2485">
            <v>35.648498539999999</v>
          </cell>
        </row>
        <row r="2486">
          <cell r="L2486" t="str">
            <v>زيزون</v>
          </cell>
          <cell r="M2486" t="str">
            <v>C3161</v>
          </cell>
          <cell r="AC2486">
            <v>36.377685550000002</v>
          </cell>
          <cell r="AD2486">
            <v>35.699890140000001</v>
          </cell>
        </row>
        <row r="2487">
          <cell r="L2487" t="str">
            <v>خربة الناقوس</v>
          </cell>
          <cell r="M2487" t="str">
            <v>C3162</v>
          </cell>
          <cell r="AC2487">
            <v>36.325683589999997</v>
          </cell>
          <cell r="AD2487">
            <v>35.646911619999997</v>
          </cell>
        </row>
        <row r="2488">
          <cell r="L2488" t="str">
            <v>البركة</v>
          </cell>
          <cell r="M2488" t="str">
            <v>C3163</v>
          </cell>
          <cell r="AC2488">
            <v>36.27111816</v>
          </cell>
          <cell r="AD2488">
            <v>35.674499509999997</v>
          </cell>
        </row>
        <row r="2489">
          <cell r="L2489" t="str">
            <v>البحصة</v>
          </cell>
          <cell r="M2489" t="str">
            <v>C3165</v>
          </cell>
          <cell r="AC2489">
            <v>36.276306150000003</v>
          </cell>
          <cell r="AD2489">
            <v>35.679870610000002</v>
          </cell>
        </row>
        <row r="2490">
          <cell r="L2490" t="str">
            <v>الزيارة</v>
          </cell>
          <cell r="M2490" t="str">
            <v>C3166</v>
          </cell>
          <cell r="AC2490">
            <v>36.338073729999998</v>
          </cell>
          <cell r="AD2490">
            <v>35.689514160000002</v>
          </cell>
        </row>
        <row r="2491">
          <cell r="L2491" t="str">
            <v>قليدين</v>
          </cell>
          <cell r="M2491" t="str">
            <v>C3167</v>
          </cell>
          <cell r="AC2491">
            <v>36.385314940000001</v>
          </cell>
          <cell r="AD2491">
            <v>35.612915039999997</v>
          </cell>
        </row>
        <row r="2492">
          <cell r="L2492" t="str">
            <v>قرقور</v>
          </cell>
          <cell r="M2492" t="str">
            <v>C3168</v>
          </cell>
          <cell r="AC2492">
            <v>36.321289059999998</v>
          </cell>
          <cell r="AD2492">
            <v>35.743286130000001</v>
          </cell>
        </row>
        <row r="2493">
          <cell r="L2493" t="str">
            <v>قسطون</v>
          </cell>
          <cell r="M2493" t="str">
            <v>C3170</v>
          </cell>
          <cell r="AC2493">
            <v>36.389282229999999</v>
          </cell>
          <cell r="AD2493">
            <v>35.685729979999998</v>
          </cell>
        </row>
        <row r="2494">
          <cell r="L2494" t="str">
            <v>فورة</v>
          </cell>
          <cell r="M2494" t="str">
            <v>C3172</v>
          </cell>
          <cell r="AC2494">
            <v>36.280700680000002</v>
          </cell>
          <cell r="AD2494">
            <v>35.71252441</v>
          </cell>
        </row>
        <row r="2495">
          <cell r="L2495" t="str">
            <v>عين جورين</v>
          </cell>
          <cell r="M2495" t="str">
            <v>C3174</v>
          </cell>
          <cell r="AC2495">
            <v>36.239318849999997</v>
          </cell>
          <cell r="AD2495">
            <v>35.619689940000001</v>
          </cell>
        </row>
        <row r="2496">
          <cell r="L2496" t="str">
            <v>الحيدرية_استركة</v>
          </cell>
          <cell r="M2496" t="str">
            <v>C3175</v>
          </cell>
          <cell r="AC2496">
            <v>36.254699709999997</v>
          </cell>
          <cell r="AD2496">
            <v>35.467285160000003</v>
          </cell>
        </row>
        <row r="2497">
          <cell r="L2497" t="str">
            <v>جب الغار</v>
          </cell>
          <cell r="M2497" t="str">
            <v>C3176</v>
          </cell>
          <cell r="AC2497">
            <v>36.224487310000001</v>
          </cell>
          <cell r="AD2497">
            <v>35.638916020000003</v>
          </cell>
        </row>
        <row r="2498">
          <cell r="L2498" t="str">
            <v>جورين</v>
          </cell>
          <cell r="M2498" t="str">
            <v>C3178</v>
          </cell>
          <cell r="AC2498">
            <v>36.268310550000002</v>
          </cell>
          <cell r="AD2498">
            <v>35.615722660000003</v>
          </cell>
        </row>
        <row r="2499">
          <cell r="L2499" t="str">
            <v>شطحة التحتا</v>
          </cell>
          <cell r="M2499" t="str">
            <v>C3180</v>
          </cell>
          <cell r="AC2499">
            <v>36.243896479999997</v>
          </cell>
          <cell r="AD2499">
            <v>35.498291020000003</v>
          </cell>
        </row>
        <row r="2500">
          <cell r="L2500" t="str">
            <v>مرداش</v>
          </cell>
          <cell r="M2500" t="str">
            <v>C3181</v>
          </cell>
          <cell r="AC2500">
            <v>36.247070309999998</v>
          </cell>
          <cell r="AD2500">
            <v>35.446289059999998</v>
          </cell>
        </row>
        <row r="2501">
          <cell r="L2501" t="str">
            <v>فريكة</v>
          </cell>
          <cell r="M2501" t="str">
            <v>C3182</v>
          </cell>
          <cell r="AC2501">
            <v>36.26928711</v>
          </cell>
          <cell r="AD2501">
            <v>35.575927729999997</v>
          </cell>
        </row>
        <row r="2502">
          <cell r="L2502" t="str">
            <v>قطرة الريحان</v>
          </cell>
          <cell r="M2502" t="str">
            <v>C3183</v>
          </cell>
          <cell r="AC2502">
            <v>36.267272949999999</v>
          </cell>
          <cell r="AD2502">
            <v>35.561706540000003</v>
          </cell>
        </row>
        <row r="2503">
          <cell r="L2503" t="str">
            <v>نبل الخطيب</v>
          </cell>
          <cell r="M2503" t="str">
            <v>C3184</v>
          </cell>
          <cell r="AC2503">
            <v>36.261108399999998</v>
          </cell>
          <cell r="AD2503">
            <v>35.547302250000001</v>
          </cell>
        </row>
        <row r="2504">
          <cell r="L2504" t="str">
            <v>ناعور جورين</v>
          </cell>
          <cell r="M2504" t="str">
            <v>C3185</v>
          </cell>
          <cell r="AC2504">
            <v>36.249694820000002</v>
          </cell>
          <cell r="AD2504">
            <v>35.517517089999998</v>
          </cell>
        </row>
        <row r="2505">
          <cell r="L2505" t="str">
            <v>الكريم</v>
          </cell>
          <cell r="M2505" t="str">
            <v>C3186</v>
          </cell>
          <cell r="AC2505">
            <v>36.329528809999999</v>
          </cell>
          <cell r="AD2505">
            <v>35.438720699999998</v>
          </cell>
        </row>
        <row r="2506">
          <cell r="L2506" t="str">
            <v>الحميرات</v>
          </cell>
          <cell r="M2506" t="str">
            <v>C3187</v>
          </cell>
          <cell r="AC2506">
            <v>36.455688479999999</v>
          </cell>
          <cell r="AD2506">
            <v>35.460083009999998</v>
          </cell>
        </row>
        <row r="2507">
          <cell r="L2507" t="str">
            <v>تويني</v>
          </cell>
          <cell r="M2507" t="str">
            <v>C3188</v>
          </cell>
          <cell r="AC2507">
            <v>36.36328125</v>
          </cell>
          <cell r="AD2507">
            <v>35.42028809</v>
          </cell>
        </row>
        <row r="2508">
          <cell r="L2508" t="str">
            <v>العزيزية</v>
          </cell>
          <cell r="M2508" t="str">
            <v>C3189</v>
          </cell>
          <cell r="AC2508">
            <v>36.322875979999999</v>
          </cell>
          <cell r="AD2508">
            <v>35.521484379999997</v>
          </cell>
        </row>
        <row r="2509">
          <cell r="L2509" t="str">
            <v>دير سنبل</v>
          </cell>
          <cell r="M2509" t="str">
            <v>C3190</v>
          </cell>
          <cell r="AC2509">
            <v>36.446289059999998</v>
          </cell>
          <cell r="AD2509">
            <v>35.49908447</v>
          </cell>
        </row>
        <row r="2510">
          <cell r="L2510" t="str">
            <v>شهرناز</v>
          </cell>
          <cell r="M2510" t="str">
            <v>C3191</v>
          </cell>
          <cell r="AC2510">
            <v>36.402526860000002</v>
          </cell>
          <cell r="AD2510">
            <v>35.517089839999997</v>
          </cell>
        </row>
        <row r="2511">
          <cell r="L2511" t="str">
            <v>جماسة عديات_الشريعة</v>
          </cell>
          <cell r="M2511" t="str">
            <v>C3193</v>
          </cell>
          <cell r="AC2511">
            <v>36.353515629999997</v>
          </cell>
          <cell r="AD2511">
            <v>35.446716309999999</v>
          </cell>
        </row>
        <row r="2512">
          <cell r="L2512" t="str">
            <v>الحويز الشمالي</v>
          </cell>
          <cell r="M2512" t="str">
            <v>C3194</v>
          </cell>
          <cell r="AC2512">
            <v>36.359313970000002</v>
          </cell>
          <cell r="AD2512">
            <v>35.49908447</v>
          </cell>
        </row>
        <row r="2513">
          <cell r="L2513" t="str">
            <v>الحواش</v>
          </cell>
          <cell r="M2513" t="str">
            <v>C3195</v>
          </cell>
          <cell r="AC2513">
            <v>36.379089360000002</v>
          </cell>
          <cell r="AD2513">
            <v>35.549926759999998</v>
          </cell>
        </row>
        <row r="2514">
          <cell r="L2514" t="str">
            <v>حويجة فوقا</v>
          </cell>
          <cell r="M2514" t="str">
            <v>C3196</v>
          </cell>
          <cell r="AC2514">
            <v>36.3770752</v>
          </cell>
          <cell r="AD2514">
            <v>35.524291990000002</v>
          </cell>
        </row>
        <row r="2515">
          <cell r="L2515" t="str">
            <v>تل هواش</v>
          </cell>
          <cell r="M2515" t="str">
            <v>C3197</v>
          </cell>
          <cell r="AC2515">
            <v>36.456481930000002</v>
          </cell>
          <cell r="AD2515">
            <v>35.445495610000002</v>
          </cell>
        </row>
        <row r="2516">
          <cell r="L2516" t="str">
            <v>الحرية</v>
          </cell>
          <cell r="M2516" t="str">
            <v>C3198</v>
          </cell>
          <cell r="AC2516">
            <v>36.345703129999997</v>
          </cell>
          <cell r="AD2516">
            <v>35.50231934</v>
          </cell>
        </row>
        <row r="2517">
          <cell r="L2517" t="str">
            <v>باب الطاقة</v>
          </cell>
          <cell r="M2517" t="str">
            <v>C3199</v>
          </cell>
          <cell r="AC2517">
            <v>36.380676270000002</v>
          </cell>
          <cell r="AD2517">
            <v>35.448730470000001</v>
          </cell>
        </row>
        <row r="2518">
          <cell r="L2518" t="str">
            <v>تمانعة الغاب</v>
          </cell>
          <cell r="M2518" t="str">
            <v>C3200</v>
          </cell>
          <cell r="AC2518">
            <v>36.316711429999998</v>
          </cell>
          <cell r="AD2518">
            <v>35.53747559</v>
          </cell>
        </row>
        <row r="2519">
          <cell r="L2519" t="str">
            <v>البارد</v>
          </cell>
          <cell r="M2519" t="str">
            <v>C3201</v>
          </cell>
          <cell r="AC2519">
            <v>36.312683110000002</v>
          </cell>
          <cell r="AD2519">
            <v>35.435119630000003</v>
          </cell>
        </row>
        <row r="2520">
          <cell r="L2520" t="str">
            <v>الجيد</v>
          </cell>
          <cell r="M2520" t="str">
            <v>C3202</v>
          </cell>
          <cell r="AC2520">
            <v>36.311096190000001</v>
          </cell>
          <cell r="AD2520">
            <v>35.55310059</v>
          </cell>
        </row>
        <row r="2521">
          <cell r="L2521" t="str">
            <v>القاهرة</v>
          </cell>
          <cell r="M2521" t="str">
            <v>C3203</v>
          </cell>
          <cell r="AC2521">
            <v>36.3046875</v>
          </cell>
          <cell r="AD2521">
            <v>35.4453125</v>
          </cell>
        </row>
        <row r="2522">
          <cell r="L2522" t="str">
            <v>صهرية</v>
          </cell>
          <cell r="M2522" t="str">
            <v>C3204</v>
          </cell>
          <cell r="AC2522">
            <v>36.4296875</v>
          </cell>
          <cell r="AD2522">
            <v>35.481872559999999</v>
          </cell>
        </row>
        <row r="2523">
          <cell r="L2523" t="str">
            <v>الرصيف</v>
          </cell>
          <cell r="M2523" t="str">
            <v>C3205</v>
          </cell>
          <cell r="AC2523">
            <v>36.32330322</v>
          </cell>
          <cell r="AD2523">
            <v>35.510681150000003</v>
          </cell>
        </row>
        <row r="2524">
          <cell r="L2524" t="str">
            <v>قيراطة</v>
          </cell>
          <cell r="M2524" t="str">
            <v>C3206</v>
          </cell>
          <cell r="AC2524">
            <v>36.454528809999999</v>
          </cell>
          <cell r="AD2524">
            <v>35.473876949999998</v>
          </cell>
        </row>
        <row r="2525">
          <cell r="L2525" t="str">
            <v>قلعة المضيق</v>
          </cell>
          <cell r="M2525" t="str">
            <v>C3207</v>
          </cell>
          <cell r="AC2525">
            <v>36.389099119999997</v>
          </cell>
          <cell r="AD2525">
            <v>35.414489750000001</v>
          </cell>
        </row>
        <row r="2526">
          <cell r="L2526" t="str">
            <v>قبر فضة</v>
          </cell>
          <cell r="M2526" t="str">
            <v>C3208</v>
          </cell>
          <cell r="AC2526">
            <v>36.322326660000002</v>
          </cell>
          <cell r="AD2526">
            <v>35.489685059999999</v>
          </cell>
        </row>
        <row r="2527">
          <cell r="L2527" t="str">
            <v>كفر نبودة</v>
          </cell>
          <cell r="M2527" t="str">
            <v>C3209</v>
          </cell>
          <cell r="AC2527">
            <v>36.490905759999997</v>
          </cell>
          <cell r="AD2527">
            <v>35.432312009999997</v>
          </cell>
        </row>
        <row r="2528">
          <cell r="L2528" t="str">
            <v>دويبة</v>
          </cell>
          <cell r="M2528" t="str">
            <v>C3210</v>
          </cell>
          <cell r="AC2528">
            <v>36.909301759999998</v>
          </cell>
          <cell r="AD2528">
            <v>35.238708500000001</v>
          </cell>
        </row>
        <row r="2529">
          <cell r="L2529" t="str">
            <v>زغرين_الهوية</v>
          </cell>
          <cell r="M2529" t="str">
            <v>C3211</v>
          </cell>
          <cell r="AC2529">
            <v>37.013122559999999</v>
          </cell>
          <cell r="AD2529">
            <v>35.095520020000002</v>
          </cell>
        </row>
        <row r="2530">
          <cell r="L2530" t="str">
            <v>تل ذهب</v>
          </cell>
          <cell r="M2530" t="str">
            <v>C3212</v>
          </cell>
          <cell r="AC2530">
            <v>37.019470220000002</v>
          </cell>
          <cell r="AD2530">
            <v>35.211486819999998</v>
          </cell>
        </row>
        <row r="2531">
          <cell r="L2531" t="str">
            <v>سباع</v>
          </cell>
          <cell r="M2531" t="str">
            <v>C3213</v>
          </cell>
          <cell r="AC2531">
            <v>37.010681150000003</v>
          </cell>
          <cell r="AD2531">
            <v>35.154907229999999</v>
          </cell>
        </row>
        <row r="2532">
          <cell r="L2532" t="str">
            <v>السبيل</v>
          </cell>
          <cell r="M2532" t="str">
            <v>C3214</v>
          </cell>
          <cell r="AC2532">
            <v>37.104675290000003</v>
          </cell>
          <cell r="AD2532">
            <v>35.007873539999999</v>
          </cell>
        </row>
        <row r="2533">
          <cell r="L2533" t="str">
            <v>الثورة_أم قلق</v>
          </cell>
          <cell r="M2533" t="str">
            <v>C3215</v>
          </cell>
          <cell r="AC2533">
            <v>36.965881349999997</v>
          </cell>
          <cell r="AD2533">
            <v>35.288696289999997</v>
          </cell>
        </row>
        <row r="2534">
          <cell r="L2534" t="str">
            <v>تل سنان</v>
          </cell>
          <cell r="M2534" t="str">
            <v>C3216</v>
          </cell>
          <cell r="AC2534">
            <v>37.123718259999997</v>
          </cell>
          <cell r="AD2534">
            <v>35.124877929999997</v>
          </cell>
        </row>
        <row r="2535">
          <cell r="L2535" t="str">
            <v>دنين</v>
          </cell>
          <cell r="M2535" t="str">
            <v>C3217</v>
          </cell>
          <cell r="AC2535">
            <v>36.922912599999997</v>
          </cell>
          <cell r="AD2535">
            <v>35.211120610000002</v>
          </cell>
        </row>
        <row r="2536">
          <cell r="L2536" t="str">
            <v>دنيبة</v>
          </cell>
          <cell r="M2536" t="str">
            <v>C3218</v>
          </cell>
          <cell r="AC2536">
            <v>37.003723149999999</v>
          </cell>
          <cell r="AD2536">
            <v>34.931518560000001</v>
          </cell>
        </row>
        <row r="2537">
          <cell r="L2537" t="str">
            <v>سنيدة</v>
          </cell>
          <cell r="M2537" t="str">
            <v>C3219</v>
          </cell>
          <cell r="AC2537">
            <v>37.002502440000001</v>
          </cell>
          <cell r="AD2537">
            <v>34.905700680000002</v>
          </cell>
        </row>
        <row r="2538">
          <cell r="L2538" t="str">
            <v>البويضة</v>
          </cell>
          <cell r="M2538" t="str">
            <v>C3220</v>
          </cell>
          <cell r="AC2538">
            <v>37.044921879999997</v>
          </cell>
          <cell r="AD2538">
            <v>35.142883300000001</v>
          </cell>
        </row>
        <row r="2539">
          <cell r="L2539" t="str">
            <v>تل عدا</v>
          </cell>
          <cell r="M2539" t="str">
            <v>C3221</v>
          </cell>
          <cell r="AC2539">
            <v>37.092529300000002</v>
          </cell>
          <cell r="AD2539">
            <v>35.099487310000001</v>
          </cell>
        </row>
        <row r="2540">
          <cell r="L2540" t="str">
            <v>تلول الحمر</v>
          </cell>
          <cell r="M2540" t="str">
            <v>C3222</v>
          </cell>
          <cell r="AC2540">
            <v>36.960083009999998</v>
          </cell>
          <cell r="AD2540">
            <v>34.95727539</v>
          </cell>
        </row>
        <row r="2541">
          <cell r="L2541" t="str">
            <v>الشيخ ريح</v>
          </cell>
          <cell r="M2541" t="str">
            <v>C3223</v>
          </cell>
          <cell r="AC2541">
            <v>37.166076660000002</v>
          </cell>
          <cell r="AD2541">
            <v>34.924926759999998</v>
          </cell>
        </row>
        <row r="2542">
          <cell r="L2542" t="str">
            <v>تلدرة</v>
          </cell>
          <cell r="M2542" t="str">
            <v>C3224</v>
          </cell>
          <cell r="AC2542">
            <v>36.93908691</v>
          </cell>
          <cell r="AD2542">
            <v>35.031677250000001</v>
          </cell>
        </row>
        <row r="2543">
          <cell r="L2543" t="str">
            <v>جمالة</v>
          </cell>
          <cell r="M2543" t="str">
            <v>C3225</v>
          </cell>
          <cell r="AC2543">
            <v>36.940917970000001</v>
          </cell>
          <cell r="AD2543">
            <v>34.968078609999999</v>
          </cell>
        </row>
        <row r="2544">
          <cell r="L2544" t="str">
            <v>الكريم</v>
          </cell>
          <cell r="M2544" t="str">
            <v>C3226</v>
          </cell>
          <cell r="AC2544">
            <v>36.999511720000001</v>
          </cell>
          <cell r="AD2544">
            <v>35.02111816</v>
          </cell>
        </row>
        <row r="2545">
          <cell r="L2545" t="str">
            <v>السمنة</v>
          </cell>
          <cell r="M2545" t="str">
            <v>C3227</v>
          </cell>
          <cell r="AC2545">
            <v>37.071105959999997</v>
          </cell>
          <cell r="AD2545">
            <v>35.136108399999998</v>
          </cell>
        </row>
        <row r="2546">
          <cell r="L2546" t="str">
            <v>الخفية</v>
          </cell>
          <cell r="M2546" t="str">
            <v>C3228</v>
          </cell>
          <cell r="AC2546">
            <v>37.177917479999998</v>
          </cell>
          <cell r="AD2546">
            <v>34.94830322</v>
          </cell>
        </row>
        <row r="2547">
          <cell r="L2547" t="str">
            <v>المالحة</v>
          </cell>
          <cell r="M2547" t="str">
            <v>C3230</v>
          </cell>
          <cell r="AC2547">
            <v>37.017883300000001</v>
          </cell>
          <cell r="AD2547">
            <v>34.989074709999997</v>
          </cell>
        </row>
        <row r="2548">
          <cell r="L2548" t="str">
            <v>البردونة</v>
          </cell>
          <cell r="M2548" t="str">
            <v>C3231</v>
          </cell>
          <cell r="AC2548">
            <v>36.974914550000001</v>
          </cell>
          <cell r="AD2548">
            <v>35.238098149999999</v>
          </cell>
        </row>
        <row r="2549">
          <cell r="L2549" t="str">
            <v>طيبة التركي</v>
          </cell>
          <cell r="M2549" t="str">
            <v>C3232</v>
          </cell>
          <cell r="AC2549">
            <v>36.935302729999997</v>
          </cell>
          <cell r="AD2549">
            <v>35.240112310000001</v>
          </cell>
        </row>
        <row r="2550">
          <cell r="L2550" t="str">
            <v>أم العمد</v>
          </cell>
          <cell r="M2550" t="str">
            <v>C3233</v>
          </cell>
          <cell r="AC2550">
            <v>37.056701660000002</v>
          </cell>
          <cell r="AD2550">
            <v>34.931701660000002</v>
          </cell>
        </row>
        <row r="2551">
          <cell r="L2551" t="str">
            <v>الغاوي</v>
          </cell>
          <cell r="M2551" t="str">
            <v>C3234</v>
          </cell>
          <cell r="AC2551">
            <v>37.120300290000003</v>
          </cell>
          <cell r="AD2551">
            <v>34.958923339999998</v>
          </cell>
        </row>
        <row r="2552">
          <cell r="L2552" t="str">
            <v>العيور</v>
          </cell>
          <cell r="M2552" t="str">
            <v>C3235</v>
          </cell>
          <cell r="AC2552">
            <v>36.910888669999999</v>
          </cell>
          <cell r="AD2552">
            <v>35.165893560000001</v>
          </cell>
        </row>
        <row r="2553">
          <cell r="L2553" t="str">
            <v>ذيل العجل</v>
          </cell>
          <cell r="M2553" t="str">
            <v>C3236</v>
          </cell>
          <cell r="AC2553">
            <v>37.12591553</v>
          </cell>
          <cell r="AD2553">
            <v>35.082885740000002</v>
          </cell>
        </row>
        <row r="2554">
          <cell r="L2554" t="str">
            <v>صفاوي</v>
          </cell>
          <cell r="M2554" t="str">
            <v>C3238</v>
          </cell>
          <cell r="AC2554">
            <v>37.090698240000002</v>
          </cell>
          <cell r="AD2554">
            <v>34.958312990000003</v>
          </cell>
        </row>
        <row r="2555">
          <cell r="L2555" t="str">
            <v>تل خزنة</v>
          </cell>
          <cell r="M2555" t="str">
            <v>C3239</v>
          </cell>
          <cell r="AC2555">
            <v>36.998107910000002</v>
          </cell>
          <cell r="AD2555">
            <v>34.882080080000001</v>
          </cell>
        </row>
        <row r="2556">
          <cell r="L2556" t="str">
            <v>الربا</v>
          </cell>
          <cell r="M2556" t="str">
            <v>C3240</v>
          </cell>
          <cell r="AC2556">
            <v>36.975280759999997</v>
          </cell>
          <cell r="AD2556">
            <v>35.129699709999997</v>
          </cell>
        </row>
        <row r="2557">
          <cell r="L2557" t="str">
            <v>خنيفس</v>
          </cell>
          <cell r="M2557" t="str">
            <v>C3242</v>
          </cell>
          <cell r="AC2557">
            <v>36.998474119999997</v>
          </cell>
          <cell r="AD2557">
            <v>34.951110839999998</v>
          </cell>
        </row>
        <row r="2558">
          <cell r="L2558" t="str">
            <v>علي كاسون_الشيخ علي</v>
          </cell>
          <cell r="M2558" t="str">
            <v>C3243</v>
          </cell>
          <cell r="AC2558">
            <v>36.983520509999998</v>
          </cell>
          <cell r="AD2558">
            <v>35.178283690000001</v>
          </cell>
        </row>
        <row r="2559">
          <cell r="L2559" t="str">
            <v>السلمية</v>
          </cell>
          <cell r="M2559" t="str">
            <v>C3244</v>
          </cell>
          <cell r="AC2559">
            <v>37.051086429999998</v>
          </cell>
          <cell r="AD2559">
            <v>35.011291499999999</v>
          </cell>
        </row>
        <row r="2560">
          <cell r="L2560" t="str">
            <v>طراد</v>
          </cell>
          <cell r="M2560" t="str">
            <v>C3245</v>
          </cell>
          <cell r="AC2560">
            <v>36.97290039</v>
          </cell>
          <cell r="AD2560">
            <v>35.154479979999998</v>
          </cell>
        </row>
        <row r="2561">
          <cell r="L2561" t="str">
            <v>الطوبا</v>
          </cell>
          <cell r="M2561" t="str">
            <v>C3246</v>
          </cell>
          <cell r="AC2561">
            <v>36.986083979999997</v>
          </cell>
          <cell r="AD2561">
            <v>35.2755127</v>
          </cell>
        </row>
        <row r="2562">
          <cell r="L2562" t="str">
            <v>شكارة</v>
          </cell>
          <cell r="M2562" t="str">
            <v>C3247</v>
          </cell>
          <cell r="AC2562">
            <v>37.0020752</v>
          </cell>
          <cell r="AD2562">
            <v>34.941711429999998</v>
          </cell>
        </row>
        <row r="2563">
          <cell r="L2563" t="str">
            <v>حلبان</v>
          </cell>
          <cell r="M2563" t="str">
            <v>C3248</v>
          </cell>
          <cell r="AC2563">
            <v>37.010314940000001</v>
          </cell>
          <cell r="AD2563">
            <v>35.235717770000001</v>
          </cell>
        </row>
        <row r="2564">
          <cell r="L2564" t="str">
            <v>تل حسن باشا</v>
          </cell>
          <cell r="M2564" t="str">
            <v>C3249</v>
          </cell>
          <cell r="AC2564">
            <v>37.071105959999997</v>
          </cell>
          <cell r="AD2564">
            <v>34.907287599999997</v>
          </cell>
        </row>
        <row r="2565">
          <cell r="L2565" t="str">
            <v>أم توينة</v>
          </cell>
          <cell r="M2565" t="str">
            <v>C3250</v>
          </cell>
          <cell r="AC2565">
            <v>37.052490229999997</v>
          </cell>
          <cell r="AD2565">
            <v>35.163085940000002</v>
          </cell>
        </row>
        <row r="2566">
          <cell r="L2566" t="str">
            <v>مرج مطر</v>
          </cell>
          <cell r="M2566" t="str">
            <v>C3251</v>
          </cell>
          <cell r="AC2566">
            <v>37.106506349999997</v>
          </cell>
          <cell r="AD2566">
            <v>34.940124509999997</v>
          </cell>
        </row>
        <row r="2567">
          <cell r="L2567" t="str">
            <v>فان وسطاني</v>
          </cell>
          <cell r="M2567" t="str">
            <v>C3252</v>
          </cell>
          <cell r="AC2567">
            <v>36.913513180000002</v>
          </cell>
          <cell r="AD2567">
            <v>35.288085940000002</v>
          </cell>
        </row>
        <row r="2568">
          <cell r="L2568" t="str">
            <v>فان قبلي</v>
          </cell>
          <cell r="M2568" t="str">
            <v>C3253</v>
          </cell>
          <cell r="AC2568">
            <v>36.909118650000003</v>
          </cell>
          <cell r="AD2568">
            <v>35.27850342</v>
          </cell>
        </row>
        <row r="2569">
          <cell r="L2569" t="str">
            <v>قبة الكردي</v>
          </cell>
          <cell r="M2569" t="str">
            <v>C3254</v>
          </cell>
          <cell r="AC2569">
            <v>36.931701660000002</v>
          </cell>
          <cell r="AD2569">
            <v>35.0098877</v>
          </cell>
        </row>
        <row r="2570">
          <cell r="L2570" t="str">
            <v>نوى</v>
          </cell>
          <cell r="M2570" t="str">
            <v>C3255</v>
          </cell>
          <cell r="AC2570">
            <v>37.058898929999998</v>
          </cell>
          <cell r="AD2570">
            <v>35.19830322</v>
          </cell>
        </row>
        <row r="2571">
          <cell r="L2571" t="str">
            <v>كيتلون</v>
          </cell>
          <cell r="M2571" t="str">
            <v>C3256</v>
          </cell>
          <cell r="AC2571">
            <v>36.992309570000003</v>
          </cell>
          <cell r="AD2571">
            <v>35.087890629999997</v>
          </cell>
        </row>
        <row r="2572">
          <cell r="L2572" t="str">
            <v>قبلهات</v>
          </cell>
          <cell r="M2572" t="str">
            <v>C3257</v>
          </cell>
          <cell r="AC2572">
            <v>37.091491699999999</v>
          </cell>
          <cell r="AD2572">
            <v>34.921691899999999</v>
          </cell>
        </row>
        <row r="2573">
          <cell r="L2573" t="str">
            <v>كافات</v>
          </cell>
          <cell r="M2573" t="str">
            <v>C3258</v>
          </cell>
          <cell r="AC2573">
            <v>36.88830566</v>
          </cell>
          <cell r="AD2573">
            <v>35.068298339999998</v>
          </cell>
        </row>
        <row r="2574">
          <cell r="L2574" t="str">
            <v>الخريجة</v>
          </cell>
          <cell r="M2574" t="str">
            <v>C3259</v>
          </cell>
          <cell r="AC2574">
            <v>37.315307619999999</v>
          </cell>
          <cell r="AD2574">
            <v>34.980285649999999</v>
          </cell>
        </row>
        <row r="2575">
          <cell r="L2575" t="str">
            <v>عكش</v>
          </cell>
          <cell r="M2575" t="str">
            <v>C3260</v>
          </cell>
          <cell r="AC2575">
            <v>37.347106930000002</v>
          </cell>
          <cell r="AD2575">
            <v>35.004699709999997</v>
          </cell>
        </row>
        <row r="2576">
          <cell r="L2576" t="str">
            <v>بري شرقي</v>
          </cell>
          <cell r="M2576" t="str">
            <v>C3261</v>
          </cell>
          <cell r="AC2576">
            <v>37.200683589999997</v>
          </cell>
          <cell r="AD2576">
            <v>34.979919430000002</v>
          </cell>
        </row>
        <row r="2577">
          <cell r="L2577" t="str">
            <v>أبو حنايا</v>
          </cell>
          <cell r="M2577" t="str">
            <v>C3262</v>
          </cell>
          <cell r="AC2577">
            <v>37.326904300000002</v>
          </cell>
          <cell r="AD2577">
            <v>35.071105959999997</v>
          </cell>
        </row>
        <row r="2578">
          <cell r="L2578" t="str">
            <v>أبو حبيلات</v>
          </cell>
          <cell r="M2578" t="str">
            <v>C3263</v>
          </cell>
          <cell r="AC2578">
            <v>37.311523440000002</v>
          </cell>
          <cell r="AD2578">
            <v>35.03009033</v>
          </cell>
        </row>
        <row r="2579">
          <cell r="L2579" t="str">
            <v>عرشونة</v>
          </cell>
          <cell r="M2579" t="str">
            <v>C3264</v>
          </cell>
          <cell r="AC2579">
            <v>37.29528809</v>
          </cell>
          <cell r="AD2579">
            <v>34.965271000000001</v>
          </cell>
        </row>
        <row r="2580">
          <cell r="L2580" t="str">
            <v>تل التوت</v>
          </cell>
          <cell r="M2580" t="str">
            <v>C3265</v>
          </cell>
          <cell r="AC2580">
            <v>37.163879399999999</v>
          </cell>
          <cell r="AD2580">
            <v>34.990112310000001</v>
          </cell>
        </row>
        <row r="2581">
          <cell r="L2581" t="str">
            <v>الحردانة</v>
          </cell>
          <cell r="M2581" t="str">
            <v>C3266</v>
          </cell>
          <cell r="AC2581">
            <v>37.272094729999999</v>
          </cell>
          <cell r="AD2581">
            <v>35.000122070000003</v>
          </cell>
        </row>
        <row r="2582">
          <cell r="L2582" t="str">
            <v>تل جديد</v>
          </cell>
          <cell r="M2582" t="str">
            <v>C3267</v>
          </cell>
          <cell r="AC2582">
            <v>37.247314449999998</v>
          </cell>
          <cell r="AD2582">
            <v>34.927307130000003</v>
          </cell>
        </row>
        <row r="2583">
          <cell r="L2583" t="str">
            <v>بري الغربي</v>
          </cell>
          <cell r="M2583" t="str">
            <v>C3268</v>
          </cell>
          <cell r="AC2583">
            <v>37.181884770000003</v>
          </cell>
          <cell r="AD2583">
            <v>34.98828125</v>
          </cell>
        </row>
        <row r="2584">
          <cell r="L2584" t="str">
            <v>أم ميل</v>
          </cell>
          <cell r="M2584" t="str">
            <v>C3269</v>
          </cell>
          <cell r="AC2584">
            <v>37.302307130000003</v>
          </cell>
          <cell r="AD2584">
            <v>34.995300290000003</v>
          </cell>
        </row>
        <row r="2585">
          <cell r="L2585" t="str">
            <v>مفكر شرقي</v>
          </cell>
          <cell r="M2585" t="str">
            <v>C3270</v>
          </cell>
          <cell r="AC2585">
            <v>37.224914550000001</v>
          </cell>
          <cell r="AD2585">
            <v>35.010070800000001</v>
          </cell>
        </row>
        <row r="2586">
          <cell r="L2586" t="str">
            <v>فريتان</v>
          </cell>
          <cell r="M2586" t="str">
            <v>C3271</v>
          </cell>
          <cell r="AC2586">
            <v>37.244873050000002</v>
          </cell>
          <cell r="AD2586">
            <v>34.950500490000003</v>
          </cell>
        </row>
        <row r="2587">
          <cell r="L2587" t="str">
            <v>مفكر الغربي</v>
          </cell>
          <cell r="M2587" t="str">
            <v>C3272</v>
          </cell>
          <cell r="AC2587">
            <v>37.214904789999999</v>
          </cell>
          <cell r="AD2587">
            <v>35.00689697</v>
          </cell>
        </row>
        <row r="2588">
          <cell r="L2588" t="str">
            <v>أسرية</v>
          </cell>
          <cell r="M2588" t="str">
            <v>C3273</v>
          </cell>
          <cell r="AC2588">
            <v>37.7833252</v>
          </cell>
          <cell r="AD2588">
            <v>35.368713380000003</v>
          </cell>
        </row>
        <row r="2589">
          <cell r="L2589" t="str">
            <v>السعن</v>
          </cell>
          <cell r="M2589" t="str">
            <v>C3275</v>
          </cell>
          <cell r="AC2589">
            <v>37.373474119999997</v>
          </cell>
          <cell r="AD2589">
            <v>35.263671879999997</v>
          </cell>
        </row>
        <row r="2590">
          <cell r="L2590" t="str">
            <v>حسو العلباوي</v>
          </cell>
          <cell r="M2590" t="str">
            <v>C3276</v>
          </cell>
          <cell r="AC2590">
            <v>37.426879880000001</v>
          </cell>
          <cell r="AD2590">
            <v>35.22149658</v>
          </cell>
        </row>
        <row r="2591">
          <cell r="L2591" t="str">
            <v>أبو حريق</v>
          </cell>
          <cell r="M2591" t="str">
            <v>C3277</v>
          </cell>
          <cell r="AC2591">
            <v>37.257873539999999</v>
          </cell>
          <cell r="AD2591">
            <v>35.279479979999998</v>
          </cell>
        </row>
        <row r="2592">
          <cell r="L2592" t="str">
            <v>عمية</v>
          </cell>
          <cell r="M2592" t="str">
            <v>C3278</v>
          </cell>
          <cell r="AC2592">
            <v>37.423706060000001</v>
          </cell>
          <cell r="AD2592">
            <v>35.245727539999997</v>
          </cell>
        </row>
        <row r="2593">
          <cell r="L2593" t="str">
            <v>أبو الكسور</v>
          </cell>
          <cell r="M2593" t="str">
            <v>C3279</v>
          </cell>
          <cell r="AC2593">
            <v>37.261108399999998</v>
          </cell>
          <cell r="AD2593">
            <v>35.297485350000002</v>
          </cell>
        </row>
        <row r="2594">
          <cell r="L2594" t="str">
            <v>الجاكوسية</v>
          </cell>
          <cell r="M2594" t="str">
            <v>C3280</v>
          </cell>
          <cell r="AC2594">
            <v>37.455078129999997</v>
          </cell>
          <cell r="AD2594">
            <v>35.419921879999997</v>
          </cell>
        </row>
        <row r="2595">
          <cell r="L2595" t="str">
            <v>الشيخ هلال</v>
          </cell>
          <cell r="M2595" t="str">
            <v>C3281</v>
          </cell>
          <cell r="AC2595">
            <v>37.504272460000003</v>
          </cell>
          <cell r="AD2595">
            <v>35.249694820000002</v>
          </cell>
        </row>
        <row r="2596">
          <cell r="L2596" t="str">
            <v>بغيديد</v>
          </cell>
          <cell r="M2596" t="str">
            <v>C3282</v>
          </cell>
          <cell r="AC2596">
            <v>37.465515140000001</v>
          </cell>
          <cell r="AD2596">
            <v>35.28747559</v>
          </cell>
        </row>
        <row r="2597">
          <cell r="L2597" t="str">
            <v>عوجة_كباسين العرب</v>
          </cell>
          <cell r="M2597" t="str">
            <v>C3283</v>
          </cell>
          <cell r="AC2597">
            <v>37.328125</v>
          </cell>
          <cell r="AD2597">
            <v>35.27368164</v>
          </cell>
        </row>
        <row r="2598">
          <cell r="L2598" t="str">
            <v>رهجان</v>
          </cell>
          <cell r="M2598" t="str">
            <v>C3284</v>
          </cell>
          <cell r="AC2598">
            <v>37.434082029999999</v>
          </cell>
          <cell r="AD2598">
            <v>35.406677250000001</v>
          </cell>
        </row>
        <row r="2599">
          <cell r="L2599" t="str">
            <v>رسم أمون</v>
          </cell>
          <cell r="M2599" t="str">
            <v>C3285</v>
          </cell>
          <cell r="AC2599">
            <v>37.471923830000001</v>
          </cell>
          <cell r="AD2599">
            <v>35.220703129999997</v>
          </cell>
        </row>
        <row r="2600">
          <cell r="L2600" t="str">
            <v>جب خسارة</v>
          </cell>
          <cell r="M2600" t="str">
            <v>C3286</v>
          </cell>
          <cell r="AC2600">
            <v>37.31848145</v>
          </cell>
          <cell r="AD2600">
            <v>35.209472660000003</v>
          </cell>
        </row>
        <row r="2601">
          <cell r="L2601" t="str">
            <v>أبو الغر</v>
          </cell>
          <cell r="M2601" t="str">
            <v>C3287</v>
          </cell>
          <cell r="AC2601">
            <v>37.393920899999998</v>
          </cell>
          <cell r="AD2601">
            <v>35.348876949999998</v>
          </cell>
        </row>
        <row r="2602">
          <cell r="L2602" t="str">
            <v>علية</v>
          </cell>
          <cell r="M2602" t="str">
            <v>C3288</v>
          </cell>
          <cell r="AC2602">
            <v>37.4296875</v>
          </cell>
          <cell r="AD2602">
            <v>35.255310059999999</v>
          </cell>
        </row>
        <row r="2603">
          <cell r="L2603" t="str">
            <v>أم ميال</v>
          </cell>
          <cell r="M2603" t="str">
            <v>C3289</v>
          </cell>
          <cell r="AC2603">
            <v>37.399719240000003</v>
          </cell>
          <cell r="AD2603">
            <v>35.39428711</v>
          </cell>
        </row>
        <row r="2604">
          <cell r="L2604" t="str">
            <v>عنيق باجرة</v>
          </cell>
          <cell r="M2604" t="str">
            <v>C3290</v>
          </cell>
          <cell r="AC2604">
            <v>37.28491211</v>
          </cell>
          <cell r="AD2604">
            <v>35.291076660000002</v>
          </cell>
        </row>
        <row r="2605">
          <cell r="L2605" t="str">
            <v>سرحة</v>
          </cell>
          <cell r="M2605" t="str">
            <v>C3291</v>
          </cell>
          <cell r="AC2605">
            <v>37.427917479999998</v>
          </cell>
          <cell r="AD2605">
            <v>35.342102050000001</v>
          </cell>
        </row>
        <row r="2606">
          <cell r="L2606" t="str">
            <v>هرط شرقي</v>
          </cell>
          <cell r="M2606" t="str">
            <v>C3292</v>
          </cell>
          <cell r="AC2606">
            <v>37.324890140000001</v>
          </cell>
          <cell r="AD2606">
            <v>35.236877440000001</v>
          </cell>
        </row>
        <row r="2607">
          <cell r="L2607" t="str">
            <v>خنيفس الدوسة</v>
          </cell>
          <cell r="M2607" t="str">
            <v>C3293</v>
          </cell>
          <cell r="AC2607">
            <v>37.117675779999999</v>
          </cell>
          <cell r="AD2607">
            <v>35.19049072</v>
          </cell>
        </row>
        <row r="2608">
          <cell r="L2608" t="str">
            <v>الجديدة</v>
          </cell>
          <cell r="M2608" t="str">
            <v>C3294</v>
          </cell>
          <cell r="AC2608">
            <v>37.163513180000002</v>
          </cell>
          <cell r="AD2608">
            <v>35.280273440000002</v>
          </cell>
        </row>
        <row r="2609">
          <cell r="L2609" t="str">
            <v>شهبا</v>
          </cell>
          <cell r="M2609" t="str">
            <v>C3295</v>
          </cell>
          <cell r="AC2609">
            <v>37.087890629999997</v>
          </cell>
          <cell r="AD2609">
            <v>35.193115229999997</v>
          </cell>
        </row>
        <row r="2610">
          <cell r="L2610" t="str">
            <v>أبو خنادق</v>
          </cell>
          <cell r="M2610" t="str">
            <v>C3296</v>
          </cell>
          <cell r="AC2610">
            <v>37.199279789999999</v>
          </cell>
          <cell r="AD2610">
            <v>35.270080569999998</v>
          </cell>
        </row>
        <row r="2611">
          <cell r="L2611" t="str">
            <v>صبورة</v>
          </cell>
          <cell r="M2611" t="str">
            <v>C3297</v>
          </cell>
          <cell r="AC2611">
            <v>37.21209717</v>
          </cell>
          <cell r="AD2611">
            <v>35.158874509999997</v>
          </cell>
        </row>
        <row r="2612">
          <cell r="L2612" t="str">
            <v>جب زريق</v>
          </cell>
          <cell r="M2612" t="str">
            <v>C3298</v>
          </cell>
          <cell r="AC2612">
            <v>37.219482419999999</v>
          </cell>
          <cell r="AD2612">
            <v>35.26330566</v>
          </cell>
        </row>
        <row r="2613">
          <cell r="L2613" t="str">
            <v>جصين</v>
          </cell>
          <cell r="M2613" t="str">
            <v>C3299</v>
          </cell>
          <cell r="AC2613">
            <v>37.139282229999999</v>
          </cell>
          <cell r="AD2613">
            <v>35.15350342</v>
          </cell>
        </row>
        <row r="2614">
          <cell r="L2614" t="str">
            <v>عقارب</v>
          </cell>
          <cell r="M2614" t="str">
            <v>C3300</v>
          </cell>
          <cell r="AC2614">
            <v>37.210083009999998</v>
          </cell>
          <cell r="AD2614">
            <v>35.105529789999999</v>
          </cell>
        </row>
        <row r="2615">
          <cell r="L2615" t="str">
            <v>سميرية</v>
          </cell>
          <cell r="M2615" t="str">
            <v>C3301</v>
          </cell>
          <cell r="AC2615">
            <v>37.182312009999997</v>
          </cell>
          <cell r="AD2615">
            <v>35.288085940000002</v>
          </cell>
        </row>
        <row r="2616">
          <cell r="L2616" t="str">
            <v>أم خريزة</v>
          </cell>
          <cell r="M2616" t="str">
            <v>C3302</v>
          </cell>
          <cell r="AC2616">
            <v>37.189270020000002</v>
          </cell>
          <cell r="AD2616">
            <v>35.223327640000001</v>
          </cell>
        </row>
        <row r="2617">
          <cell r="L2617" t="str">
            <v>الشهيب</v>
          </cell>
          <cell r="M2617" t="str">
            <v>C3303</v>
          </cell>
          <cell r="AC2617">
            <v>37.109680179999998</v>
          </cell>
          <cell r="AD2617">
            <v>35.203674319999998</v>
          </cell>
        </row>
        <row r="2618">
          <cell r="L2618" t="str">
            <v>تل أغر</v>
          </cell>
          <cell r="M2618" t="str">
            <v>C3304</v>
          </cell>
          <cell r="AC2618">
            <v>37.214721679999997</v>
          </cell>
          <cell r="AD2618">
            <v>35.219482419999999</v>
          </cell>
        </row>
        <row r="2619">
          <cell r="L2619" t="str">
            <v>تل عبد العزيز</v>
          </cell>
          <cell r="M2619" t="str">
            <v>C3305</v>
          </cell>
          <cell r="AC2619">
            <v>37.14868164</v>
          </cell>
          <cell r="AD2619">
            <v>35.233520509999998</v>
          </cell>
        </row>
        <row r="2620">
          <cell r="L2620" t="str">
            <v>صلبا</v>
          </cell>
          <cell r="M2620" t="str">
            <v>C3306</v>
          </cell>
          <cell r="AC2620">
            <v>37.343688970000002</v>
          </cell>
          <cell r="AD2620">
            <v>35.117309570000003</v>
          </cell>
        </row>
        <row r="2621">
          <cell r="L2621" t="str">
            <v>قبيبات</v>
          </cell>
          <cell r="M2621" t="str">
            <v>C3307</v>
          </cell>
          <cell r="AC2621">
            <v>37.158691410000003</v>
          </cell>
          <cell r="AD2621">
            <v>35.205078129999997</v>
          </cell>
        </row>
        <row r="2622">
          <cell r="L2622" t="str">
            <v>مبعوجة</v>
          </cell>
          <cell r="M2622" t="str">
            <v>C3308</v>
          </cell>
          <cell r="AC2622">
            <v>37.281311039999999</v>
          </cell>
          <cell r="AD2622">
            <v>35.133483890000001</v>
          </cell>
        </row>
        <row r="2623">
          <cell r="L2623" t="str">
            <v>قنافذ</v>
          </cell>
          <cell r="M2623" t="str">
            <v>C3309</v>
          </cell>
          <cell r="AC2623">
            <v>37.275085449999999</v>
          </cell>
          <cell r="AD2623">
            <v>35.224914550000001</v>
          </cell>
        </row>
        <row r="2624">
          <cell r="L2624" t="str">
            <v>فويرة</v>
          </cell>
          <cell r="M2624" t="str">
            <v>C3310</v>
          </cell>
          <cell r="AC2624">
            <v>37.232727050000001</v>
          </cell>
          <cell r="AD2624">
            <v>35.206298830000001</v>
          </cell>
        </row>
        <row r="2625">
          <cell r="L2625" t="str">
            <v>أبو الفشافيش</v>
          </cell>
          <cell r="M2625" t="str">
            <v>C3311</v>
          </cell>
          <cell r="AC2625">
            <v>37.578491210000003</v>
          </cell>
          <cell r="AD2625">
            <v>35.152282720000002</v>
          </cell>
        </row>
        <row r="2626">
          <cell r="L2626" t="str">
            <v>المخبوطة</v>
          </cell>
          <cell r="M2626" t="str">
            <v>C3312</v>
          </cell>
          <cell r="AC2626">
            <v>37.52893066</v>
          </cell>
          <cell r="AD2626">
            <v>34.964721679999997</v>
          </cell>
        </row>
        <row r="2627">
          <cell r="L2627" t="str">
            <v>دكيلة</v>
          </cell>
          <cell r="M2627" t="str">
            <v>C3313</v>
          </cell>
          <cell r="AC2627">
            <v>37.3848877</v>
          </cell>
          <cell r="AD2627">
            <v>35.176513669999999</v>
          </cell>
        </row>
        <row r="2628">
          <cell r="L2628" t="str">
            <v>الرويضة</v>
          </cell>
          <cell r="M2628" t="str">
            <v>C3314</v>
          </cell>
          <cell r="AC2628">
            <v>37.561706540000003</v>
          </cell>
          <cell r="AD2628">
            <v>35.11169434</v>
          </cell>
        </row>
        <row r="2629">
          <cell r="L2629" t="str">
            <v>عقيربات</v>
          </cell>
          <cell r="M2629" t="str">
            <v>C3315</v>
          </cell>
          <cell r="AC2629">
            <v>37.46508789</v>
          </cell>
          <cell r="AD2629">
            <v>35.042907720000002</v>
          </cell>
        </row>
        <row r="2630">
          <cell r="L2630" t="str">
            <v>أبو دالي</v>
          </cell>
          <cell r="M2630" t="str">
            <v>C3316</v>
          </cell>
          <cell r="AC2630">
            <v>37.390319820000002</v>
          </cell>
          <cell r="AD2630">
            <v>35.033081060000001</v>
          </cell>
        </row>
        <row r="2631">
          <cell r="L2631" t="str">
            <v>رسم العبد</v>
          </cell>
          <cell r="M2631" t="str">
            <v>C3317</v>
          </cell>
          <cell r="AC2631">
            <v>37.425292970000001</v>
          </cell>
          <cell r="AD2631">
            <v>34.978271479999997</v>
          </cell>
        </row>
        <row r="2632">
          <cell r="L2632" t="str">
            <v>جب دكيلة</v>
          </cell>
          <cell r="M2632" t="str">
            <v>C3318</v>
          </cell>
          <cell r="AC2632">
            <v>37.380676270000002</v>
          </cell>
          <cell r="AD2632">
            <v>35.159118650000003</v>
          </cell>
        </row>
        <row r="2633">
          <cell r="L2633" t="str">
            <v>حمادي العمر_كوكب السويد</v>
          </cell>
          <cell r="M2633" t="str">
            <v>C3319</v>
          </cell>
          <cell r="AC2633">
            <v>37.423522949999999</v>
          </cell>
          <cell r="AD2633">
            <v>35.025085449999999</v>
          </cell>
        </row>
        <row r="2634">
          <cell r="L2634" t="str">
            <v>طهماز</v>
          </cell>
          <cell r="M2634" t="str">
            <v>C3320</v>
          </cell>
          <cell r="AC2634">
            <v>37.651672359999999</v>
          </cell>
          <cell r="AD2634">
            <v>35.135314940000001</v>
          </cell>
        </row>
        <row r="2635">
          <cell r="L2635" t="str">
            <v>جني العلباوي</v>
          </cell>
          <cell r="M2635" t="str">
            <v>C3321</v>
          </cell>
          <cell r="AC2635">
            <v>37.453918459999997</v>
          </cell>
          <cell r="AD2635">
            <v>35.16888428</v>
          </cell>
        </row>
        <row r="2636">
          <cell r="L2636" t="str">
            <v>القسطل</v>
          </cell>
          <cell r="M2636" t="str">
            <v>C3322</v>
          </cell>
          <cell r="AC2636">
            <v>37.595275880000003</v>
          </cell>
          <cell r="AD2636">
            <v>35.086486819999998</v>
          </cell>
        </row>
        <row r="2637">
          <cell r="L2637" t="str">
            <v>أبو حكفة</v>
          </cell>
          <cell r="M2637" t="str">
            <v>C3323</v>
          </cell>
          <cell r="AC2637">
            <v>37.526123050000002</v>
          </cell>
          <cell r="AD2637">
            <v>35.158508300000001</v>
          </cell>
        </row>
        <row r="2638">
          <cell r="L2638" t="str">
            <v>جب الأبيض_بيوض</v>
          </cell>
          <cell r="M2638" t="str">
            <v>C3324</v>
          </cell>
          <cell r="AC2638">
            <v>37.464904789999999</v>
          </cell>
          <cell r="AD2638">
            <v>35.13787842</v>
          </cell>
        </row>
        <row r="2639">
          <cell r="L2639" t="str">
            <v>الحانوتة</v>
          </cell>
          <cell r="M2639" t="str">
            <v>C3325</v>
          </cell>
          <cell r="AC2639">
            <v>37.548889160000002</v>
          </cell>
          <cell r="AD2639">
            <v>35.051879880000001</v>
          </cell>
        </row>
        <row r="2640">
          <cell r="L2640" t="str">
            <v>جروح</v>
          </cell>
          <cell r="M2640" t="str">
            <v>C3326</v>
          </cell>
          <cell r="AC2640">
            <v>37.495300290000003</v>
          </cell>
          <cell r="AD2640">
            <v>35.10430908</v>
          </cell>
        </row>
        <row r="2641">
          <cell r="L2641" t="str">
            <v>سوحا</v>
          </cell>
          <cell r="M2641" t="str">
            <v>C3327</v>
          </cell>
          <cell r="AC2641">
            <v>37.40393066</v>
          </cell>
          <cell r="AD2641">
            <v>35.004272460000003</v>
          </cell>
        </row>
        <row r="2642">
          <cell r="L2642" t="str">
            <v>تبارة الحمراء</v>
          </cell>
          <cell r="M2642" t="str">
            <v>C3328</v>
          </cell>
          <cell r="AC2642">
            <v>37.614929199999999</v>
          </cell>
          <cell r="AD2642">
            <v>35.012512209999997</v>
          </cell>
        </row>
        <row r="2643">
          <cell r="L2643" t="str">
            <v>بستان صبيح</v>
          </cell>
          <cell r="M2643" t="str">
            <v>C3329</v>
          </cell>
          <cell r="AC2643">
            <v>37.563110350000002</v>
          </cell>
          <cell r="AD2643">
            <v>34.959472660000003</v>
          </cell>
        </row>
        <row r="2644">
          <cell r="L2644" t="str">
            <v>النعيمية</v>
          </cell>
          <cell r="M2644" t="str">
            <v>C3330</v>
          </cell>
          <cell r="AC2644">
            <v>37.48828125</v>
          </cell>
          <cell r="AD2644">
            <v>35.056701660000002</v>
          </cell>
        </row>
        <row r="2645">
          <cell r="L2645" t="str">
            <v>هداج</v>
          </cell>
          <cell r="M2645" t="str">
            <v>C3331</v>
          </cell>
          <cell r="AC2645">
            <v>37.680725099999997</v>
          </cell>
          <cell r="AD2645">
            <v>35.098876949999998</v>
          </cell>
        </row>
        <row r="2646">
          <cell r="L2646" t="str">
            <v>مشيرفة</v>
          </cell>
          <cell r="M2646" t="str">
            <v>C3332</v>
          </cell>
          <cell r="AC2646">
            <v>37.525329589999998</v>
          </cell>
          <cell r="AD2646">
            <v>35.021484379999997</v>
          </cell>
        </row>
        <row r="2647">
          <cell r="L2647" t="str">
            <v>مسعود</v>
          </cell>
          <cell r="M2647" t="str">
            <v>C3333</v>
          </cell>
          <cell r="AC2647">
            <v>37.367919919999999</v>
          </cell>
          <cell r="AD2647">
            <v>35.09008789</v>
          </cell>
        </row>
        <row r="2648">
          <cell r="L2648" t="str">
            <v>مكيمن شمالي</v>
          </cell>
          <cell r="M2648" t="str">
            <v>C3334</v>
          </cell>
          <cell r="AC2648">
            <v>37.415527339999997</v>
          </cell>
          <cell r="AD2648">
            <v>35.129516600000002</v>
          </cell>
        </row>
        <row r="2649">
          <cell r="L2649" t="str">
            <v>الحيلونة</v>
          </cell>
          <cell r="M2649" t="str">
            <v>C3335</v>
          </cell>
          <cell r="AC2649">
            <v>36.288085940000002</v>
          </cell>
          <cell r="AD2649">
            <v>35.129882809999998</v>
          </cell>
        </row>
        <row r="2650">
          <cell r="L2650" t="str">
            <v>دير ماما</v>
          </cell>
          <cell r="M2650" t="str">
            <v>C3336</v>
          </cell>
          <cell r="AC2650">
            <v>36.33111572</v>
          </cell>
          <cell r="AD2650">
            <v>35.141906740000003</v>
          </cell>
        </row>
        <row r="2651">
          <cell r="L2651" t="str">
            <v>الحريف</v>
          </cell>
          <cell r="M2651" t="str">
            <v>C3337</v>
          </cell>
          <cell r="AC2651">
            <v>36.336120610000002</v>
          </cell>
          <cell r="AD2651">
            <v>35.100097660000003</v>
          </cell>
        </row>
        <row r="2652">
          <cell r="L2652" t="str">
            <v>تل أعفر</v>
          </cell>
          <cell r="M2652" t="str">
            <v>C3338</v>
          </cell>
          <cell r="AC2652">
            <v>36.508300779999999</v>
          </cell>
          <cell r="AD2652">
            <v>35.10571289</v>
          </cell>
        </row>
        <row r="2653">
          <cell r="L2653" t="str">
            <v>طير جملة</v>
          </cell>
          <cell r="M2653" t="str">
            <v>C3339</v>
          </cell>
          <cell r="AC2653">
            <v>36.358703609999999</v>
          </cell>
          <cell r="AD2653">
            <v>35.099487310000001</v>
          </cell>
        </row>
        <row r="2654">
          <cell r="L2654" t="str">
            <v>حيالين</v>
          </cell>
          <cell r="M2654" t="str">
            <v>C3340</v>
          </cell>
          <cell r="AC2654">
            <v>36.319274900000003</v>
          </cell>
          <cell r="AD2654">
            <v>35.101074220000001</v>
          </cell>
        </row>
        <row r="2655">
          <cell r="L2655" t="str">
            <v>السويدة</v>
          </cell>
          <cell r="M2655" t="str">
            <v>C3341</v>
          </cell>
          <cell r="AC2655">
            <v>36.373107910000002</v>
          </cell>
          <cell r="AD2655">
            <v>35.022094729999999</v>
          </cell>
        </row>
        <row r="2656">
          <cell r="L2656" t="str">
            <v>طير جبة</v>
          </cell>
          <cell r="M2656" t="str">
            <v>C3342</v>
          </cell>
          <cell r="AC2656">
            <v>36.30767822</v>
          </cell>
          <cell r="AD2656">
            <v>35.171875</v>
          </cell>
        </row>
        <row r="2657">
          <cell r="L2657" t="str">
            <v>ربعو</v>
          </cell>
          <cell r="M2657" t="str">
            <v>C3343</v>
          </cell>
          <cell r="AC2657">
            <v>36.39868164</v>
          </cell>
          <cell r="AD2657">
            <v>35.075927729999997</v>
          </cell>
        </row>
        <row r="2658">
          <cell r="L2658" t="str">
            <v>جوبة كلخ</v>
          </cell>
          <cell r="M2658" t="str">
            <v>C3344</v>
          </cell>
          <cell r="AC2658">
            <v>36.363098149999999</v>
          </cell>
          <cell r="AD2658">
            <v>35.138488770000002</v>
          </cell>
        </row>
        <row r="2659">
          <cell r="L2659" t="str">
            <v>اللقبة</v>
          </cell>
          <cell r="M2659" t="str">
            <v>C3345</v>
          </cell>
          <cell r="AC2659">
            <v>36.322875979999999</v>
          </cell>
          <cell r="AD2659">
            <v>35.162719729999999</v>
          </cell>
        </row>
        <row r="2660">
          <cell r="L2660" t="str">
            <v>دير الصليب</v>
          </cell>
          <cell r="M2660" t="str">
            <v>C3346</v>
          </cell>
          <cell r="AC2660">
            <v>36.442504880000001</v>
          </cell>
          <cell r="AD2660">
            <v>35.084899900000003</v>
          </cell>
        </row>
        <row r="2661">
          <cell r="L2661" t="str">
            <v>سيغاتا</v>
          </cell>
          <cell r="M2661" t="str">
            <v>C3347</v>
          </cell>
          <cell r="AC2661">
            <v>36.4453125</v>
          </cell>
          <cell r="AD2661">
            <v>35.024902339999997</v>
          </cell>
        </row>
        <row r="2662">
          <cell r="L2662" t="str">
            <v>البيضة</v>
          </cell>
          <cell r="M2662" t="str">
            <v>C3348</v>
          </cell>
          <cell r="AC2662">
            <v>36.337707520000002</v>
          </cell>
          <cell r="AD2662">
            <v>35.03790283</v>
          </cell>
        </row>
        <row r="2663">
          <cell r="L2663" t="str">
            <v>البياضية</v>
          </cell>
          <cell r="M2663" t="str">
            <v>C3349</v>
          </cell>
          <cell r="AC2663">
            <v>36.390319820000002</v>
          </cell>
          <cell r="AD2663">
            <v>34.994689940000001</v>
          </cell>
        </row>
        <row r="2664">
          <cell r="L2664" t="str">
            <v>عنبورة</v>
          </cell>
          <cell r="M2664" t="str">
            <v>C3350</v>
          </cell>
          <cell r="AC2664">
            <v>36.344299319999998</v>
          </cell>
          <cell r="AD2664">
            <v>35.121521000000001</v>
          </cell>
        </row>
        <row r="2665">
          <cell r="L2665" t="str">
            <v>الزينة</v>
          </cell>
          <cell r="M2665" t="str">
            <v>C3351</v>
          </cell>
          <cell r="AC2665">
            <v>36.326110839999998</v>
          </cell>
          <cell r="AD2665">
            <v>35.084899900000003</v>
          </cell>
        </row>
        <row r="2666">
          <cell r="L2666" t="str">
            <v>النهضة</v>
          </cell>
          <cell r="M2666" t="str">
            <v>C3353</v>
          </cell>
          <cell r="AC2666">
            <v>36.331909179999997</v>
          </cell>
          <cell r="AD2666">
            <v>34.998291020000003</v>
          </cell>
        </row>
        <row r="2667">
          <cell r="L2667" t="str">
            <v>الشيحة</v>
          </cell>
          <cell r="M2667" t="str">
            <v>C3355</v>
          </cell>
          <cell r="AC2667">
            <v>36.262512209999997</v>
          </cell>
          <cell r="AD2667">
            <v>35.065917970000001</v>
          </cell>
        </row>
        <row r="2668">
          <cell r="L2668" t="str">
            <v>الزاملية</v>
          </cell>
          <cell r="M2668" t="str">
            <v>C3356</v>
          </cell>
          <cell r="AC2668">
            <v>36.41430664</v>
          </cell>
          <cell r="AD2668">
            <v>35.005126949999998</v>
          </cell>
        </row>
        <row r="2669">
          <cell r="L2669" t="str">
            <v>بقراقة</v>
          </cell>
          <cell r="M2669" t="str">
            <v>C3357</v>
          </cell>
          <cell r="AC2669">
            <v>36.360717770000001</v>
          </cell>
          <cell r="AD2669">
            <v>35.105896000000001</v>
          </cell>
        </row>
        <row r="2670">
          <cell r="L2670" t="str">
            <v>بقصقص</v>
          </cell>
          <cell r="M2670" t="str">
            <v>C3358</v>
          </cell>
          <cell r="AC2670">
            <v>36.49127197</v>
          </cell>
          <cell r="AD2670">
            <v>35.06872559</v>
          </cell>
        </row>
        <row r="2671">
          <cell r="L2671" t="str">
            <v>البستان</v>
          </cell>
          <cell r="M2671" t="str">
            <v>C3359</v>
          </cell>
          <cell r="AC2671">
            <v>36.331726070000002</v>
          </cell>
          <cell r="AD2671">
            <v>35.019714360000002</v>
          </cell>
        </row>
        <row r="2672">
          <cell r="L2672" t="str">
            <v>الرصافة</v>
          </cell>
          <cell r="M2672" t="str">
            <v>C3360</v>
          </cell>
          <cell r="AC2672">
            <v>36.302673339999998</v>
          </cell>
          <cell r="AD2672">
            <v>35.0333252</v>
          </cell>
        </row>
        <row r="2673">
          <cell r="L2673" t="str">
            <v>قبو شمسية</v>
          </cell>
          <cell r="M2673" t="str">
            <v>C3361</v>
          </cell>
          <cell r="AC2673">
            <v>36.324890140000001</v>
          </cell>
          <cell r="AD2673">
            <v>34.984680179999998</v>
          </cell>
        </row>
        <row r="2674">
          <cell r="L2674" t="str">
            <v>قصر دير حويت</v>
          </cell>
          <cell r="M2674" t="str">
            <v>C3362</v>
          </cell>
          <cell r="AC2674">
            <v>36.4453125</v>
          </cell>
          <cell r="AD2674">
            <v>34.992126470000002</v>
          </cell>
        </row>
        <row r="2675">
          <cell r="L2675" t="str">
            <v>فندارة</v>
          </cell>
          <cell r="M2675" t="str">
            <v>C3363</v>
          </cell>
          <cell r="AC2675">
            <v>36.330078129999997</v>
          </cell>
          <cell r="AD2675">
            <v>35.008300779999999</v>
          </cell>
        </row>
        <row r="2676">
          <cell r="L2676" t="str">
            <v>مشتى دير ماما</v>
          </cell>
          <cell r="M2676" t="str">
            <v>C3364</v>
          </cell>
          <cell r="AC2676">
            <v>36.369873050000002</v>
          </cell>
          <cell r="AD2676">
            <v>35.141479490000002</v>
          </cell>
        </row>
        <row r="2677">
          <cell r="L2677" t="str">
            <v>كفر عقيد</v>
          </cell>
          <cell r="M2677" t="str">
            <v>C3365</v>
          </cell>
          <cell r="AC2677">
            <v>36.44232178</v>
          </cell>
          <cell r="AD2677">
            <v>35.063476559999998</v>
          </cell>
        </row>
        <row r="2678">
          <cell r="L2678" t="str">
            <v>قرطمان_قرة دوكار</v>
          </cell>
          <cell r="M2678" t="str">
            <v>C3366</v>
          </cell>
          <cell r="AC2678">
            <v>36.403076169999999</v>
          </cell>
          <cell r="AD2678">
            <v>34.974487310000001</v>
          </cell>
        </row>
        <row r="2679">
          <cell r="L2679" t="str">
            <v>مصياف</v>
          </cell>
          <cell r="M2679" t="str">
            <v>C3367</v>
          </cell>
          <cell r="AC2679">
            <v>36.342102050000001</v>
          </cell>
          <cell r="AD2679">
            <v>35.066284179999997</v>
          </cell>
        </row>
        <row r="2680">
          <cell r="L2680" t="str">
            <v>قيرون</v>
          </cell>
          <cell r="M2680" t="str">
            <v>C3368</v>
          </cell>
          <cell r="AC2680">
            <v>36.342529300000002</v>
          </cell>
          <cell r="AD2680">
            <v>35.132873539999999</v>
          </cell>
        </row>
        <row r="2681">
          <cell r="L2681" t="str">
            <v>الهزانة</v>
          </cell>
          <cell r="M2681" t="str">
            <v>C3369</v>
          </cell>
          <cell r="AC2681">
            <v>36.42028809</v>
          </cell>
          <cell r="AD2681">
            <v>35.158691410000003</v>
          </cell>
        </row>
        <row r="2682">
          <cell r="L2682" t="str">
            <v>العالمية</v>
          </cell>
          <cell r="M2682" t="str">
            <v>C3370</v>
          </cell>
          <cell r="AC2682">
            <v>36.383117679999998</v>
          </cell>
          <cell r="AD2682">
            <v>35.219299319999998</v>
          </cell>
        </row>
        <row r="2683">
          <cell r="L2683" t="str">
            <v>جب رملة</v>
          </cell>
          <cell r="M2683" t="str">
            <v>C3371</v>
          </cell>
          <cell r="AC2683">
            <v>36.428283690000001</v>
          </cell>
          <cell r="AD2683">
            <v>35.209289550000001</v>
          </cell>
        </row>
        <row r="2684">
          <cell r="L2684" t="str">
            <v>سلوكية</v>
          </cell>
          <cell r="M2684" t="str">
            <v>C3372</v>
          </cell>
          <cell r="AC2684">
            <v>36.362670899999998</v>
          </cell>
          <cell r="AD2684">
            <v>35.197326660000002</v>
          </cell>
        </row>
        <row r="2685">
          <cell r="L2685" t="str">
            <v>دير شميل</v>
          </cell>
          <cell r="M2685" t="str">
            <v>C3373</v>
          </cell>
          <cell r="AC2685">
            <v>36.343872070000003</v>
          </cell>
          <cell r="AD2685">
            <v>35.213073729999998</v>
          </cell>
        </row>
        <row r="2686">
          <cell r="L2686" t="str">
            <v>أصيلة</v>
          </cell>
          <cell r="M2686" t="str">
            <v>C3374</v>
          </cell>
          <cell r="AC2686">
            <v>36.490722660000003</v>
          </cell>
          <cell r="AD2686">
            <v>35.199096679999997</v>
          </cell>
        </row>
        <row r="2687">
          <cell r="L2687" t="str">
            <v>ديمو</v>
          </cell>
          <cell r="M2687" t="str">
            <v>C3375</v>
          </cell>
          <cell r="AC2687">
            <v>36.448120119999999</v>
          </cell>
          <cell r="AD2687">
            <v>35.20288086</v>
          </cell>
        </row>
        <row r="2688">
          <cell r="L2688" t="str">
            <v>عقيربة</v>
          </cell>
          <cell r="M2688" t="str">
            <v>C3376</v>
          </cell>
          <cell r="AC2688">
            <v>36.464477539999997</v>
          </cell>
          <cell r="AD2688">
            <v>35.162292479999998</v>
          </cell>
        </row>
        <row r="2689">
          <cell r="L2689" t="str">
            <v>الزاوي_الزاوية</v>
          </cell>
          <cell r="M2689" t="str">
            <v>C3377</v>
          </cell>
          <cell r="AC2689">
            <v>36.339111330000001</v>
          </cell>
          <cell r="AD2689">
            <v>35.161682130000003</v>
          </cell>
        </row>
        <row r="2690">
          <cell r="L2690" t="str">
            <v>القريات</v>
          </cell>
          <cell r="M2690" t="str">
            <v>C3378</v>
          </cell>
          <cell r="AC2690">
            <v>36.332885740000002</v>
          </cell>
          <cell r="AD2690">
            <v>35.176513669999999</v>
          </cell>
        </row>
        <row r="2691">
          <cell r="L2691" t="str">
            <v>خان جليمدون</v>
          </cell>
          <cell r="M2691" t="str">
            <v>C3379</v>
          </cell>
          <cell r="AC2691">
            <v>36.354492190000002</v>
          </cell>
          <cell r="AD2691">
            <v>35.160522460000003</v>
          </cell>
        </row>
        <row r="2692">
          <cell r="L2692" t="str">
            <v>حنجور</v>
          </cell>
          <cell r="M2692" t="str">
            <v>C3380</v>
          </cell>
          <cell r="AC2692">
            <v>36.471679690000002</v>
          </cell>
          <cell r="AD2692">
            <v>35.184082029999999</v>
          </cell>
        </row>
        <row r="2693">
          <cell r="L2693" t="str">
            <v>الصارمية</v>
          </cell>
          <cell r="M2693" t="str">
            <v>C3381</v>
          </cell>
          <cell r="AC2693">
            <v>36.383483890000001</v>
          </cell>
          <cell r="AD2693">
            <v>35.233703609999999</v>
          </cell>
        </row>
        <row r="2694">
          <cell r="L2694" t="str">
            <v>كنفو</v>
          </cell>
          <cell r="M2694" t="str">
            <v>C3382</v>
          </cell>
          <cell r="AC2694">
            <v>36.391113279999999</v>
          </cell>
          <cell r="AD2694">
            <v>35.189514160000002</v>
          </cell>
        </row>
        <row r="2695">
          <cell r="L2695" t="str">
            <v>موشاشين</v>
          </cell>
          <cell r="M2695" t="str">
            <v>C3383</v>
          </cell>
          <cell r="AC2695">
            <v>36.363708500000001</v>
          </cell>
          <cell r="AD2695">
            <v>35.204895020000002</v>
          </cell>
        </row>
        <row r="2696">
          <cell r="L2696" t="str">
            <v>معرين</v>
          </cell>
          <cell r="M2696" t="str">
            <v>C3384</v>
          </cell>
          <cell r="AC2696">
            <v>36.446105959999997</v>
          </cell>
          <cell r="AD2696">
            <v>35.1583252</v>
          </cell>
        </row>
        <row r="2697">
          <cell r="L2697" t="str">
            <v>محروسة</v>
          </cell>
          <cell r="M2697" t="str">
            <v>C3385</v>
          </cell>
          <cell r="AC2697">
            <v>36.39868164</v>
          </cell>
          <cell r="AD2697">
            <v>35.160095220000002</v>
          </cell>
        </row>
        <row r="2698">
          <cell r="L2698" t="str">
            <v>خربة نيصاف</v>
          </cell>
          <cell r="M2698" t="str">
            <v>C3386</v>
          </cell>
          <cell r="AC2698">
            <v>36.382080080000001</v>
          </cell>
          <cell r="AD2698">
            <v>34.957702640000001</v>
          </cell>
        </row>
        <row r="2699">
          <cell r="L2699" t="str">
            <v>التاعونة</v>
          </cell>
          <cell r="M2699" t="str">
            <v>C3387</v>
          </cell>
          <cell r="AC2699">
            <v>36.433288570000002</v>
          </cell>
          <cell r="AD2699">
            <v>34.931518560000001</v>
          </cell>
        </row>
        <row r="2700">
          <cell r="L2700" t="str">
            <v>بشنين</v>
          </cell>
          <cell r="M2700" t="str">
            <v>C3388</v>
          </cell>
          <cell r="AC2700">
            <v>36.370117190000002</v>
          </cell>
          <cell r="AD2700">
            <v>34.907714839999997</v>
          </cell>
        </row>
        <row r="2701">
          <cell r="L2701" t="str">
            <v>زور بعرين</v>
          </cell>
          <cell r="M2701" t="str">
            <v>C3389</v>
          </cell>
          <cell r="AC2701">
            <v>36.397705080000001</v>
          </cell>
          <cell r="AD2701">
            <v>34.95288086</v>
          </cell>
        </row>
        <row r="2702">
          <cell r="L2702" t="str">
            <v>عكاكير</v>
          </cell>
          <cell r="M2702" t="str">
            <v>C3390</v>
          </cell>
          <cell r="AC2702">
            <v>36.39611816</v>
          </cell>
          <cell r="AD2702">
            <v>34.872924810000001</v>
          </cell>
        </row>
        <row r="2703">
          <cell r="L2703" t="str">
            <v>بعرين</v>
          </cell>
          <cell r="M2703" t="str">
            <v>C3391</v>
          </cell>
          <cell r="AC2703">
            <v>36.41107178</v>
          </cell>
          <cell r="AD2703">
            <v>34.942871089999997</v>
          </cell>
        </row>
        <row r="2704">
          <cell r="L2704" t="str">
            <v>عوج</v>
          </cell>
          <cell r="M2704" t="str">
            <v>C3392</v>
          </cell>
          <cell r="AC2704">
            <v>36.40509033</v>
          </cell>
          <cell r="AD2704">
            <v>34.907470699999998</v>
          </cell>
        </row>
        <row r="2705">
          <cell r="L2705" t="str">
            <v>الأشرفية_خنازير</v>
          </cell>
          <cell r="M2705" t="str">
            <v>C3394</v>
          </cell>
          <cell r="AC2705">
            <v>36.390686039999999</v>
          </cell>
          <cell r="AD2705">
            <v>34.874511720000001</v>
          </cell>
        </row>
        <row r="2706">
          <cell r="L2706" t="str">
            <v>قرمص</v>
          </cell>
          <cell r="M2706" t="str">
            <v>C3395</v>
          </cell>
          <cell r="AC2706">
            <v>36.45288086</v>
          </cell>
          <cell r="AD2706">
            <v>34.909728999999999</v>
          </cell>
        </row>
        <row r="2707">
          <cell r="L2707" t="str">
            <v>مريمين</v>
          </cell>
          <cell r="M2707" t="str">
            <v>C3396</v>
          </cell>
          <cell r="AC2707">
            <v>36.434082029999999</v>
          </cell>
          <cell r="AD2707">
            <v>34.88647461</v>
          </cell>
        </row>
        <row r="2708">
          <cell r="L2708" t="str">
            <v>نيصاف</v>
          </cell>
          <cell r="M2708" t="str">
            <v>C3397</v>
          </cell>
          <cell r="AC2708">
            <v>36.383300779999999</v>
          </cell>
          <cell r="AD2708">
            <v>34.935485839999998</v>
          </cell>
        </row>
        <row r="2709">
          <cell r="L2709" t="str">
            <v>كفر كمرة</v>
          </cell>
          <cell r="M2709" t="str">
            <v>C3398</v>
          </cell>
          <cell r="AC2709">
            <v>36.398498539999999</v>
          </cell>
          <cell r="AD2709">
            <v>34.898498539999999</v>
          </cell>
        </row>
        <row r="2710">
          <cell r="L2710" t="str">
            <v>قصرايا</v>
          </cell>
          <cell r="M2710" t="str">
            <v>C3399</v>
          </cell>
          <cell r="AC2710">
            <v>36.414123539999999</v>
          </cell>
          <cell r="AD2710">
            <v>34.887329100000002</v>
          </cell>
        </row>
        <row r="2711">
          <cell r="L2711" t="str">
            <v>حوير التركمان</v>
          </cell>
          <cell r="M2711" t="str">
            <v>C3400</v>
          </cell>
          <cell r="AC2711">
            <v>36.35388184</v>
          </cell>
          <cell r="AD2711">
            <v>34.924926759999998</v>
          </cell>
        </row>
        <row r="2712">
          <cell r="L2712" t="str">
            <v>تين السبيل</v>
          </cell>
          <cell r="M2712" t="str">
            <v>C3401</v>
          </cell>
          <cell r="AC2712">
            <v>36.340515140000001</v>
          </cell>
          <cell r="AD2712">
            <v>34.89611816</v>
          </cell>
        </row>
        <row r="2713">
          <cell r="L2713" t="str">
            <v>عاشق عمر</v>
          </cell>
          <cell r="M2713" t="str">
            <v>C3402</v>
          </cell>
          <cell r="AC2713">
            <v>36.325683589999997</v>
          </cell>
          <cell r="AD2713">
            <v>34.951904300000002</v>
          </cell>
        </row>
        <row r="2714">
          <cell r="L2714" t="str">
            <v>عين حلاقيم</v>
          </cell>
          <cell r="M2714" t="str">
            <v>C3403</v>
          </cell>
          <cell r="AC2714">
            <v>36.322875979999999</v>
          </cell>
          <cell r="AD2714">
            <v>34.940307619999999</v>
          </cell>
        </row>
        <row r="2715">
          <cell r="L2715" t="str">
            <v>أق دوكار</v>
          </cell>
          <cell r="M2715" t="str">
            <v>C3404</v>
          </cell>
          <cell r="AC2715">
            <v>36.373901369999999</v>
          </cell>
          <cell r="AD2715">
            <v>34.974487310000001</v>
          </cell>
        </row>
        <row r="2716">
          <cell r="L2716" t="str">
            <v>عين الشمس</v>
          </cell>
          <cell r="M2716" t="str">
            <v>C3405</v>
          </cell>
          <cell r="AC2716">
            <v>36.276306150000003</v>
          </cell>
          <cell r="AD2716">
            <v>34.932495119999999</v>
          </cell>
        </row>
        <row r="2717">
          <cell r="L2717" t="str">
            <v>بعمرة</v>
          </cell>
          <cell r="M2717" t="str">
            <v>C3406</v>
          </cell>
          <cell r="AC2717">
            <v>36.348693849999997</v>
          </cell>
          <cell r="AD2717">
            <v>34.951477050000001</v>
          </cell>
        </row>
        <row r="2718">
          <cell r="L2718" t="str">
            <v>برشين</v>
          </cell>
          <cell r="M2718" t="str">
            <v>C3407</v>
          </cell>
          <cell r="AC2718">
            <v>36.34490967</v>
          </cell>
          <cell r="AD2718">
            <v>34.890319820000002</v>
          </cell>
        </row>
        <row r="2719">
          <cell r="L2719" t="str">
            <v>المشرفة</v>
          </cell>
          <cell r="M2719" t="str">
            <v>C3408</v>
          </cell>
          <cell r="AC2719">
            <v>36.320678710000003</v>
          </cell>
          <cell r="AD2719">
            <v>34.969116210000003</v>
          </cell>
        </row>
        <row r="2720">
          <cell r="L2720" t="str">
            <v>خربة حزور</v>
          </cell>
          <cell r="M2720" t="str">
            <v>C3409</v>
          </cell>
          <cell r="AC2720">
            <v>36.31848145</v>
          </cell>
          <cell r="AD2720">
            <v>34.920898440000002</v>
          </cell>
        </row>
        <row r="2721">
          <cell r="L2721" t="str">
            <v>المجوي</v>
          </cell>
          <cell r="M2721" t="str">
            <v>C3410</v>
          </cell>
          <cell r="AC2721">
            <v>36.329101559999998</v>
          </cell>
          <cell r="AD2721">
            <v>34.986877440000001</v>
          </cell>
        </row>
        <row r="2722">
          <cell r="L2722" t="str">
            <v>بيت ناطر</v>
          </cell>
          <cell r="M2722" t="str">
            <v>C3411</v>
          </cell>
          <cell r="AC2722">
            <v>36.348876949999998</v>
          </cell>
          <cell r="AD2722">
            <v>34.917480470000001</v>
          </cell>
        </row>
        <row r="2723">
          <cell r="L2723" t="str">
            <v>حرمل</v>
          </cell>
          <cell r="M2723" t="str">
            <v>C3412</v>
          </cell>
          <cell r="AC2723">
            <v>36.349304199999999</v>
          </cell>
          <cell r="AD2723">
            <v>34.905700680000002</v>
          </cell>
        </row>
        <row r="2724">
          <cell r="L2724" t="str">
            <v>الدليبة</v>
          </cell>
          <cell r="M2724" t="str">
            <v>C3413</v>
          </cell>
          <cell r="AC2724">
            <v>36.35913086</v>
          </cell>
          <cell r="AD2724">
            <v>34.94830322</v>
          </cell>
        </row>
        <row r="2725">
          <cell r="L2725" t="str">
            <v>حكر بيت عتق</v>
          </cell>
          <cell r="M2725" t="str">
            <v>C3414</v>
          </cell>
          <cell r="AC2725">
            <v>36.322875979999999</v>
          </cell>
          <cell r="AD2725">
            <v>34.906677250000001</v>
          </cell>
        </row>
        <row r="2726">
          <cell r="L2726" t="str">
            <v>كهف الحبش</v>
          </cell>
          <cell r="M2726" t="str">
            <v>C3415</v>
          </cell>
          <cell r="AC2726">
            <v>36.312072749999999</v>
          </cell>
          <cell r="AD2726">
            <v>34.956298830000001</v>
          </cell>
        </row>
        <row r="2727">
          <cell r="L2727" t="str">
            <v>قلعة عليان</v>
          </cell>
          <cell r="M2727" t="str">
            <v>C3416</v>
          </cell>
          <cell r="AC2727">
            <v>36.327514649999998</v>
          </cell>
          <cell r="AD2727">
            <v>34.92071533</v>
          </cell>
        </row>
        <row r="2728">
          <cell r="L2728" t="str">
            <v>عين البيضا</v>
          </cell>
          <cell r="M2728" t="str">
            <v>C3417</v>
          </cell>
          <cell r="AC2728">
            <v>36.267883300000001</v>
          </cell>
          <cell r="AD2728">
            <v>34.986511229999998</v>
          </cell>
        </row>
        <row r="2729">
          <cell r="L2729" t="str">
            <v>المرحة</v>
          </cell>
          <cell r="M2729" t="str">
            <v>C3418</v>
          </cell>
          <cell r="AC2729">
            <v>36.244689940000001</v>
          </cell>
          <cell r="AD2729">
            <v>34.977111819999998</v>
          </cell>
        </row>
        <row r="2730">
          <cell r="L2730" t="str">
            <v>بشاوي</v>
          </cell>
          <cell r="M2730" t="str">
            <v>C3419</v>
          </cell>
          <cell r="AC2730">
            <v>36.213073729999998</v>
          </cell>
          <cell r="AD2730">
            <v>34.98413086</v>
          </cell>
        </row>
        <row r="2731">
          <cell r="L2731" t="str">
            <v>الطمارقية</v>
          </cell>
          <cell r="M2731" t="str">
            <v>C3420</v>
          </cell>
          <cell r="AC2731">
            <v>36.223876949999998</v>
          </cell>
          <cell r="AD2731">
            <v>34.982910160000003</v>
          </cell>
        </row>
        <row r="2732">
          <cell r="L2732" t="str">
            <v>بريزة</v>
          </cell>
          <cell r="M2732" t="str">
            <v>C3421</v>
          </cell>
          <cell r="AC2732">
            <v>36.26287842</v>
          </cell>
          <cell r="AD2732">
            <v>34.978515629999997</v>
          </cell>
        </row>
        <row r="2733">
          <cell r="L2733" t="str">
            <v>المعيصرة</v>
          </cell>
          <cell r="M2733" t="str">
            <v>C3422</v>
          </cell>
          <cell r="AC2733">
            <v>36.233093259999997</v>
          </cell>
          <cell r="AD2733">
            <v>34.991699220000001</v>
          </cell>
        </row>
        <row r="2734">
          <cell r="L2734" t="str">
            <v>عين الكرم</v>
          </cell>
          <cell r="M2734" t="str">
            <v>C3424</v>
          </cell>
          <cell r="AC2734">
            <v>36.223876949999998</v>
          </cell>
          <cell r="AD2734">
            <v>35.018127440000001</v>
          </cell>
        </row>
        <row r="2735">
          <cell r="L2735" t="str">
            <v>الكاملية</v>
          </cell>
          <cell r="M2735" t="str">
            <v>C3425</v>
          </cell>
          <cell r="AC2735">
            <v>36.204895020000002</v>
          </cell>
          <cell r="AD2735">
            <v>35.009277339999997</v>
          </cell>
        </row>
        <row r="2736">
          <cell r="L2736" t="str">
            <v>الزيتونة</v>
          </cell>
          <cell r="M2736" t="str">
            <v>C3426</v>
          </cell>
          <cell r="AC2736">
            <v>36.221130369999997</v>
          </cell>
          <cell r="AD2736">
            <v>35.013488770000002</v>
          </cell>
        </row>
        <row r="2737">
          <cell r="L2737" t="str">
            <v>دوير المشايخ</v>
          </cell>
          <cell r="M2737" t="str">
            <v>C3427</v>
          </cell>
          <cell r="AC2737">
            <v>36.17071533</v>
          </cell>
          <cell r="AD2737">
            <v>35.001098630000001</v>
          </cell>
        </row>
        <row r="2738">
          <cell r="L2738" t="str">
            <v>العامرية</v>
          </cell>
          <cell r="M2738" t="str">
            <v>C3428</v>
          </cell>
          <cell r="AC2738">
            <v>36.227294919999999</v>
          </cell>
          <cell r="AD2738">
            <v>35.007690429999997</v>
          </cell>
        </row>
        <row r="2739">
          <cell r="L2739" t="str">
            <v>جبيتا</v>
          </cell>
          <cell r="M2739" t="str">
            <v>C3429</v>
          </cell>
          <cell r="AC2739">
            <v>36.209899900000003</v>
          </cell>
          <cell r="AD2739">
            <v>35.018676759999998</v>
          </cell>
        </row>
        <row r="2740">
          <cell r="L2740" t="str">
            <v>عين فراج</v>
          </cell>
          <cell r="M2740" t="str">
            <v>C3430</v>
          </cell>
          <cell r="AC2740">
            <v>36.22772217</v>
          </cell>
          <cell r="AD2740">
            <v>35.015930179999998</v>
          </cell>
        </row>
        <row r="2741">
          <cell r="L2741" t="str">
            <v>بيت رقطة</v>
          </cell>
          <cell r="M2741" t="str">
            <v>C3431</v>
          </cell>
          <cell r="AC2741">
            <v>36.237487790000003</v>
          </cell>
          <cell r="AD2741">
            <v>34.996276860000002</v>
          </cell>
        </row>
        <row r="2742">
          <cell r="L2742" t="str">
            <v>السنديانة</v>
          </cell>
          <cell r="M2742" t="str">
            <v>C3432</v>
          </cell>
          <cell r="AC2742">
            <v>36.258300779999999</v>
          </cell>
          <cell r="AD2742">
            <v>35.000305179999998</v>
          </cell>
        </row>
        <row r="2743">
          <cell r="L2743" t="str">
            <v>بيرة الجرد</v>
          </cell>
          <cell r="M2743" t="str">
            <v>C3433</v>
          </cell>
          <cell r="AC2743">
            <v>36.273071289999997</v>
          </cell>
          <cell r="AD2743">
            <v>34.965698240000002</v>
          </cell>
        </row>
        <row r="2744">
          <cell r="L2744" t="str">
            <v>وادي العيون</v>
          </cell>
          <cell r="M2744" t="str">
            <v>C3434</v>
          </cell>
          <cell r="AC2744">
            <v>36.190917970000001</v>
          </cell>
          <cell r="AD2744">
            <v>34.998474119999997</v>
          </cell>
        </row>
        <row r="2745">
          <cell r="L2745" t="str">
            <v>كفر لاها</v>
          </cell>
          <cell r="M2745" t="str">
            <v>C3435</v>
          </cell>
          <cell r="AC2745">
            <v>36.147888180000002</v>
          </cell>
          <cell r="AD2745">
            <v>34.975891109999999</v>
          </cell>
        </row>
        <row r="2746">
          <cell r="L2746" t="str">
            <v>قصية</v>
          </cell>
          <cell r="M2746" t="str">
            <v>C3436</v>
          </cell>
          <cell r="AC2746">
            <v>36.246521000000001</v>
          </cell>
          <cell r="AD2746">
            <v>34.983703609999999</v>
          </cell>
        </row>
        <row r="2747">
          <cell r="L2747" t="str">
            <v>نقير</v>
          </cell>
          <cell r="M2747" t="str">
            <v>C3437</v>
          </cell>
          <cell r="AC2747">
            <v>36.223876949999998</v>
          </cell>
          <cell r="AD2747">
            <v>34.995727539999997</v>
          </cell>
        </row>
        <row r="2748">
          <cell r="L2748" t="str">
            <v>شيزر</v>
          </cell>
          <cell r="M2748" t="str">
            <v>C3438</v>
          </cell>
          <cell r="AC2748">
            <v>36.560485839999998</v>
          </cell>
          <cell r="AD2748">
            <v>35.26147461</v>
          </cell>
        </row>
        <row r="2749">
          <cell r="L2749" t="str">
            <v>تل سكين</v>
          </cell>
          <cell r="M2749" t="str">
            <v>C3439</v>
          </cell>
          <cell r="AC2749">
            <v>36.470520020000002</v>
          </cell>
          <cell r="AD2749">
            <v>35.241882320000002</v>
          </cell>
        </row>
        <row r="2750">
          <cell r="L2750" t="str">
            <v>صفصافية</v>
          </cell>
          <cell r="M2750" t="str">
            <v>C3440</v>
          </cell>
          <cell r="AC2750">
            <v>36.477111819999998</v>
          </cell>
          <cell r="AD2750">
            <v>35.263916020000003</v>
          </cell>
        </row>
        <row r="2751">
          <cell r="L2751" t="str">
            <v>خربة سوبين</v>
          </cell>
          <cell r="M2751" t="str">
            <v>C3441</v>
          </cell>
          <cell r="AC2751">
            <v>36.630676270000002</v>
          </cell>
          <cell r="AD2751">
            <v>35.177673339999998</v>
          </cell>
        </row>
        <row r="2752">
          <cell r="L2752" t="str">
            <v>أبو ربيص</v>
          </cell>
          <cell r="M2752" t="str">
            <v>C3442</v>
          </cell>
          <cell r="AC2752">
            <v>36.512695309999998</v>
          </cell>
          <cell r="AD2752">
            <v>35.195495610000002</v>
          </cell>
        </row>
        <row r="2753">
          <cell r="L2753" t="str">
            <v>شير</v>
          </cell>
          <cell r="M2753" t="str">
            <v>C3443</v>
          </cell>
          <cell r="AC2753">
            <v>36.62109375</v>
          </cell>
          <cell r="AD2753">
            <v>35.193298339999998</v>
          </cell>
        </row>
        <row r="2754">
          <cell r="L2754" t="str">
            <v>المجدل</v>
          </cell>
          <cell r="M2754" t="str">
            <v>C3444</v>
          </cell>
          <cell r="AC2754">
            <v>36.589477539999997</v>
          </cell>
          <cell r="AD2754">
            <v>35.19647217</v>
          </cell>
        </row>
        <row r="2755">
          <cell r="L2755" t="str">
            <v>تل ملح</v>
          </cell>
          <cell r="M2755" t="str">
            <v>C3445</v>
          </cell>
          <cell r="AC2755">
            <v>36.518676759999998</v>
          </cell>
          <cell r="AD2755">
            <v>35.305908199999998</v>
          </cell>
        </row>
        <row r="2756">
          <cell r="L2756" t="str">
            <v>زلاقيات</v>
          </cell>
          <cell r="M2756" t="str">
            <v>C3446</v>
          </cell>
          <cell r="AC2756">
            <v>36.606689449999998</v>
          </cell>
          <cell r="AD2756">
            <v>35.278076169999999</v>
          </cell>
        </row>
        <row r="2757">
          <cell r="L2757" t="str">
            <v>تريمسة</v>
          </cell>
          <cell r="M2757" t="str">
            <v>C3447</v>
          </cell>
          <cell r="AC2757">
            <v>36.501892089999998</v>
          </cell>
          <cell r="AD2757">
            <v>35.273071289999997</v>
          </cell>
        </row>
        <row r="2758">
          <cell r="L2758" t="str">
            <v>الهوات</v>
          </cell>
          <cell r="M2758" t="str">
            <v>C3448</v>
          </cell>
          <cell r="AC2758">
            <v>36.521484379999997</v>
          </cell>
          <cell r="AD2758">
            <v>35.22772217</v>
          </cell>
        </row>
        <row r="2759">
          <cell r="L2759" t="str">
            <v>زور القعادة</v>
          </cell>
          <cell r="M2759" t="str">
            <v>C3449</v>
          </cell>
          <cell r="AC2759">
            <v>36.487915039999997</v>
          </cell>
          <cell r="AD2759">
            <v>35.266723630000001</v>
          </cell>
        </row>
        <row r="2760">
          <cell r="L2760" t="str">
            <v>أبو عبيدة الجراح</v>
          </cell>
          <cell r="M2760" t="str">
            <v>C3450</v>
          </cell>
          <cell r="AC2760">
            <v>36.576477050000001</v>
          </cell>
          <cell r="AD2760">
            <v>35.275695800000001</v>
          </cell>
        </row>
        <row r="2761">
          <cell r="L2761" t="str">
            <v>خنيزير</v>
          </cell>
          <cell r="M2761" t="str">
            <v>C3451</v>
          </cell>
          <cell r="AC2761">
            <v>36.53009033</v>
          </cell>
          <cell r="AD2761">
            <v>35.249694820000002</v>
          </cell>
        </row>
        <row r="2762">
          <cell r="L2762" t="str">
            <v>جريجس</v>
          </cell>
          <cell r="M2762" t="str">
            <v>C3452</v>
          </cell>
          <cell r="AC2762">
            <v>36.499694820000002</v>
          </cell>
          <cell r="AD2762">
            <v>35.194702149999998</v>
          </cell>
        </row>
        <row r="2763">
          <cell r="L2763" t="str">
            <v>حلفايا</v>
          </cell>
          <cell r="M2763" t="str">
            <v>C3453</v>
          </cell>
          <cell r="AC2763">
            <v>36.608886720000001</v>
          </cell>
          <cell r="AD2763">
            <v>35.258483890000001</v>
          </cell>
        </row>
        <row r="2764">
          <cell r="L2764" t="str">
            <v>الجديدة</v>
          </cell>
          <cell r="M2764" t="str">
            <v>C3454</v>
          </cell>
          <cell r="AC2764">
            <v>36.537292479999998</v>
          </cell>
          <cell r="AD2764">
            <v>35.283508300000001</v>
          </cell>
        </row>
        <row r="2765">
          <cell r="L2765" t="str">
            <v>كفر هود</v>
          </cell>
          <cell r="M2765" t="str">
            <v>C3455</v>
          </cell>
          <cell r="AC2765">
            <v>36.511291499999999</v>
          </cell>
          <cell r="AD2765">
            <v>35.287109379999997</v>
          </cell>
        </row>
        <row r="2766">
          <cell r="L2766" t="str">
            <v>معرزاف</v>
          </cell>
          <cell r="M2766" t="str">
            <v>C3456</v>
          </cell>
          <cell r="AC2766">
            <v>36.555297850000002</v>
          </cell>
          <cell r="AD2766">
            <v>35.204895020000002</v>
          </cell>
        </row>
        <row r="2767">
          <cell r="L2767" t="str">
            <v>محردة</v>
          </cell>
          <cell r="M2767" t="str">
            <v>C3457</v>
          </cell>
          <cell r="AC2767">
            <v>36.574523929999998</v>
          </cell>
          <cell r="AD2767">
            <v>35.246704100000002</v>
          </cell>
        </row>
        <row r="2768">
          <cell r="L2768" t="str">
            <v>اللطامنة</v>
          </cell>
          <cell r="M2768" t="str">
            <v>C3458</v>
          </cell>
          <cell r="AC2768">
            <v>36.623291020000003</v>
          </cell>
          <cell r="AD2768">
            <v>35.320678710000003</v>
          </cell>
        </row>
        <row r="2769">
          <cell r="L2769" t="str">
            <v>حماميات</v>
          </cell>
          <cell r="M2769" t="str">
            <v>C3459</v>
          </cell>
          <cell r="AC2769">
            <v>36.538085940000002</v>
          </cell>
          <cell r="AD2769">
            <v>35.379089360000002</v>
          </cell>
        </row>
        <row r="2770">
          <cell r="L2770" t="str">
            <v>صياد</v>
          </cell>
          <cell r="M2770" t="str">
            <v>C3460</v>
          </cell>
          <cell r="AC2770">
            <v>36.619873050000002</v>
          </cell>
          <cell r="AD2770">
            <v>35.398498539999999</v>
          </cell>
        </row>
        <row r="2771">
          <cell r="L2771" t="str">
            <v>الزكاة</v>
          </cell>
          <cell r="M2771" t="str">
            <v>C3461</v>
          </cell>
          <cell r="AC2771">
            <v>36.57629395</v>
          </cell>
          <cell r="AD2771">
            <v>35.340698240000002</v>
          </cell>
        </row>
        <row r="2772">
          <cell r="L2772" t="str">
            <v>الأربعين</v>
          </cell>
          <cell r="M2772" t="str">
            <v>C3462</v>
          </cell>
          <cell r="AC2772">
            <v>36.558288570000002</v>
          </cell>
          <cell r="AD2772">
            <v>35.353271479999997</v>
          </cell>
        </row>
        <row r="2773">
          <cell r="L2773" t="str">
            <v>كفر زيتا</v>
          </cell>
          <cell r="M2773" t="str">
            <v>C3463</v>
          </cell>
          <cell r="AC2773">
            <v>36.601928710000003</v>
          </cell>
          <cell r="AD2773">
            <v>35.373718259999997</v>
          </cell>
        </row>
        <row r="2774">
          <cell r="L2774" t="str">
            <v>لطمين</v>
          </cell>
          <cell r="M2774" t="str">
            <v>C3464</v>
          </cell>
          <cell r="AC2774">
            <v>36.653076169999999</v>
          </cell>
          <cell r="AD2774">
            <v>35.358520509999998</v>
          </cell>
        </row>
        <row r="2775">
          <cell r="L2775" t="str">
            <v>المغير</v>
          </cell>
          <cell r="M2775" t="str">
            <v>C3465</v>
          </cell>
          <cell r="AC2775">
            <v>36.487670899999998</v>
          </cell>
          <cell r="AD2775">
            <v>35.4083252</v>
          </cell>
        </row>
        <row r="2776">
          <cell r="L2776" t="str">
            <v>جبين</v>
          </cell>
          <cell r="M2776" t="str">
            <v>C3466</v>
          </cell>
          <cell r="AC2776">
            <v>36.51287842</v>
          </cell>
          <cell r="AD2776">
            <v>35.338500979999999</v>
          </cell>
        </row>
        <row r="2777">
          <cell r="L2777" t="str">
            <v>شيخ حديد</v>
          </cell>
          <cell r="M2777" t="str">
            <v>C3467</v>
          </cell>
          <cell r="AC2777">
            <v>36.483703609999999</v>
          </cell>
          <cell r="AD2777">
            <v>35.353515629999997</v>
          </cell>
        </row>
        <row r="2778">
          <cell r="L2778" t="str">
            <v>الجلمة</v>
          </cell>
          <cell r="M2778" t="str">
            <v>C3468</v>
          </cell>
          <cell r="AC2778">
            <v>36.486511229999998</v>
          </cell>
          <cell r="AD2778">
            <v>35.325317380000001</v>
          </cell>
        </row>
        <row r="2779">
          <cell r="L2779" t="str">
            <v>كرناز</v>
          </cell>
          <cell r="M2779" t="str">
            <v>C3469</v>
          </cell>
          <cell r="AC2779">
            <v>36.486083979999997</v>
          </cell>
          <cell r="AD2779">
            <v>35.387329100000002</v>
          </cell>
        </row>
        <row r="2780">
          <cell r="L2780" t="str">
            <v>ستمرخو</v>
          </cell>
          <cell r="M2780" t="str">
            <v>C3470</v>
          </cell>
          <cell r="AC2780">
            <v>35.850708009999998</v>
          </cell>
          <cell r="AD2780">
            <v>35.587280270000001</v>
          </cell>
        </row>
        <row r="2781">
          <cell r="L2781" t="str">
            <v>القنجرة</v>
          </cell>
          <cell r="M2781" t="str">
            <v>C3471</v>
          </cell>
          <cell r="AC2781">
            <v>35.810119630000003</v>
          </cell>
          <cell r="AD2781">
            <v>35.580505369999997</v>
          </cell>
        </row>
        <row r="2782">
          <cell r="L2782" t="str">
            <v>المغريط</v>
          </cell>
          <cell r="M2782" t="str">
            <v>C3472</v>
          </cell>
          <cell r="AC2782">
            <v>35.83111572</v>
          </cell>
          <cell r="AD2782">
            <v>35.605285649999999</v>
          </cell>
        </row>
        <row r="2783">
          <cell r="L2783" t="str">
            <v>بكسا</v>
          </cell>
          <cell r="M2783" t="str">
            <v>C3473</v>
          </cell>
          <cell r="AC2783">
            <v>35.820678710000003</v>
          </cell>
          <cell r="AD2783">
            <v>35.570922850000002</v>
          </cell>
        </row>
        <row r="2784">
          <cell r="L2784" t="str">
            <v>برج القصب</v>
          </cell>
          <cell r="M2784" t="str">
            <v>C3474</v>
          </cell>
          <cell r="AC2784">
            <v>35.784728999999999</v>
          </cell>
          <cell r="AD2784">
            <v>35.597106930000002</v>
          </cell>
        </row>
        <row r="2785">
          <cell r="L2785" t="str">
            <v>شاميه /اللاذقية/</v>
          </cell>
          <cell r="M2785" t="str">
            <v>C3476</v>
          </cell>
          <cell r="AC2785">
            <v>35.809875490000003</v>
          </cell>
          <cell r="AD2785">
            <v>35.634704589999998</v>
          </cell>
        </row>
        <row r="2786">
          <cell r="L2786" t="str">
            <v>جناتا</v>
          </cell>
          <cell r="M2786" t="str">
            <v>C3477</v>
          </cell>
          <cell r="AC2786">
            <v>35.823486330000001</v>
          </cell>
          <cell r="AD2786">
            <v>35.581481930000002</v>
          </cell>
        </row>
        <row r="2787">
          <cell r="L2787" t="str">
            <v>روضو</v>
          </cell>
          <cell r="M2787" t="str">
            <v>C3478</v>
          </cell>
          <cell r="AC2787">
            <v>35.858093259999997</v>
          </cell>
          <cell r="AD2787">
            <v>35.560485839999998</v>
          </cell>
        </row>
        <row r="2788">
          <cell r="L2788" t="str">
            <v>اللاذقية</v>
          </cell>
          <cell r="M2788" t="str">
            <v>C3480</v>
          </cell>
          <cell r="AC2788">
            <v>35.789672850000002</v>
          </cell>
          <cell r="AD2788">
            <v>35.539123539999999</v>
          </cell>
        </row>
        <row r="2789">
          <cell r="L2789" t="str">
            <v>شيخ الحمى</v>
          </cell>
          <cell r="M2789" t="str">
            <v>C3481</v>
          </cell>
          <cell r="AC2789">
            <v>35.852111819999998</v>
          </cell>
          <cell r="AD2789">
            <v>35.5020752</v>
          </cell>
        </row>
        <row r="2790">
          <cell r="L2790" t="str">
            <v>مشيرفة الساموك</v>
          </cell>
          <cell r="M2790" t="str">
            <v>C3482</v>
          </cell>
          <cell r="AC2790">
            <v>35.858520509999998</v>
          </cell>
          <cell r="AD2790">
            <v>35.601928710000003</v>
          </cell>
        </row>
        <row r="2791">
          <cell r="L2791" t="str">
            <v>كرسانا</v>
          </cell>
          <cell r="M2791" t="str">
            <v>C3483</v>
          </cell>
          <cell r="AC2791">
            <v>35.823730470000001</v>
          </cell>
          <cell r="AD2791">
            <v>35.61810303</v>
          </cell>
        </row>
        <row r="2792">
          <cell r="L2792" t="str">
            <v>عين اللبن</v>
          </cell>
          <cell r="M2792" t="str">
            <v>C3484</v>
          </cell>
          <cell r="AC2792">
            <v>35.890502929999997</v>
          </cell>
          <cell r="AD2792">
            <v>35.59649658</v>
          </cell>
        </row>
        <row r="2793">
          <cell r="L2793" t="str">
            <v>جبريون</v>
          </cell>
          <cell r="M2793" t="str">
            <v>C3485</v>
          </cell>
          <cell r="AC2793">
            <v>35.910705569999998</v>
          </cell>
          <cell r="AD2793">
            <v>35.59191895</v>
          </cell>
        </row>
        <row r="2794">
          <cell r="L2794" t="str">
            <v>الزوبار</v>
          </cell>
          <cell r="M2794" t="str">
            <v>C3486</v>
          </cell>
          <cell r="AC2794">
            <v>36.019103999999999</v>
          </cell>
          <cell r="AD2794">
            <v>35.631286619999997</v>
          </cell>
        </row>
        <row r="2795">
          <cell r="L2795" t="str">
            <v>البهلولية</v>
          </cell>
          <cell r="M2795" t="str">
            <v>C3487</v>
          </cell>
          <cell r="AC2795">
            <v>35.957885740000002</v>
          </cell>
          <cell r="AD2795">
            <v>35.634704589999998</v>
          </cell>
        </row>
        <row r="2796">
          <cell r="L2796" t="str">
            <v>السفكون</v>
          </cell>
          <cell r="M2796" t="str">
            <v>C3488</v>
          </cell>
          <cell r="AC2796">
            <v>36.005920410000002</v>
          </cell>
          <cell r="AD2796">
            <v>35.650878910000003</v>
          </cell>
        </row>
        <row r="2797">
          <cell r="L2797" t="str">
            <v>القرامه</v>
          </cell>
          <cell r="M2797" t="str">
            <v>C3489</v>
          </cell>
          <cell r="AC2797">
            <v>35.98828125</v>
          </cell>
          <cell r="AD2797">
            <v>35.649902339999997</v>
          </cell>
        </row>
        <row r="2798">
          <cell r="L2798" t="str">
            <v>رويسة قسيس</v>
          </cell>
          <cell r="M2798" t="str">
            <v>C3490</v>
          </cell>
          <cell r="AC2798">
            <v>35.980102539999997</v>
          </cell>
          <cell r="AD2798">
            <v>35.627929690000002</v>
          </cell>
        </row>
        <row r="2799">
          <cell r="L2799" t="str">
            <v>الجنديرية جندرية</v>
          </cell>
          <cell r="M2799" t="str">
            <v>C3491</v>
          </cell>
          <cell r="AC2799">
            <v>35.882690429999997</v>
          </cell>
          <cell r="AD2799">
            <v>35.589477539999997</v>
          </cell>
        </row>
        <row r="2800">
          <cell r="L2800" t="str">
            <v>برابشبو</v>
          </cell>
          <cell r="M2800" t="str">
            <v>C3492</v>
          </cell>
          <cell r="AC2800">
            <v>36.01171875</v>
          </cell>
          <cell r="AD2800">
            <v>35.6270752</v>
          </cell>
        </row>
        <row r="2801">
          <cell r="L2801" t="str">
            <v>بدميون</v>
          </cell>
          <cell r="M2801" t="str">
            <v>C3493</v>
          </cell>
          <cell r="AC2801">
            <v>35.906677250000001</v>
          </cell>
          <cell r="AD2801">
            <v>35.580505369999997</v>
          </cell>
        </row>
        <row r="2802">
          <cell r="L2802" t="str">
            <v>العمرونية</v>
          </cell>
          <cell r="M2802" t="str">
            <v>C3494</v>
          </cell>
          <cell r="AC2802">
            <v>35.869689940000001</v>
          </cell>
          <cell r="AD2802">
            <v>35.572326660000002</v>
          </cell>
        </row>
        <row r="2803">
          <cell r="L2803" t="str">
            <v>الكركيت</v>
          </cell>
          <cell r="M2803" t="str">
            <v>C3495</v>
          </cell>
          <cell r="AC2803">
            <v>35.982299810000001</v>
          </cell>
          <cell r="AD2803">
            <v>35.62109375</v>
          </cell>
        </row>
        <row r="2804">
          <cell r="L2804" t="str">
            <v>فدره</v>
          </cell>
          <cell r="M2804" t="str">
            <v>C3496</v>
          </cell>
          <cell r="AC2804">
            <v>35.977111819999998</v>
          </cell>
          <cell r="AD2804">
            <v>35.609680179999998</v>
          </cell>
        </row>
        <row r="2805">
          <cell r="L2805" t="str">
            <v>قبارصية</v>
          </cell>
          <cell r="M2805" t="str">
            <v>C3497</v>
          </cell>
          <cell r="AC2805">
            <v>35.913085940000002</v>
          </cell>
          <cell r="AD2805">
            <v>35.566711429999998</v>
          </cell>
        </row>
        <row r="2806">
          <cell r="L2806" t="str">
            <v>ربيعة</v>
          </cell>
          <cell r="M2806" t="str">
            <v>C3498</v>
          </cell>
          <cell r="AC2806">
            <v>36.036682130000003</v>
          </cell>
          <cell r="AD2806">
            <v>35.785888669999999</v>
          </cell>
        </row>
        <row r="2807">
          <cell r="L2807" t="str">
            <v>دير حنا / اللاذقية</v>
          </cell>
          <cell r="M2807" t="str">
            <v>C3499</v>
          </cell>
          <cell r="AC2807">
            <v>36.018493650000003</v>
          </cell>
          <cell r="AD2807">
            <v>35.707885740000002</v>
          </cell>
        </row>
        <row r="2808">
          <cell r="L2808" t="str">
            <v>غمام</v>
          </cell>
          <cell r="M2808" t="str">
            <v>C3500</v>
          </cell>
          <cell r="AC2808">
            <v>36.00689697</v>
          </cell>
          <cell r="AD2808">
            <v>35.674072270000003</v>
          </cell>
        </row>
        <row r="2809">
          <cell r="L2809" t="str">
            <v>السامرة_سللور</v>
          </cell>
          <cell r="M2809" t="str">
            <v>C3501</v>
          </cell>
          <cell r="AC2809">
            <v>36.114501949999998</v>
          </cell>
          <cell r="AD2809">
            <v>35.835083009999998</v>
          </cell>
        </row>
        <row r="2810">
          <cell r="L2810" t="str">
            <v>الخضراء_كوكطاغ</v>
          </cell>
          <cell r="M2810" t="str">
            <v>C3502</v>
          </cell>
          <cell r="AC2810">
            <v>35.99609375</v>
          </cell>
          <cell r="AD2810">
            <v>35.812072749999999</v>
          </cell>
        </row>
        <row r="2811">
          <cell r="L2811" t="str">
            <v>شحرورة_شمروران</v>
          </cell>
          <cell r="M2811" t="str">
            <v>C3503</v>
          </cell>
          <cell r="AC2811">
            <v>36.105102539999997</v>
          </cell>
          <cell r="AD2811">
            <v>35.822692869999997</v>
          </cell>
        </row>
        <row r="2812">
          <cell r="L2812" t="str">
            <v>جورة الماء</v>
          </cell>
          <cell r="M2812" t="str">
            <v>C3504</v>
          </cell>
          <cell r="AC2812">
            <v>36.004516600000002</v>
          </cell>
          <cell r="AD2812">
            <v>35.716308589999997</v>
          </cell>
        </row>
        <row r="2813">
          <cell r="L2813" t="str">
            <v>ريحانة مصيبين</v>
          </cell>
          <cell r="M2813" t="str">
            <v>C3505</v>
          </cell>
          <cell r="AC2813">
            <v>36.059326169999999</v>
          </cell>
          <cell r="AD2813">
            <v>35.757080080000001</v>
          </cell>
        </row>
        <row r="2814">
          <cell r="L2814" t="str">
            <v>القصب</v>
          </cell>
          <cell r="M2814" t="str">
            <v>C3506</v>
          </cell>
          <cell r="AC2814">
            <v>36.053894040000003</v>
          </cell>
          <cell r="AD2814">
            <v>35.710876470000002</v>
          </cell>
        </row>
        <row r="2815">
          <cell r="L2815" t="str">
            <v>الريم دغمشلية</v>
          </cell>
          <cell r="M2815" t="str">
            <v>C3507</v>
          </cell>
          <cell r="AC2815">
            <v>36.024475099999997</v>
          </cell>
          <cell r="AD2815">
            <v>35.685485839999998</v>
          </cell>
        </row>
        <row r="2816">
          <cell r="L2816" t="str">
            <v>البيضاء_أغجة باير</v>
          </cell>
          <cell r="M2816" t="str">
            <v>C3508</v>
          </cell>
          <cell r="AC2816">
            <v>36.102294919999999</v>
          </cell>
          <cell r="AD2816">
            <v>35.790100099999997</v>
          </cell>
        </row>
        <row r="2817">
          <cell r="L2817" t="str">
            <v>السودة_قرة جاغز</v>
          </cell>
          <cell r="M2817" t="str">
            <v>C3509</v>
          </cell>
          <cell r="AC2817">
            <v>36.08111572</v>
          </cell>
          <cell r="AD2817">
            <v>35.823730470000001</v>
          </cell>
        </row>
        <row r="2818">
          <cell r="L2818" t="str">
            <v>حلوة_شرن</v>
          </cell>
          <cell r="M2818" t="str">
            <v>C3510</v>
          </cell>
          <cell r="AC2818">
            <v>35.999511720000001</v>
          </cell>
          <cell r="AD2818">
            <v>35.793518069999998</v>
          </cell>
        </row>
        <row r="2819">
          <cell r="L2819" t="str">
            <v>سكرية</v>
          </cell>
          <cell r="M2819" t="str">
            <v>C3511</v>
          </cell>
          <cell r="AC2819">
            <v>36.03149414</v>
          </cell>
          <cell r="AD2819">
            <v>35.747314449999998</v>
          </cell>
        </row>
        <row r="2820">
          <cell r="L2820" t="str">
            <v>عالية_قروجة</v>
          </cell>
          <cell r="M2820" t="str">
            <v>C3512</v>
          </cell>
          <cell r="AC2820">
            <v>36.09191895</v>
          </cell>
          <cell r="AD2820">
            <v>35.762695309999998</v>
          </cell>
        </row>
        <row r="2821">
          <cell r="L2821" t="str">
            <v>الدرة_قولجق</v>
          </cell>
          <cell r="M2821" t="str">
            <v>C3513</v>
          </cell>
          <cell r="AC2821">
            <v>36.048706060000001</v>
          </cell>
          <cell r="AD2821">
            <v>35.814697270000003</v>
          </cell>
        </row>
        <row r="2822">
          <cell r="L2822" t="str">
            <v>عين عيسى_عين بنار</v>
          </cell>
          <cell r="M2822" t="str">
            <v>C3514</v>
          </cell>
          <cell r="AC2822">
            <v>36.109313970000002</v>
          </cell>
          <cell r="AD2822">
            <v>35.810119630000003</v>
          </cell>
        </row>
        <row r="2823">
          <cell r="L2823" t="str">
            <v>الصباحية_الكنديسة</v>
          </cell>
          <cell r="M2823" t="str">
            <v>C3515</v>
          </cell>
          <cell r="AC2823">
            <v>36.013671879999997</v>
          </cell>
          <cell r="AD2823">
            <v>35.739318849999997</v>
          </cell>
        </row>
        <row r="2824">
          <cell r="L2824" t="str">
            <v>الحمراء قزلجورة</v>
          </cell>
          <cell r="M2824" t="str">
            <v>C3516</v>
          </cell>
          <cell r="AC2824">
            <v>35.992919919999999</v>
          </cell>
          <cell r="AD2824">
            <v>35.730896000000001</v>
          </cell>
        </row>
        <row r="2825">
          <cell r="L2825" t="str">
            <v>المطلة_الزويك</v>
          </cell>
          <cell r="M2825" t="str">
            <v>C3517</v>
          </cell>
          <cell r="AC2825">
            <v>36.041503910000003</v>
          </cell>
          <cell r="AD2825">
            <v>35.69830322</v>
          </cell>
        </row>
        <row r="2826">
          <cell r="L2826" t="str">
            <v>كبير تحتاني</v>
          </cell>
          <cell r="M2826" t="str">
            <v>C3518</v>
          </cell>
          <cell r="AC2826">
            <v>36.012695309999998</v>
          </cell>
          <cell r="AD2826">
            <v>35.82971191</v>
          </cell>
        </row>
        <row r="2827">
          <cell r="L2827" t="str">
            <v>عين البيضة</v>
          </cell>
          <cell r="M2827" t="str">
            <v>C3519</v>
          </cell>
          <cell r="AC2827">
            <v>35.890075680000002</v>
          </cell>
          <cell r="AD2827">
            <v>35.654296879999997</v>
          </cell>
        </row>
        <row r="2828">
          <cell r="L2828" t="str">
            <v>برج إسلام</v>
          </cell>
          <cell r="M2828" t="str">
            <v>C3520</v>
          </cell>
          <cell r="AC2828">
            <v>35.804504399999999</v>
          </cell>
          <cell r="AD2828">
            <v>35.675476070000002</v>
          </cell>
        </row>
        <row r="2829">
          <cell r="L2829" t="str">
            <v>السرسكية</v>
          </cell>
          <cell r="M2829" t="str">
            <v>C3521</v>
          </cell>
          <cell r="AC2829">
            <v>35.929870610000002</v>
          </cell>
          <cell r="AD2829">
            <v>35.707702640000001</v>
          </cell>
        </row>
        <row r="2830">
          <cell r="L2830" t="str">
            <v>التربة</v>
          </cell>
          <cell r="M2830" t="str">
            <v>C3522</v>
          </cell>
          <cell r="AC2830">
            <v>35.890686039999999</v>
          </cell>
          <cell r="AD2830">
            <v>35.662719729999999</v>
          </cell>
        </row>
        <row r="2831">
          <cell r="L2831" t="str">
            <v>الشبطلية</v>
          </cell>
          <cell r="M2831" t="str">
            <v>C3523</v>
          </cell>
          <cell r="AC2831">
            <v>35.826904300000002</v>
          </cell>
          <cell r="AD2831">
            <v>35.6875</v>
          </cell>
        </row>
        <row r="2832">
          <cell r="L2832" t="str">
            <v>القلوف</v>
          </cell>
          <cell r="M2832" t="str">
            <v>C3524</v>
          </cell>
          <cell r="AC2832">
            <v>35.882324220000001</v>
          </cell>
          <cell r="AD2832">
            <v>35.644103999999999</v>
          </cell>
        </row>
        <row r="2833">
          <cell r="L2833" t="str">
            <v>رويسة قسمين</v>
          </cell>
          <cell r="M2833" t="str">
            <v>C3525</v>
          </cell>
          <cell r="AC2833">
            <v>35.905273440000002</v>
          </cell>
          <cell r="AD2833">
            <v>35.633483890000001</v>
          </cell>
        </row>
        <row r="2834">
          <cell r="L2834" t="str">
            <v>الكنيسات</v>
          </cell>
          <cell r="M2834" t="str">
            <v>C3526</v>
          </cell>
          <cell r="AC2834">
            <v>35.89727783</v>
          </cell>
          <cell r="AD2834">
            <v>35.619323729999998</v>
          </cell>
        </row>
        <row r="2835">
          <cell r="L2835" t="str">
            <v>الصفصاف</v>
          </cell>
          <cell r="M2835" t="str">
            <v>C3527</v>
          </cell>
          <cell r="AC2835">
            <v>35.925903320000003</v>
          </cell>
          <cell r="AD2835">
            <v>35.652709960000003</v>
          </cell>
        </row>
        <row r="2836">
          <cell r="L2836" t="str">
            <v>زغارو</v>
          </cell>
          <cell r="M2836" t="str">
            <v>C3528</v>
          </cell>
          <cell r="AC2836">
            <v>35.993713380000003</v>
          </cell>
          <cell r="AD2836">
            <v>35.682922359999999</v>
          </cell>
        </row>
        <row r="2837">
          <cell r="L2837" t="str">
            <v>القادرية_برنة</v>
          </cell>
          <cell r="M2837" t="str">
            <v>C3529</v>
          </cell>
          <cell r="AC2837">
            <v>35.858886720000001</v>
          </cell>
          <cell r="AD2837">
            <v>35.631713869999999</v>
          </cell>
        </row>
        <row r="2838">
          <cell r="L2838" t="str">
            <v>الجوزية</v>
          </cell>
          <cell r="M2838" t="str">
            <v>C3530</v>
          </cell>
          <cell r="AC2838">
            <v>35.85272217</v>
          </cell>
          <cell r="AD2838">
            <v>35.646484379999997</v>
          </cell>
        </row>
        <row r="2839">
          <cell r="L2839" t="str">
            <v>خربة الجوزية</v>
          </cell>
          <cell r="M2839" t="str">
            <v>C3531</v>
          </cell>
          <cell r="AC2839">
            <v>35.84350586</v>
          </cell>
          <cell r="AD2839">
            <v>35.659728999999999</v>
          </cell>
        </row>
        <row r="2840">
          <cell r="L2840" t="str">
            <v>صليب التركمان</v>
          </cell>
          <cell r="M2840" t="str">
            <v>C3532</v>
          </cell>
          <cell r="AC2840">
            <v>35.813110350000002</v>
          </cell>
          <cell r="AD2840">
            <v>35.687683110000002</v>
          </cell>
        </row>
        <row r="2841">
          <cell r="L2841" t="str">
            <v>سولاس</v>
          </cell>
          <cell r="M2841" t="str">
            <v>C3533</v>
          </cell>
          <cell r="AC2841">
            <v>35.95471191</v>
          </cell>
          <cell r="AD2841">
            <v>35.671875</v>
          </cell>
        </row>
        <row r="2842">
          <cell r="L2842" t="str">
            <v>قسمين</v>
          </cell>
          <cell r="M2842" t="str">
            <v>C3534</v>
          </cell>
          <cell r="AC2842">
            <v>35.9005127</v>
          </cell>
          <cell r="AD2842">
            <v>35.630920410000002</v>
          </cell>
        </row>
        <row r="2843">
          <cell r="L2843" t="str">
            <v>ماخوس</v>
          </cell>
          <cell r="M2843" t="str">
            <v>C3535</v>
          </cell>
          <cell r="AC2843">
            <v>35.910278320000003</v>
          </cell>
          <cell r="AD2843">
            <v>35.671875</v>
          </cell>
        </row>
        <row r="2844">
          <cell r="L2844" t="str">
            <v>مشقيتا</v>
          </cell>
          <cell r="M2844" t="str">
            <v>C3536</v>
          </cell>
          <cell r="AC2844">
            <v>35.901489259999998</v>
          </cell>
          <cell r="AD2844">
            <v>35.667480470000001</v>
          </cell>
        </row>
        <row r="2845">
          <cell r="L2845" t="str">
            <v>البدروسية</v>
          </cell>
          <cell r="M2845" t="str">
            <v>C3537</v>
          </cell>
          <cell r="AC2845">
            <v>35.895507809999998</v>
          </cell>
          <cell r="AD2845">
            <v>35.890319820000002</v>
          </cell>
        </row>
        <row r="2846">
          <cell r="L2846" t="str">
            <v>المزرعة</v>
          </cell>
          <cell r="M2846" t="str">
            <v>C3538</v>
          </cell>
          <cell r="AC2846">
            <v>35.947509770000003</v>
          </cell>
          <cell r="AD2846">
            <v>35.799499509999997</v>
          </cell>
        </row>
        <row r="2847">
          <cell r="L2847" t="str">
            <v>الشيخ حسن_فاقي حسن</v>
          </cell>
          <cell r="M2847" t="str">
            <v>C3539</v>
          </cell>
          <cell r="AC2847">
            <v>35.908081060000001</v>
          </cell>
          <cell r="AD2847">
            <v>35.868713380000003</v>
          </cell>
        </row>
        <row r="2848">
          <cell r="L2848" t="str">
            <v>الصوانية_قباطاش</v>
          </cell>
          <cell r="M2848" t="str">
            <v>C3540</v>
          </cell>
          <cell r="AC2848">
            <v>35.881103520000003</v>
          </cell>
          <cell r="AD2848">
            <v>35.848693849999997</v>
          </cell>
        </row>
        <row r="2849">
          <cell r="L2849" t="str">
            <v>زنزف</v>
          </cell>
          <cell r="M2849" t="str">
            <v>C3541</v>
          </cell>
          <cell r="AC2849">
            <v>35.919921879999997</v>
          </cell>
          <cell r="AD2849">
            <v>35.805725099999997</v>
          </cell>
        </row>
        <row r="2850">
          <cell r="L2850" t="str">
            <v>الريانة_الشامرلية</v>
          </cell>
          <cell r="M2850" t="str">
            <v>C3542</v>
          </cell>
          <cell r="AC2850">
            <v>35.945495610000002</v>
          </cell>
          <cell r="AD2850">
            <v>35.787109379999997</v>
          </cell>
        </row>
        <row r="2851">
          <cell r="L2851" t="str">
            <v>بللورة_بللوران</v>
          </cell>
          <cell r="M2851" t="str">
            <v>C3543</v>
          </cell>
          <cell r="AC2851">
            <v>35.903320309999998</v>
          </cell>
          <cell r="AD2851">
            <v>35.753112790000003</v>
          </cell>
        </row>
        <row r="2852">
          <cell r="L2852" t="str">
            <v>أم الطيور_طرنجة</v>
          </cell>
          <cell r="M2852" t="str">
            <v>C3544</v>
          </cell>
          <cell r="AC2852">
            <v>35.85571289</v>
          </cell>
          <cell r="AD2852">
            <v>35.75549316</v>
          </cell>
        </row>
        <row r="2853">
          <cell r="L2853" t="str">
            <v>بيت عوان</v>
          </cell>
          <cell r="M2853" t="str">
            <v>C3545</v>
          </cell>
          <cell r="AC2853">
            <v>35.97888184</v>
          </cell>
          <cell r="AD2853">
            <v>35.764282229999999</v>
          </cell>
        </row>
        <row r="2854">
          <cell r="L2854" t="str">
            <v>السرايا</v>
          </cell>
          <cell r="M2854" t="str">
            <v>C3546</v>
          </cell>
          <cell r="AC2854">
            <v>35.961303710000003</v>
          </cell>
          <cell r="AD2854">
            <v>35.779724119999997</v>
          </cell>
        </row>
        <row r="2855">
          <cell r="L2855" t="str">
            <v>زغرين</v>
          </cell>
          <cell r="M2855" t="str">
            <v>C3547</v>
          </cell>
          <cell r="AC2855">
            <v>35.897705080000001</v>
          </cell>
          <cell r="AD2855">
            <v>35.726074220000001</v>
          </cell>
        </row>
        <row r="2856">
          <cell r="L2856" t="str">
            <v>الضامات</v>
          </cell>
          <cell r="M2856" t="str">
            <v>C3548</v>
          </cell>
          <cell r="AC2856">
            <v>35.851928710000003</v>
          </cell>
          <cell r="AD2856">
            <v>35.720275880000003</v>
          </cell>
        </row>
        <row r="2857">
          <cell r="L2857" t="str">
            <v>العيسوية_عيسى بكلي</v>
          </cell>
          <cell r="M2857" t="str">
            <v>C3549</v>
          </cell>
          <cell r="AC2857">
            <v>35.860473630000001</v>
          </cell>
          <cell r="AD2857">
            <v>35.800109859999999</v>
          </cell>
        </row>
        <row r="2858">
          <cell r="L2858" t="str">
            <v>الفلاح_قره فلاح</v>
          </cell>
          <cell r="M2858" t="str">
            <v>C3550</v>
          </cell>
          <cell r="AC2858">
            <v>35.899475099999997</v>
          </cell>
          <cell r="AD2858">
            <v>35.80169678</v>
          </cell>
        </row>
        <row r="2859">
          <cell r="L2859" t="str">
            <v>الحراجية_قرة جالية</v>
          </cell>
          <cell r="M2859" t="str">
            <v>C3551</v>
          </cell>
          <cell r="AC2859">
            <v>35.87109375</v>
          </cell>
          <cell r="AD2859">
            <v>35.744323729999998</v>
          </cell>
        </row>
        <row r="2860">
          <cell r="L2860" t="str">
            <v>زيتونة_زيتونجوك</v>
          </cell>
          <cell r="M2860" t="str">
            <v>C3552</v>
          </cell>
          <cell r="AC2860">
            <v>35.896484379999997</v>
          </cell>
          <cell r="AD2860">
            <v>35.785888669999999</v>
          </cell>
        </row>
        <row r="2861">
          <cell r="L2861" t="str">
            <v>الدفلة_قره طاطا</v>
          </cell>
          <cell r="M2861" t="str">
            <v>C3553</v>
          </cell>
          <cell r="AC2861">
            <v>35.872924810000001</v>
          </cell>
          <cell r="AD2861">
            <v>35.829101559999998</v>
          </cell>
        </row>
        <row r="2862">
          <cell r="L2862" t="str">
            <v>الغسانية_كشيش</v>
          </cell>
          <cell r="M2862" t="str">
            <v>C3554</v>
          </cell>
          <cell r="AC2862">
            <v>35.901489259999998</v>
          </cell>
          <cell r="AD2862">
            <v>35.829101559999998</v>
          </cell>
        </row>
        <row r="2863">
          <cell r="L2863" t="str">
            <v>قسطل معاف</v>
          </cell>
          <cell r="M2863" t="str">
            <v>C3555</v>
          </cell>
          <cell r="AC2863">
            <v>35.953308110000002</v>
          </cell>
          <cell r="AD2863">
            <v>35.825683589999997</v>
          </cell>
        </row>
        <row r="2864">
          <cell r="L2864" t="str">
            <v>المشرفة_بغجنفاز</v>
          </cell>
          <cell r="M2864" t="str">
            <v>C3556</v>
          </cell>
          <cell r="AC2864">
            <v>35.934326169999999</v>
          </cell>
          <cell r="AD2864">
            <v>35.893920899999998</v>
          </cell>
        </row>
        <row r="2865">
          <cell r="L2865" t="str">
            <v>كسب</v>
          </cell>
          <cell r="M2865" t="str">
            <v>C3557</v>
          </cell>
          <cell r="AC2865">
            <v>35.985473630000001</v>
          </cell>
          <cell r="AD2865">
            <v>35.918273929999998</v>
          </cell>
        </row>
        <row r="2866">
          <cell r="L2866" t="str">
            <v>البصه</v>
          </cell>
          <cell r="M2866" t="str">
            <v>C3558</v>
          </cell>
          <cell r="AC2866">
            <v>35.839111330000001</v>
          </cell>
          <cell r="AD2866">
            <v>35.508300779999999</v>
          </cell>
        </row>
        <row r="2867">
          <cell r="L2867" t="str">
            <v>خلاله</v>
          </cell>
          <cell r="M2867" t="str">
            <v>C3559</v>
          </cell>
          <cell r="AC2867">
            <v>35.871887209999997</v>
          </cell>
          <cell r="AD2867">
            <v>35.525085449999999</v>
          </cell>
        </row>
        <row r="2868">
          <cell r="L2868" t="str">
            <v>دبا</v>
          </cell>
          <cell r="M2868" t="str">
            <v>C3560</v>
          </cell>
          <cell r="AC2868">
            <v>35.906921390000001</v>
          </cell>
          <cell r="AD2868">
            <v>35.537292479999998</v>
          </cell>
        </row>
        <row r="2869">
          <cell r="L2869" t="str">
            <v>الصنوبر</v>
          </cell>
          <cell r="M2869" t="str">
            <v>C3561</v>
          </cell>
          <cell r="AC2869">
            <v>35.885314940000001</v>
          </cell>
          <cell r="AD2869">
            <v>35.475891109999999</v>
          </cell>
        </row>
        <row r="2870">
          <cell r="L2870" t="str">
            <v>شاميه المهالبة</v>
          </cell>
          <cell r="M2870" t="str">
            <v>C3562</v>
          </cell>
          <cell r="AC2870">
            <v>35.90649414</v>
          </cell>
          <cell r="AD2870">
            <v>35.470703129999997</v>
          </cell>
        </row>
        <row r="2871">
          <cell r="L2871" t="str">
            <v>الشير</v>
          </cell>
          <cell r="M2871" t="str">
            <v>C3563</v>
          </cell>
          <cell r="AC2871">
            <v>35.849914550000001</v>
          </cell>
          <cell r="AD2871">
            <v>35.529479979999998</v>
          </cell>
        </row>
        <row r="2872">
          <cell r="L2872" t="str">
            <v>القطرية</v>
          </cell>
          <cell r="M2872" t="str">
            <v>C3564</v>
          </cell>
          <cell r="AC2872">
            <v>35.912109379999997</v>
          </cell>
          <cell r="AD2872">
            <v>35.50689697</v>
          </cell>
        </row>
        <row r="2873">
          <cell r="L2873" t="str">
            <v>ستخريس</v>
          </cell>
          <cell r="M2873" t="str">
            <v>C3565</v>
          </cell>
          <cell r="AC2873">
            <v>35.871704100000002</v>
          </cell>
          <cell r="AD2873">
            <v>35.551086429999998</v>
          </cell>
        </row>
        <row r="2874">
          <cell r="L2874" t="str">
            <v>مزار القطرية</v>
          </cell>
          <cell r="M2874" t="str">
            <v>C3566</v>
          </cell>
          <cell r="AC2874">
            <v>35.92071533</v>
          </cell>
          <cell r="AD2874">
            <v>35.51470947</v>
          </cell>
        </row>
        <row r="2875">
          <cell r="L2875" t="str">
            <v>هنادي</v>
          </cell>
          <cell r="M2875" t="str">
            <v>C3567</v>
          </cell>
          <cell r="AC2875">
            <v>35.873474119999997</v>
          </cell>
          <cell r="AD2875">
            <v>35.512512209999997</v>
          </cell>
        </row>
        <row r="2876">
          <cell r="L2876" t="str">
            <v>فديو</v>
          </cell>
          <cell r="M2876" t="str">
            <v>C3568</v>
          </cell>
          <cell r="AC2876">
            <v>35.893676759999998</v>
          </cell>
          <cell r="AD2876">
            <v>35.518676759999998</v>
          </cell>
        </row>
        <row r="2877">
          <cell r="L2877" t="str">
            <v>درغامو</v>
          </cell>
          <cell r="M2877" t="str">
            <v>C3569</v>
          </cell>
          <cell r="AC2877">
            <v>36.000671390000001</v>
          </cell>
          <cell r="AD2877">
            <v>35.337890629999997</v>
          </cell>
        </row>
        <row r="2878">
          <cell r="L2878" t="str">
            <v>بسيسين</v>
          </cell>
          <cell r="M2878" t="str">
            <v>C3570</v>
          </cell>
          <cell r="AC2878">
            <v>35.950317380000001</v>
          </cell>
          <cell r="AD2878">
            <v>35.350891109999999</v>
          </cell>
        </row>
        <row r="2879">
          <cell r="L2879" t="str">
            <v>عرب الملك جركس</v>
          </cell>
          <cell r="M2879" t="str">
            <v>C3571</v>
          </cell>
          <cell r="AC2879">
            <v>35.925720220000002</v>
          </cell>
          <cell r="AD2879">
            <v>35.266479490000002</v>
          </cell>
        </row>
        <row r="2880">
          <cell r="L2880" t="str">
            <v>القبو</v>
          </cell>
          <cell r="M2880" t="str">
            <v>C3572</v>
          </cell>
          <cell r="AC2880">
            <v>35.910888669999999</v>
          </cell>
          <cell r="AD2880">
            <v>35.439880369999997</v>
          </cell>
        </row>
        <row r="2881">
          <cell r="L2881" t="str">
            <v>رأس العين_جوار البقر</v>
          </cell>
          <cell r="M2881" t="str">
            <v>C3573</v>
          </cell>
          <cell r="AC2881">
            <v>35.998718259999997</v>
          </cell>
          <cell r="AD2881">
            <v>35.319519040000003</v>
          </cell>
        </row>
        <row r="2882">
          <cell r="L2882" t="str">
            <v>الزهيرات</v>
          </cell>
          <cell r="M2882" t="str">
            <v>C3574</v>
          </cell>
          <cell r="AC2882">
            <v>35.947875979999999</v>
          </cell>
          <cell r="AD2882">
            <v>35.311889649999998</v>
          </cell>
        </row>
        <row r="2883">
          <cell r="L2883" t="str">
            <v>بستان الباشا</v>
          </cell>
          <cell r="M2883" t="str">
            <v>C3575</v>
          </cell>
          <cell r="AC2883">
            <v>35.937683110000002</v>
          </cell>
          <cell r="AD2883">
            <v>35.423522949999999</v>
          </cell>
        </row>
        <row r="2884">
          <cell r="L2884" t="str">
            <v>العيدية</v>
          </cell>
          <cell r="M2884" t="str">
            <v>C3576</v>
          </cell>
          <cell r="AC2884">
            <v>35.95910645</v>
          </cell>
          <cell r="AD2884">
            <v>35.310119630000003</v>
          </cell>
        </row>
        <row r="2885">
          <cell r="L2885" t="str">
            <v>المتركية</v>
          </cell>
          <cell r="M2885" t="str">
            <v>C3577</v>
          </cell>
          <cell r="AC2885">
            <v>35.917297359999999</v>
          </cell>
          <cell r="AD2885">
            <v>35.454101559999998</v>
          </cell>
        </row>
        <row r="2886">
          <cell r="L2886" t="str">
            <v>الحويز</v>
          </cell>
          <cell r="M2886" t="str">
            <v>C3578</v>
          </cell>
          <cell r="AC2886">
            <v>35.973876949999998</v>
          </cell>
          <cell r="AD2886">
            <v>35.350280759999997</v>
          </cell>
        </row>
        <row r="2887">
          <cell r="L2887" t="str">
            <v>الأشرفية</v>
          </cell>
          <cell r="M2887" t="str">
            <v>C3579</v>
          </cell>
          <cell r="AC2887">
            <v>35.953308110000002</v>
          </cell>
          <cell r="AD2887">
            <v>35.298706060000001</v>
          </cell>
        </row>
        <row r="2888">
          <cell r="L2888" t="str">
            <v>بخضرمو التحتا</v>
          </cell>
          <cell r="M2888" t="str">
            <v>C3580</v>
          </cell>
          <cell r="AC2888">
            <v>35.956481930000002</v>
          </cell>
          <cell r="AD2888">
            <v>35.406921390000001</v>
          </cell>
        </row>
        <row r="2889">
          <cell r="L2889" t="str">
            <v>رويسة الحجل</v>
          </cell>
          <cell r="M2889" t="str">
            <v>C3581</v>
          </cell>
          <cell r="AC2889">
            <v>35.997924810000001</v>
          </cell>
          <cell r="AD2889">
            <v>35.348876949999998</v>
          </cell>
        </row>
        <row r="2890">
          <cell r="L2890" t="str">
            <v>سيانو</v>
          </cell>
          <cell r="M2890" t="str">
            <v>C3582</v>
          </cell>
          <cell r="AC2890">
            <v>35.998474119999997</v>
          </cell>
          <cell r="AD2890">
            <v>35.364318849999997</v>
          </cell>
        </row>
        <row r="2891">
          <cell r="L2891" t="str">
            <v>الشراشير</v>
          </cell>
          <cell r="M2891" t="str">
            <v>C3583</v>
          </cell>
          <cell r="AC2891">
            <v>35.95611572</v>
          </cell>
          <cell r="AD2891">
            <v>35.387695309999998</v>
          </cell>
        </row>
        <row r="2892">
          <cell r="L2892" t="str">
            <v>المعيصرة</v>
          </cell>
          <cell r="M2892" t="str">
            <v>C3584</v>
          </cell>
          <cell r="AC2892">
            <v>36.009521479999997</v>
          </cell>
          <cell r="AD2892">
            <v>35.358520509999998</v>
          </cell>
        </row>
        <row r="2893">
          <cell r="L2893" t="str">
            <v>جبلة</v>
          </cell>
          <cell r="M2893" t="str">
            <v>C3585</v>
          </cell>
          <cell r="AC2893">
            <v>35.930480959999997</v>
          </cell>
          <cell r="AD2893">
            <v>35.364501949999998</v>
          </cell>
        </row>
        <row r="2894">
          <cell r="L2894" t="str">
            <v>بطرة</v>
          </cell>
          <cell r="M2894" t="str">
            <v>C3586</v>
          </cell>
          <cell r="AC2894">
            <v>35.941284179999997</v>
          </cell>
          <cell r="AD2894">
            <v>35.41772461</v>
          </cell>
        </row>
        <row r="2895">
          <cell r="L2895" t="str">
            <v>البرجال</v>
          </cell>
          <cell r="M2895" t="str">
            <v>C3587</v>
          </cell>
          <cell r="AC2895">
            <v>35.976684570000003</v>
          </cell>
          <cell r="AD2895">
            <v>35.295104979999998</v>
          </cell>
        </row>
        <row r="2896">
          <cell r="L2896" t="str">
            <v>حميميم</v>
          </cell>
          <cell r="M2896" t="str">
            <v>C3588</v>
          </cell>
          <cell r="AC2896">
            <v>35.931701660000002</v>
          </cell>
          <cell r="AD2896">
            <v>35.399291990000002</v>
          </cell>
        </row>
        <row r="2897">
          <cell r="L2897" t="str">
            <v>كفر دبيل</v>
          </cell>
          <cell r="M2897" t="str">
            <v>C3589</v>
          </cell>
          <cell r="AC2897">
            <v>36.031677250000001</v>
          </cell>
          <cell r="AD2897">
            <v>35.358093259999997</v>
          </cell>
        </row>
        <row r="2898">
          <cell r="L2898" t="str">
            <v>غنيري</v>
          </cell>
          <cell r="M2898" t="str">
            <v>C3590</v>
          </cell>
          <cell r="AC2898">
            <v>36.004272460000003</v>
          </cell>
          <cell r="AD2898">
            <v>35.354919430000002</v>
          </cell>
        </row>
        <row r="2899">
          <cell r="L2899" t="str">
            <v>الفتيح</v>
          </cell>
          <cell r="M2899" t="str">
            <v>C3591</v>
          </cell>
          <cell r="AC2899">
            <v>36.055480959999997</v>
          </cell>
          <cell r="AD2899">
            <v>35.330078129999997</v>
          </cell>
        </row>
        <row r="2900">
          <cell r="L2900" t="str">
            <v>بيت الفي</v>
          </cell>
          <cell r="M2900" t="str">
            <v>C3592</v>
          </cell>
          <cell r="AC2900">
            <v>36.086486819999998</v>
          </cell>
          <cell r="AD2900">
            <v>35.356079100000002</v>
          </cell>
        </row>
        <row r="2901">
          <cell r="L2901" t="str">
            <v>القلايع</v>
          </cell>
          <cell r="M2901" t="str">
            <v>C3593</v>
          </cell>
          <cell r="AC2901">
            <v>36.03790283</v>
          </cell>
          <cell r="AD2901">
            <v>35.351684570000003</v>
          </cell>
        </row>
        <row r="2902">
          <cell r="L2902" t="str">
            <v>حرف متور</v>
          </cell>
          <cell r="M2902" t="str">
            <v>C3594</v>
          </cell>
          <cell r="AC2902">
            <v>36.142089839999997</v>
          </cell>
          <cell r="AD2902">
            <v>35.34649658</v>
          </cell>
        </row>
        <row r="2903">
          <cell r="L2903" t="str">
            <v>المرداسية</v>
          </cell>
          <cell r="M2903" t="str">
            <v>C3595</v>
          </cell>
          <cell r="AC2903">
            <v>36.093872070000003</v>
          </cell>
          <cell r="AD2903">
            <v>35.368530270000001</v>
          </cell>
        </row>
        <row r="2904">
          <cell r="L2904" t="str">
            <v>ريحانة متور</v>
          </cell>
          <cell r="M2904" t="str">
            <v>C3596</v>
          </cell>
          <cell r="AC2904">
            <v>36.11352539</v>
          </cell>
          <cell r="AD2904">
            <v>35.35131836</v>
          </cell>
        </row>
        <row r="2905">
          <cell r="L2905" t="str">
            <v>حوران البودي</v>
          </cell>
          <cell r="M2905" t="str">
            <v>C3597</v>
          </cell>
          <cell r="AC2905">
            <v>36.090881349999997</v>
          </cell>
          <cell r="AD2905">
            <v>35.38671875</v>
          </cell>
        </row>
        <row r="2906">
          <cell r="L2906" t="str">
            <v>بترياس</v>
          </cell>
          <cell r="M2906" t="str">
            <v>C3598</v>
          </cell>
          <cell r="AC2906">
            <v>36.171325680000002</v>
          </cell>
          <cell r="AD2906">
            <v>35.363891600000002</v>
          </cell>
        </row>
        <row r="2907">
          <cell r="L2907" t="str">
            <v>الزيادية</v>
          </cell>
          <cell r="M2907" t="str">
            <v>C3599</v>
          </cell>
          <cell r="AC2907">
            <v>36.029724119999997</v>
          </cell>
          <cell r="AD2907">
            <v>35.348083500000001</v>
          </cell>
        </row>
        <row r="2908">
          <cell r="L2908" t="str">
            <v>بطارة</v>
          </cell>
          <cell r="M2908" t="str">
            <v>C3600</v>
          </cell>
          <cell r="AC2908">
            <v>36.050476070000002</v>
          </cell>
          <cell r="AD2908">
            <v>35.342285160000003</v>
          </cell>
        </row>
        <row r="2909">
          <cell r="L2909" t="str">
            <v>زاما</v>
          </cell>
          <cell r="M2909" t="str">
            <v>C3601</v>
          </cell>
          <cell r="AC2909">
            <v>36.08709717</v>
          </cell>
          <cell r="AD2909">
            <v>35.346130369999997</v>
          </cell>
        </row>
        <row r="2910">
          <cell r="L2910" t="str">
            <v>جوب ياشوط</v>
          </cell>
          <cell r="M2910" t="str">
            <v>C3602</v>
          </cell>
          <cell r="AC2910">
            <v>36.043518069999998</v>
          </cell>
          <cell r="AD2910">
            <v>35.31549072</v>
          </cell>
        </row>
        <row r="2911">
          <cell r="L2911" t="str">
            <v>عين الشرقية</v>
          </cell>
          <cell r="M2911" t="str">
            <v>C3603</v>
          </cell>
          <cell r="AC2911">
            <v>36.101928710000003</v>
          </cell>
          <cell r="AD2911">
            <v>35.331726070000002</v>
          </cell>
        </row>
        <row r="2912">
          <cell r="L2912" t="str">
            <v>قصابين</v>
          </cell>
          <cell r="M2912" t="str">
            <v>C3604</v>
          </cell>
          <cell r="AC2912">
            <v>36.043090820000003</v>
          </cell>
          <cell r="AD2912">
            <v>35.335510249999999</v>
          </cell>
        </row>
        <row r="2913">
          <cell r="L2913" t="str">
            <v>قرن حليه</v>
          </cell>
          <cell r="M2913" t="str">
            <v>C3605</v>
          </cell>
          <cell r="AC2913">
            <v>36.160888669999999</v>
          </cell>
          <cell r="AD2913">
            <v>35.35430908</v>
          </cell>
        </row>
        <row r="2914">
          <cell r="L2914" t="str">
            <v>قلعة بني قحطان</v>
          </cell>
          <cell r="M2914" t="str">
            <v>C3606</v>
          </cell>
          <cell r="AC2914">
            <v>36.121276860000002</v>
          </cell>
          <cell r="AD2914">
            <v>35.369873050000002</v>
          </cell>
        </row>
        <row r="2915">
          <cell r="L2915" t="str">
            <v>كرم الزيادية</v>
          </cell>
          <cell r="M2915" t="str">
            <v>C3607</v>
          </cell>
          <cell r="AC2915">
            <v>36.13671875</v>
          </cell>
          <cell r="AD2915">
            <v>35.336486819999998</v>
          </cell>
        </row>
        <row r="2916">
          <cell r="L2916" t="str">
            <v>متور</v>
          </cell>
          <cell r="M2916" t="str">
            <v>C3608</v>
          </cell>
          <cell r="AC2916">
            <v>36.133483890000001</v>
          </cell>
          <cell r="AD2916">
            <v>35.348327640000001</v>
          </cell>
        </row>
        <row r="2917">
          <cell r="L2917" t="str">
            <v>حمام القراحلة</v>
          </cell>
          <cell r="M2917" t="str">
            <v>C3609</v>
          </cell>
          <cell r="AC2917">
            <v>36.079528809999999</v>
          </cell>
          <cell r="AD2917">
            <v>35.291687009999997</v>
          </cell>
        </row>
        <row r="2918">
          <cell r="L2918" t="str">
            <v>دوير بسنديانة</v>
          </cell>
          <cell r="M2918" t="str">
            <v>C3610</v>
          </cell>
          <cell r="AC2918">
            <v>36.097717289999999</v>
          </cell>
          <cell r="AD2918">
            <v>35.27893066</v>
          </cell>
        </row>
        <row r="2919">
          <cell r="L2919" t="str">
            <v>جيبول</v>
          </cell>
          <cell r="M2919" t="str">
            <v>C3611</v>
          </cell>
          <cell r="AC2919">
            <v>36.088317869999997</v>
          </cell>
          <cell r="AD2919">
            <v>35.282104490000002</v>
          </cell>
        </row>
        <row r="2920">
          <cell r="L2920" t="str">
            <v>برقة</v>
          </cell>
          <cell r="M2920" t="str">
            <v>C3612</v>
          </cell>
          <cell r="AC2920">
            <v>36.023315429999997</v>
          </cell>
          <cell r="AD2920">
            <v>35.24609375</v>
          </cell>
        </row>
        <row r="2921">
          <cell r="L2921" t="str">
            <v>العريقيب</v>
          </cell>
          <cell r="M2921" t="str">
            <v>C3613</v>
          </cell>
          <cell r="AC2921">
            <v>36.059082029999999</v>
          </cell>
          <cell r="AD2921">
            <v>35.3046875</v>
          </cell>
        </row>
        <row r="2922">
          <cell r="L2922" t="str">
            <v>البراعم بريعين</v>
          </cell>
          <cell r="M2922" t="str">
            <v>C3614</v>
          </cell>
          <cell r="AC2922">
            <v>36.029479979999998</v>
          </cell>
          <cell r="AD2922">
            <v>35.268493650000003</v>
          </cell>
        </row>
        <row r="2923">
          <cell r="L2923" t="str">
            <v>بتمانا</v>
          </cell>
          <cell r="M2923" t="str">
            <v>C3615</v>
          </cell>
          <cell r="AC2923">
            <v>36.031311039999999</v>
          </cell>
          <cell r="AD2923">
            <v>35.304077149999998</v>
          </cell>
        </row>
        <row r="2924">
          <cell r="L2924" t="str">
            <v>الربوة / حربوق</v>
          </cell>
          <cell r="M2924" t="str">
            <v>C3616</v>
          </cell>
          <cell r="AC2924">
            <v>36.050903320000003</v>
          </cell>
          <cell r="AD2924">
            <v>35.276672359999999</v>
          </cell>
        </row>
        <row r="2925">
          <cell r="L2925" t="str">
            <v>خرايب سالم</v>
          </cell>
          <cell r="M2925" t="str">
            <v>C3617</v>
          </cell>
          <cell r="AC2925">
            <v>36.15350342</v>
          </cell>
          <cell r="AD2925">
            <v>35.266479490000002</v>
          </cell>
        </row>
        <row r="2926">
          <cell r="L2926" t="str">
            <v>تل حويري</v>
          </cell>
          <cell r="M2926" t="str">
            <v>C3618</v>
          </cell>
          <cell r="AC2926">
            <v>36.046081540000003</v>
          </cell>
          <cell r="AD2926">
            <v>35.288085940000002</v>
          </cell>
        </row>
        <row r="2927">
          <cell r="L2927" t="str">
            <v>دوير بعبده</v>
          </cell>
          <cell r="M2927" t="str">
            <v>C3619</v>
          </cell>
          <cell r="AC2927">
            <v>36.042480470000001</v>
          </cell>
          <cell r="AD2927">
            <v>35.247924810000001</v>
          </cell>
        </row>
        <row r="2928">
          <cell r="L2928" t="str">
            <v>بسنديانة</v>
          </cell>
          <cell r="M2928" t="str">
            <v>C3620</v>
          </cell>
          <cell r="AC2928">
            <v>36.107910160000003</v>
          </cell>
          <cell r="AD2928">
            <v>35.275878910000003</v>
          </cell>
        </row>
        <row r="2929">
          <cell r="L2929" t="str">
            <v>بشراغي</v>
          </cell>
          <cell r="M2929" t="str">
            <v>C3621</v>
          </cell>
          <cell r="AC2929">
            <v>36.098876949999998</v>
          </cell>
          <cell r="AD2929">
            <v>35.296691899999999</v>
          </cell>
        </row>
        <row r="2930">
          <cell r="L2930" t="str">
            <v>العقيبة</v>
          </cell>
          <cell r="M2930" t="str">
            <v>C3622</v>
          </cell>
          <cell r="AC2930">
            <v>36.000122070000003</v>
          </cell>
          <cell r="AD2930">
            <v>35.276489259999998</v>
          </cell>
        </row>
        <row r="2931">
          <cell r="L2931" t="str">
            <v>بسوطر</v>
          </cell>
          <cell r="M2931" t="str">
            <v>C3623</v>
          </cell>
          <cell r="AC2931">
            <v>36.009277339999997</v>
          </cell>
          <cell r="AD2931">
            <v>35.301330569999998</v>
          </cell>
        </row>
        <row r="2932">
          <cell r="L2932" t="str">
            <v>سربيون</v>
          </cell>
          <cell r="M2932" t="str">
            <v>C3624</v>
          </cell>
          <cell r="AC2932">
            <v>36.02069092</v>
          </cell>
          <cell r="AD2932">
            <v>35.236877440000001</v>
          </cell>
        </row>
        <row r="2933">
          <cell r="L2933" t="str">
            <v>القطيلبية</v>
          </cell>
          <cell r="M2933" t="str">
            <v>C3625</v>
          </cell>
          <cell r="AC2933">
            <v>36.012512209999997</v>
          </cell>
          <cell r="AD2933">
            <v>35.292297359999999</v>
          </cell>
        </row>
        <row r="2934">
          <cell r="L2934" t="str">
            <v>المنصورة_الزوية</v>
          </cell>
          <cell r="M2934" t="str">
            <v>C3626</v>
          </cell>
          <cell r="AC2934">
            <v>36.04528809</v>
          </cell>
          <cell r="AD2934">
            <v>35.260681150000003</v>
          </cell>
        </row>
        <row r="2935">
          <cell r="L2935" t="str">
            <v>بيت العلوني</v>
          </cell>
          <cell r="M2935" t="str">
            <v>C3627</v>
          </cell>
          <cell r="AC2935">
            <v>36.072326660000002</v>
          </cell>
          <cell r="AD2935">
            <v>35.257507320000002</v>
          </cell>
        </row>
        <row r="2936">
          <cell r="L2936" t="str">
            <v>درمينه</v>
          </cell>
          <cell r="M2936" t="str">
            <v>C3628</v>
          </cell>
          <cell r="AC2936">
            <v>36.082885740000002</v>
          </cell>
          <cell r="AD2936">
            <v>35.301513669999999</v>
          </cell>
        </row>
        <row r="2937">
          <cell r="L2937" t="str">
            <v>الكرامة كنكارو</v>
          </cell>
          <cell r="M2937" t="str">
            <v>C3629</v>
          </cell>
          <cell r="AC2937">
            <v>36.051879880000001</v>
          </cell>
          <cell r="AD2937">
            <v>35.288879399999999</v>
          </cell>
        </row>
        <row r="2938">
          <cell r="L2938" t="str">
            <v>البرازين</v>
          </cell>
          <cell r="M2938" t="str">
            <v>C3630</v>
          </cell>
          <cell r="AC2938">
            <v>36.02111816</v>
          </cell>
          <cell r="AD2938">
            <v>35.256286619999997</v>
          </cell>
        </row>
        <row r="2939">
          <cell r="L2939" t="str">
            <v>السخابة</v>
          </cell>
          <cell r="M2939" t="str">
            <v>C3631</v>
          </cell>
          <cell r="AC2939">
            <v>36.009277339999997</v>
          </cell>
          <cell r="AD2939">
            <v>35.314270020000002</v>
          </cell>
        </row>
        <row r="2940">
          <cell r="L2940" t="str">
            <v>بعبده</v>
          </cell>
          <cell r="M2940" t="str">
            <v>C3632</v>
          </cell>
          <cell r="AC2940">
            <v>36.047729490000002</v>
          </cell>
          <cell r="AD2940">
            <v>35.236083979999997</v>
          </cell>
        </row>
        <row r="2941">
          <cell r="L2941" t="str">
            <v>الزهراء / سنقونس</v>
          </cell>
          <cell r="M2941" t="str">
            <v>C3633</v>
          </cell>
          <cell r="AC2941">
            <v>36.005920410000002</v>
          </cell>
          <cell r="AD2941">
            <v>35.255126949999998</v>
          </cell>
        </row>
        <row r="2942">
          <cell r="L2942" t="str">
            <v>بسطوير</v>
          </cell>
          <cell r="M2942" t="str">
            <v>C3634</v>
          </cell>
          <cell r="AC2942">
            <v>36.12109375</v>
          </cell>
          <cell r="AD2942">
            <v>35.26147461</v>
          </cell>
        </row>
        <row r="2943">
          <cell r="L2943" t="str">
            <v>بطشاح</v>
          </cell>
          <cell r="M2943" t="str">
            <v>C3635</v>
          </cell>
          <cell r="AC2943">
            <v>36.08111572</v>
          </cell>
          <cell r="AD2943">
            <v>35.257080080000001</v>
          </cell>
        </row>
        <row r="2944">
          <cell r="L2944" t="str">
            <v>قرفيص</v>
          </cell>
          <cell r="M2944" t="str">
            <v>C3636</v>
          </cell>
          <cell r="AC2944">
            <v>35.990295410000002</v>
          </cell>
          <cell r="AD2944">
            <v>35.267089839999997</v>
          </cell>
        </row>
        <row r="2945">
          <cell r="L2945" t="str">
            <v>النزهة / بتغرامو</v>
          </cell>
          <cell r="M2945" t="str">
            <v>C3637</v>
          </cell>
          <cell r="AC2945">
            <v>36.011291499999999</v>
          </cell>
          <cell r="AD2945">
            <v>35.419311520000001</v>
          </cell>
        </row>
        <row r="2946">
          <cell r="L2946" t="str">
            <v>البودي</v>
          </cell>
          <cell r="M2946" t="str">
            <v>C3638</v>
          </cell>
          <cell r="AC2946">
            <v>36.090271000000001</v>
          </cell>
          <cell r="AD2946">
            <v>35.396911619999997</v>
          </cell>
        </row>
        <row r="2947">
          <cell r="L2947" t="str">
            <v>الثورة خربة المرداسية</v>
          </cell>
          <cell r="M2947" t="str">
            <v>C3639</v>
          </cell>
          <cell r="AC2947">
            <v>36.082885740000002</v>
          </cell>
          <cell r="AD2947">
            <v>35.371887209999997</v>
          </cell>
        </row>
        <row r="2948">
          <cell r="L2948" t="str">
            <v>الروضة بنجارو</v>
          </cell>
          <cell r="M2948" t="str">
            <v>C3640</v>
          </cell>
          <cell r="AC2948">
            <v>35.996887209999997</v>
          </cell>
          <cell r="AD2948">
            <v>35.409484859999999</v>
          </cell>
        </row>
        <row r="2949">
          <cell r="L2949" t="str">
            <v>بشكوح</v>
          </cell>
          <cell r="M2949" t="str">
            <v>C3641</v>
          </cell>
          <cell r="AC2949">
            <v>36.016113279999999</v>
          </cell>
          <cell r="AD2949">
            <v>35.398315429999997</v>
          </cell>
        </row>
        <row r="2950">
          <cell r="L2950" t="str">
            <v>البشراح</v>
          </cell>
          <cell r="M2950" t="str">
            <v>C3642</v>
          </cell>
          <cell r="AC2950">
            <v>36.052307130000003</v>
          </cell>
          <cell r="AD2950">
            <v>35.377685550000002</v>
          </cell>
        </row>
        <row r="2951">
          <cell r="L2951" t="str">
            <v>ديرونة جبلة</v>
          </cell>
          <cell r="M2951" t="str">
            <v>C3643</v>
          </cell>
          <cell r="AC2951">
            <v>36.002685550000002</v>
          </cell>
          <cell r="AD2951">
            <v>35.389282229999999</v>
          </cell>
        </row>
        <row r="2952">
          <cell r="L2952" t="str">
            <v>ديروتان / جبلة</v>
          </cell>
          <cell r="M2952" t="str">
            <v>C3644</v>
          </cell>
          <cell r="AC2952">
            <v>36.021301270000002</v>
          </cell>
          <cell r="AD2952">
            <v>35.402893069999998</v>
          </cell>
        </row>
        <row r="2953">
          <cell r="L2953" t="str">
            <v>عرمتي</v>
          </cell>
          <cell r="M2953" t="str">
            <v>C3645</v>
          </cell>
          <cell r="AC2953">
            <v>36.04388428</v>
          </cell>
          <cell r="AD2953">
            <v>35.408081060000001</v>
          </cell>
        </row>
        <row r="2954">
          <cell r="L2954" t="str">
            <v>بقرية</v>
          </cell>
          <cell r="M2954" t="str">
            <v>C3646</v>
          </cell>
          <cell r="AC2954">
            <v>36.040527339999997</v>
          </cell>
          <cell r="AD2954">
            <v>35.36627197</v>
          </cell>
        </row>
        <row r="2955">
          <cell r="L2955" t="str">
            <v>عين شقاق</v>
          </cell>
          <cell r="M2955" t="str">
            <v>C3647</v>
          </cell>
          <cell r="AC2955">
            <v>36.03009033</v>
          </cell>
          <cell r="AD2955">
            <v>35.397094729999999</v>
          </cell>
        </row>
        <row r="2956">
          <cell r="L2956" t="str">
            <v>عين غنام</v>
          </cell>
          <cell r="M2956" t="str">
            <v>C3648</v>
          </cell>
          <cell r="AC2956">
            <v>36.080505369999997</v>
          </cell>
          <cell r="AD2956">
            <v>35.246276860000002</v>
          </cell>
        </row>
        <row r="2957">
          <cell r="L2957" t="str">
            <v>حرف الساري</v>
          </cell>
          <cell r="M2957" t="str">
            <v>C3649</v>
          </cell>
          <cell r="AC2957">
            <v>36.063293459999997</v>
          </cell>
          <cell r="AD2957">
            <v>35.23071289</v>
          </cell>
        </row>
        <row r="2958">
          <cell r="L2958" t="str">
            <v>سلميه</v>
          </cell>
          <cell r="M2958" t="str">
            <v>C3650</v>
          </cell>
          <cell r="AC2958">
            <v>36.073486330000001</v>
          </cell>
          <cell r="AD2958">
            <v>35.236083979999997</v>
          </cell>
        </row>
        <row r="2959">
          <cell r="L2959" t="str">
            <v>دالية</v>
          </cell>
          <cell r="M2959" t="str">
            <v>C3651</v>
          </cell>
          <cell r="AC2959">
            <v>36.146484379999997</v>
          </cell>
          <cell r="AD2959">
            <v>35.235473630000001</v>
          </cell>
        </row>
        <row r="2960">
          <cell r="L2960" t="str">
            <v>التلازيق</v>
          </cell>
          <cell r="M2960" t="str">
            <v>C3652</v>
          </cell>
          <cell r="AC2960">
            <v>36.129089360000002</v>
          </cell>
          <cell r="AD2960">
            <v>35.228088380000003</v>
          </cell>
        </row>
        <row r="2961">
          <cell r="L2961" t="str">
            <v>القصيبة</v>
          </cell>
          <cell r="M2961" t="str">
            <v>C3653</v>
          </cell>
          <cell r="AC2961">
            <v>36.10913086</v>
          </cell>
          <cell r="AD2961">
            <v>35.228698729999998</v>
          </cell>
        </row>
        <row r="2962">
          <cell r="L2962" t="str">
            <v>بيت عانا</v>
          </cell>
          <cell r="M2962" t="str">
            <v>C3654</v>
          </cell>
          <cell r="AC2962">
            <v>36.119079589999998</v>
          </cell>
          <cell r="AD2962">
            <v>35.249511720000001</v>
          </cell>
        </row>
        <row r="2963">
          <cell r="L2963" t="str">
            <v>بطموش</v>
          </cell>
          <cell r="M2963" t="str">
            <v>C3655</v>
          </cell>
          <cell r="AC2963">
            <v>36.189270020000002</v>
          </cell>
          <cell r="AD2963">
            <v>35.243530270000001</v>
          </cell>
        </row>
        <row r="2964">
          <cell r="L2964" t="str">
            <v>المشيرفة</v>
          </cell>
          <cell r="M2964" t="str">
            <v>C3656</v>
          </cell>
          <cell r="AC2964">
            <v>36.07971191</v>
          </cell>
          <cell r="AD2964">
            <v>35.240295410000002</v>
          </cell>
        </row>
        <row r="2965">
          <cell r="L2965" t="str">
            <v>معرين</v>
          </cell>
          <cell r="M2965" t="str">
            <v>C3657</v>
          </cell>
          <cell r="AC2965">
            <v>36.165710449999999</v>
          </cell>
          <cell r="AD2965">
            <v>35.249511720000001</v>
          </cell>
        </row>
        <row r="2966">
          <cell r="L2966" t="str">
            <v>وادي القلع</v>
          </cell>
          <cell r="M2966" t="str">
            <v>C3658</v>
          </cell>
          <cell r="AC2966">
            <v>36.095886229999998</v>
          </cell>
          <cell r="AD2966">
            <v>35.229919430000002</v>
          </cell>
        </row>
        <row r="2967">
          <cell r="L2967" t="str">
            <v>جوفين</v>
          </cell>
          <cell r="M2967" t="str">
            <v>C3659</v>
          </cell>
          <cell r="AC2967">
            <v>36.094482419999999</v>
          </cell>
          <cell r="AD2967">
            <v>35.321289059999998</v>
          </cell>
        </row>
        <row r="2968">
          <cell r="L2968" t="str">
            <v>حلبكو</v>
          </cell>
          <cell r="M2968" t="str">
            <v>C3660</v>
          </cell>
          <cell r="AC2968">
            <v>36.154907229999999</v>
          </cell>
          <cell r="AD2968">
            <v>35.32928467</v>
          </cell>
        </row>
        <row r="2969">
          <cell r="L2969" t="str">
            <v>عين قطعة</v>
          </cell>
          <cell r="M2969" t="str">
            <v>C3661</v>
          </cell>
          <cell r="AC2969">
            <v>36.092712400000003</v>
          </cell>
          <cell r="AD2969">
            <v>35.306701660000002</v>
          </cell>
        </row>
        <row r="2970">
          <cell r="L2970" t="str">
            <v>المنيزلة</v>
          </cell>
          <cell r="M2970" t="str">
            <v>C3662</v>
          </cell>
          <cell r="AC2970">
            <v>36.186706540000003</v>
          </cell>
          <cell r="AD2970">
            <v>35.332702640000001</v>
          </cell>
        </row>
        <row r="2971">
          <cell r="L2971" t="str">
            <v>عين سالم</v>
          </cell>
          <cell r="M2971" t="str">
            <v>C3663</v>
          </cell>
          <cell r="AC2971">
            <v>36.078125</v>
          </cell>
          <cell r="AD2971">
            <v>35.32147217</v>
          </cell>
        </row>
        <row r="2972">
          <cell r="L2972" t="str">
            <v>حله عارا</v>
          </cell>
          <cell r="M2972" t="str">
            <v>C3664</v>
          </cell>
          <cell r="AC2972">
            <v>36.137695309999998</v>
          </cell>
          <cell r="AD2972">
            <v>35.327514649999998</v>
          </cell>
        </row>
        <row r="2973">
          <cell r="L2973" t="str">
            <v>بشيلي</v>
          </cell>
          <cell r="M2973" t="str">
            <v>C3665</v>
          </cell>
          <cell r="AC2973">
            <v>36.154907229999999</v>
          </cell>
          <cell r="AD2973">
            <v>35.286499020000001</v>
          </cell>
        </row>
        <row r="2974">
          <cell r="L2974" t="str">
            <v>بسمالخ</v>
          </cell>
          <cell r="M2974" t="str">
            <v>C3666</v>
          </cell>
          <cell r="AC2974">
            <v>36.132324220000001</v>
          </cell>
          <cell r="AD2974">
            <v>35.28747559</v>
          </cell>
        </row>
        <row r="2975">
          <cell r="L2975" t="str">
            <v>بيت ياشوط_عين قيطة</v>
          </cell>
          <cell r="M2975" t="str">
            <v>C3667</v>
          </cell>
          <cell r="AC2975">
            <v>36.122497559999999</v>
          </cell>
          <cell r="AD2975">
            <v>35.314697270000003</v>
          </cell>
        </row>
        <row r="2976">
          <cell r="L2976" t="str">
            <v>الحميدية</v>
          </cell>
          <cell r="M2976" t="str">
            <v>C3668</v>
          </cell>
          <cell r="AC2976">
            <v>35.992919919999999</v>
          </cell>
          <cell r="AD2976">
            <v>35.604675290000003</v>
          </cell>
        </row>
        <row r="2977">
          <cell r="L2977" t="str">
            <v>القادسية_جنكيل</v>
          </cell>
          <cell r="M2977" t="str">
            <v>C3669</v>
          </cell>
          <cell r="AC2977">
            <v>36.052490229999997</v>
          </cell>
          <cell r="AD2977">
            <v>35.622070309999998</v>
          </cell>
        </row>
        <row r="2978">
          <cell r="L2978" t="str">
            <v>السامية</v>
          </cell>
          <cell r="M2978" t="str">
            <v>C3670</v>
          </cell>
          <cell r="AC2978">
            <v>35.961730959999997</v>
          </cell>
          <cell r="AD2978">
            <v>35.56091309</v>
          </cell>
        </row>
        <row r="2979">
          <cell r="L2979" t="str">
            <v>الحفة</v>
          </cell>
          <cell r="M2979" t="str">
            <v>C3671</v>
          </cell>
          <cell r="AC2979">
            <v>36.03491211</v>
          </cell>
          <cell r="AD2979">
            <v>35.599487310000001</v>
          </cell>
        </row>
        <row r="2980">
          <cell r="L2980" t="str">
            <v>زنقوفة</v>
          </cell>
          <cell r="M2980" t="str">
            <v>C3672</v>
          </cell>
          <cell r="AC2980">
            <v>36.044921879999997</v>
          </cell>
          <cell r="AD2980">
            <v>35.599304199999999</v>
          </cell>
        </row>
        <row r="2981">
          <cell r="L2981" t="str">
            <v>بابنا</v>
          </cell>
          <cell r="M2981" t="str">
            <v>C3673</v>
          </cell>
          <cell r="AC2981">
            <v>36.039672850000002</v>
          </cell>
          <cell r="AD2981">
            <v>35.622314449999998</v>
          </cell>
        </row>
        <row r="2982">
          <cell r="L2982" t="str">
            <v>خربة هيشون</v>
          </cell>
          <cell r="M2982" t="str">
            <v>C3674</v>
          </cell>
          <cell r="AC2982">
            <v>36.003295899999998</v>
          </cell>
          <cell r="AD2982">
            <v>35.587707520000002</v>
          </cell>
        </row>
        <row r="2983">
          <cell r="L2983" t="str">
            <v>شريفا</v>
          </cell>
          <cell r="M2983" t="str">
            <v>C3675</v>
          </cell>
          <cell r="AC2983">
            <v>36.032714839999997</v>
          </cell>
          <cell r="AD2983">
            <v>35.626281740000003</v>
          </cell>
        </row>
        <row r="2984">
          <cell r="L2984" t="str">
            <v>رسيون الحفة</v>
          </cell>
          <cell r="M2984" t="str">
            <v>C3676</v>
          </cell>
          <cell r="AC2984">
            <v>36.035095220000002</v>
          </cell>
          <cell r="AD2984">
            <v>35.57330322</v>
          </cell>
        </row>
        <row r="2985">
          <cell r="L2985" t="str">
            <v>الحارة</v>
          </cell>
          <cell r="M2985" t="str">
            <v>C3677</v>
          </cell>
          <cell r="AC2985">
            <v>35.987304690000002</v>
          </cell>
          <cell r="AD2985">
            <v>35.559875490000003</v>
          </cell>
        </row>
        <row r="2986">
          <cell r="L2986" t="str">
            <v>رقيق</v>
          </cell>
          <cell r="M2986" t="str">
            <v>C3678</v>
          </cell>
          <cell r="AC2986">
            <v>36.009521479999997</v>
          </cell>
          <cell r="AD2986">
            <v>35.61212158</v>
          </cell>
        </row>
        <row r="2987">
          <cell r="L2987" t="str">
            <v>صمنديل</v>
          </cell>
          <cell r="M2987" t="str">
            <v>C3679</v>
          </cell>
          <cell r="AC2987">
            <v>35.966674810000001</v>
          </cell>
          <cell r="AD2987">
            <v>35.592102050000001</v>
          </cell>
        </row>
        <row r="2988">
          <cell r="L2988" t="str">
            <v>العذرية</v>
          </cell>
          <cell r="M2988" t="str">
            <v>C3680</v>
          </cell>
          <cell r="AC2988">
            <v>35.970275880000003</v>
          </cell>
          <cell r="AD2988">
            <v>35.578308110000002</v>
          </cell>
        </row>
        <row r="2989">
          <cell r="L2989" t="str">
            <v>تشرين / دفيل</v>
          </cell>
          <cell r="M2989" t="str">
            <v>C3681</v>
          </cell>
          <cell r="AC2989">
            <v>36.020080569999998</v>
          </cell>
          <cell r="AD2989">
            <v>35.580078129999997</v>
          </cell>
        </row>
        <row r="2990">
          <cell r="L2990" t="str">
            <v>غرناطة</v>
          </cell>
          <cell r="M2990" t="str">
            <v>C3682</v>
          </cell>
          <cell r="AC2990">
            <v>35.99450684</v>
          </cell>
          <cell r="AD2990">
            <v>35.562683110000002</v>
          </cell>
        </row>
        <row r="2991">
          <cell r="L2991" t="str">
            <v>منجيلا</v>
          </cell>
          <cell r="M2991" t="str">
            <v>C3683</v>
          </cell>
          <cell r="AC2991">
            <v>35.919677729999997</v>
          </cell>
          <cell r="AD2991">
            <v>35.547729490000002</v>
          </cell>
        </row>
        <row r="2992">
          <cell r="L2992" t="str">
            <v>وطي الرامة</v>
          </cell>
          <cell r="M2992" t="str">
            <v>C3684</v>
          </cell>
          <cell r="AC2992">
            <v>36.094726559999998</v>
          </cell>
          <cell r="AD2992">
            <v>35.63189697</v>
          </cell>
        </row>
        <row r="2993">
          <cell r="L2993" t="str">
            <v>قشبة</v>
          </cell>
          <cell r="M2993" t="str">
            <v>C3685</v>
          </cell>
          <cell r="AC2993">
            <v>36.123474119999997</v>
          </cell>
          <cell r="AD2993">
            <v>35.61352539</v>
          </cell>
        </row>
        <row r="2994">
          <cell r="L2994" t="str">
            <v>قريماني</v>
          </cell>
          <cell r="M2994" t="str">
            <v>C3686</v>
          </cell>
          <cell r="AC2994">
            <v>35.966125490000003</v>
          </cell>
          <cell r="AD2994">
            <v>35.551086429999998</v>
          </cell>
        </row>
        <row r="2995">
          <cell r="L2995" t="str">
            <v>ميسلون / شير القاق</v>
          </cell>
          <cell r="M2995" t="str">
            <v>C3687</v>
          </cell>
          <cell r="AC2995">
            <v>36.051879880000001</v>
          </cell>
          <cell r="AD2995">
            <v>35.59649658</v>
          </cell>
        </row>
        <row r="2996">
          <cell r="L2996" t="str">
            <v>بشمانا</v>
          </cell>
          <cell r="M2996" t="str">
            <v>C3688</v>
          </cell>
          <cell r="AC2996">
            <v>36.168090820000003</v>
          </cell>
          <cell r="AD2996">
            <v>35.566284179999997</v>
          </cell>
        </row>
        <row r="2997">
          <cell r="L2997" t="str">
            <v>الشوح بلتعة</v>
          </cell>
          <cell r="M2997" t="str">
            <v>C3689</v>
          </cell>
          <cell r="AC2997">
            <v>36.192871089999997</v>
          </cell>
          <cell r="AD2997">
            <v>35.553283690000001</v>
          </cell>
        </row>
        <row r="2998">
          <cell r="L2998" t="str">
            <v>بارودة</v>
          </cell>
          <cell r="M2998" t="str">
            <v>C3690</v>
          </cell>
          <cell r="AC2998">
            <v>36.117675779999999</v>
          </cell>
          <cell r="AD2998">
            <v>35.665710449999999</v>
          </cell>
        </row>
        <row r="2999">
          <cell r="L2999" t="str">
            <v>ديرتوما</v>
          </cell>
          <cell r="M2999" t="str">
            <v>C3691</v>
          </cell>
          <cell r="AC2999">
            <v>36.142089839999997</v>
          </cell>
          <cell r="AD2999">
            <v>35.621276860000002</v>
          </cell>
        </row>
        <row r="3000">
          <cell r="L3000" t="str">
            <v>دريوس</v>
          </cell>
          <cell r="M3000" t="str">
            <v>C3692</v>
          </cell>
          <cell r="AC3000">
            <v>36.13970947</v>
          </cell>
          <cell r="AD3000">
            <v>35.582885740000002</v>
          </cell>
        </row>
        <row r="3001">
          <cell r="L3001" t="str">
            <v>دورين</v>
          </cell>
          <cell r="M3001" t="str">
            <v>C3693</v>
          </cell>
          <cell r="AC3001">
            <v>36.13671875</v>
          </cell>
          <cell r="AD3001">
            <v>35.671325680000002</v>
          </cell>
        </row>
        <row r="3002">
          <cell r="L3002" t="str">
            <v>البلاطة</v>
          </cell>
          <cell r="M3002" t="str">
            <v>C3694</v>
          </cell>
          <cell r="AC3002">
            <v>36.171508789999997</v>
          </cell>
          <cell r="AD3002">
            <v>35.643676759999998</v>
          </cell>
        </row>
        <row r="3003">
          <cell r="L3003" t="str">
            <v>المريح</v>
          </cell>
          <cell r="M3003" t="str">
            <v>C3695</v>
          </cell>
          <cell r="AC3003">
            <v>36.109924319999998</v>
          </cell>
          <cell r="AD3003">
            <v>35.694885249999999</v>
          </cell>
        </row>
        <row r="3004">
          <cell r="L3004" t="str">
            <v>بلوطة</v>
          </cell>
          <cell r="M3004" t="str">
            <v>C3696</v>
          </cell>
          <cell r="AC3004">
            <v>36.122314449999998</v>
          </cell>
          <cell r="AD3004">
            <v>35.65393066</v>
          </cell>
        </row>
        <row r="3005">
          <cell r="L3005" t="str">
            <v>أوبين</v>
          </cell>
          <cell r="M3005" t="str">
            <v>C3697</v>
          </cell>
          <cell r="AC3005">
            <v>36.121276860000002</v>
          </cell>
          <cell r="AD3005">
            <v>35.63830566</v>
          </cell>
        </row>
        <row r="3006">
          <cell r="L3006" t="str">
            <v>ترتياح</v>
          </cell>
          <cell r="M3006" t="str">
            <v>C3698</v>
          </cell>
          <cell r="AC3006">
            <v>36.165893560000001</v>
          </cell>
          <cell r="AD3006">
            <v>35.680908199999998</v>
          </cell>
        </row>
        <row r="3007">
          <cell r="L3007" t="str">
            <v>باب جنه</v>
          </cell>
          <cell r="M3007" t="str">
            <v>C3699</v>
          </cell>
          <cell r="AC3007">
            <v>36.191284179999997</v>
          </cell>
          <cell r="AD3007">
            <v>35.57189941</v>
          </cell>
        </row>
        <row r="3008">
          <cell r="L3008" t="str">
            <v>صلنفة</v>
          </cell>
          <cell r="M3008" t="str">
            <v>C3700</v>
          </cell>
          <cell r="AC3008">
            <v>36.184082029999999</v>
          </cell>
          <cell r="AD3008">
            <v>35.596679690000002</v>
          </cell>
        </row>
        <row r="3009">
          <cell r="L3009" t="str">
            <v>عرامو</v>
          </cell>
          <cell r="M3009" t="str">
            <v>C3701</v>
          </cell>
          <cell r="AC3009">
            <v>36.135925290000003</v>
          </cell>
          <cell r="AD3009">
            <v>35.63049316</v>
          </cell>
        </row>
        <row r="3010">
          <cell r="L3010" t="str">
            <v>بيرين</v>
          </cell>
          <cell r="M3010" t="str">
            <v>C3702</v>
          </cell>
          <cell r="AC3010">
            <v>36.128295899999998</v>
          </cell>
          <cell r="AD3010">
            <v>35.598083500000001</v>
          </cell>
        </row>
        <row r="3011">
          <cell r="L3011" t="str">
            <v>عين الوادي طنطاش</v>
          </cell>
          <cell r="M3011" t="str">
            <v>C3703</v>
          </cell>
          <cell r="AC3011">
            <v>36.200317380000001</v>
          </cell>
          <cell r="AD3011">
            <v>35.629516600000002</v>
          </cell>
        </row>
        <row r="3012">
          <cell r="L3012" t="str">
            <v>سلمى</v>
          </cell>
          <cell r="M3012" t="str">
            <v>C3704</v>
          </cell>
          <cell r="AC3012">
            <v>36.13970947</v>
          </cell>
          <cell r="AD3012">
            <v>35.688110350000002</v>
          </cell>
        </row>
        <row r="3013">
          <cell r="L3013" t="str">
            <v>باب عبد الله</v>
          </cell>
          <cell r="M3013" t="str">
            <v>C3705</v>
          </cell>
          <cell r="AC3013">
            <v>36.171081540000003</v>
          </cell>
          <cell r="AD3013">
            <v>35.627685550000002</v>
          </cell>
        </row>
        <row r="3014">
          <cell r="L3014" t="str">
            <v>كرافيش</v>
          </cell>
          <cell r="M3014" t="str">
            <v>C3706</v>
          </cell>
          <cell r="AC3014">
            <v>36.197082520000002</v>
          </cell>
          <cell r="AD3014">
            <v>35.650878910000003</v>
          </cell>
        </row>
        <row r="3015">
          <cell r="L3015" t="str">
            <v>مارونية دالي / بريم</v>
          </cell>
          <cell r="M3015" t="str">
            <v>C3707</v>
          </cell>
          <cell r="AC3015">
            <v>36.126098630000001</v>
          </cell>
          <cell r="AD3015">
            <v>35.699890140000001</v>
          </cell>
        </row>
        <row r="3016">
          <cell r="L3016" t="str">
            <v>مجدل صالح</v>
          </cell>
          <cell r="M3016" t="str">
            <v>C3708</v>
          </cell>
          <cell r="AC3016">
            <v>36.139526369999999</v>
          </cell>
          <cell r="AD3016">
            <v>35.611083979999997</v>
          </cell>
        </row>
        <row r="3017">
          <cell r="L3017" t="str">
            <v>مرج خوخو</v>
          </cell>
          <cell r="M3017" t="str">
            <v>C3709</v>
          </cell>
          <cell r="AC3017">
            <v>36.152893069999998</v>
          </cell>
          <cell r="AD3017">
            <v>35.691284179999997</v>
          </cell>
        </row>
        <row r="3018">
          <cell r="L3018" t="str">
            <v>كفر دلبة</v>
          </cell>
          <cell r="M3018" t="str">
            <v>C3710</v>
          </cell>
          <cell r="AC3018">
            <v>36.158691410000003</v>
          </cell>
          <cell r="AD3018">
            <v>35.669677729999997</v>
          </cell>
        </row>
        <row r="3019">
          <cell r="L3019" t="str">
            <v>عين التينة</v>
          </cell>
          <cell r="M3019" t="str">
            <v>C3711</v>
          </cell>
          <cell r="AC3019">
            <v>36.098083500000001</v>
          </cell>
          <cell r="AD3019">
            <v>35.566894529999999</v>
          </cell>
        </row>
        <row r="3020">
          <cell r="L3020" t="str">
            <v>بيادر الدرة</v>
          </cell>
          <cell r="M3020" t="str">
            <v>C3712</v>
          </cell>
          <cell r="AC3020">
            <v>36.133911130000001</v>
          </cell>
          <cell r="AD3020">
            <v>35.560302729999997</v>
          </cell>
        </row>
        <row r="3021">
          <cell r="L3021" t="str">
            <v>زنبورة</v>
          </cell>
          <cell r="M3021" t="str">
            <v>C3713</v>
          </cell>
          <cell r="AC3021">
            <v>36.137695309999998</v>
          </cell>
          <cell r="AD3021">
            <v>35.546081540000003</v>
          </cell>
        </row>
        <row r="3022">
          <cell r="L3022" t="str">
            <v>جبلايا</v>
          </cell>
          <cell r="M3022" t="str">
            <v>C3714</v>
          </cell>
          <cell r="AC3022">
            <v>36.035522460000003</v>
          </cell>
          <cell r="AD3022">
            <v>35.561279300000002</v>
          </cell>
        </row>
        <row r="3023">
          <cell r="L3023" t="str">
            <v>الجديدة</v>
          </cell>
          <cell r="M3023" t="str">
            <v>C3715</v>
          </cell>
          <cell r="AC3023">
            <v>36.067504880000001</v>
          </cell>
          <cell r="AD3023">
            <v>35.585876470000002</v>
          </cell>
        </row>
        <row r="3024">
          <cell r="L3024" t="str">
            <v>بستا</v>
          </cell>
          <cell r="M3024" t="str">
            <v>C3716</v>
          </cell>
          <cell r="AC3024">
            <v>36.129882809999998</v>
          </cell>
          <cell r="AD3024">
            <v>35.570678710000003</v>
          </cell>
        </row>
        <row r="3025">
          <cell r="L3025" t="str">
            <v>خالدية خدللو</v>
          </cell>
          <cell r="M3025" t="str">
            <v>C3717</v>
          </cell>
          <cell r="AC3025">
            <v>36.055297850000002</v>
          </cell>
          <cell r="AD3025">
            <v>35.570678710000003</v>
          </cell>
        </row>
        <row r="3026">
          <cell r="L3026" t="str">
            <v>حبيت</v>
          </cell>
          <cell r="M3026" t="str">
            <v>C3718</v>
          </cell>
          <cell r="AC3026">
            <v>36.016113279999999</v>
          </cell>
          <cell r="AD3026">
            <v>35.558288570000002</v>
          </cell>
        </row>
        <row r="3027">
          <cell r="L3027" t="str">
            <v>نبع الخندق</v>
          </cell>
          <cell r="M3027" t="str">
            <v>C3719</v>
          </cell>
          <cell r="AC3027">
            <v>36.161682130000003</v>
          </cell>
          <cell r="AD3027">
            <v>35.553710940000002</v>
          </cell>
        </row>
        <row r="3028">
          <cell r="L3028" t="str">
            <v>ليفين</v>
          </cell>
          <cell r="M3028" t="str">
            <v>C3720</v>
          </cell>
          <cell r="AC3028">
            <v>36.18267822</v>
          </cell>
          <cell r="AD3028">
            <v>35.531921390000001</v>
          </cell>
        </row>
        <row r="3029">
          <cell r="L3029" t="str">
            <v>كرس</v>
          </cell>
          <cell r="M3029" t="str">
            <v>C3721</v>
          </cell>
          <cell r="AC3029">
            <v>36.114074709999997</v>
          </cell>
          <cell r="AD3029">
            <v>35.579528809999999</v>
          </cell>
        </row>
        <row r="3030">
          <cell r="L3030" t="str">
            <v>تلا</v>
          </cell>
          <cell r="M3030" t="str">
            <v>C3722</v>
          </cell>
          <cell r="AC3030">
            <v>36.070678710000003</v>
          </cell>
          <cell r="AD3030">
            <v>35.660278320000003</v>
          </cell>
        </row>
        <row r="3031">
          <cell r="L3031" t="str">
            <v>بمشرفة</v>
          </cell>
          <cell r="M3031" t="str">
            <v>C3723</v>
          </cell>
          <cell r="AC3031">
            <v>36.212280270000001</v>
          </cell>
          <cell r="AD3031">
            <v>35.700500490000003</v>
          </cell>
        </row>
        <row r="3032">
          <cell r="L3032" t="str">
            <v>أرض الوطى</v>
          </cell>
          <cell r="M3032" t="str">
            <v>C3724</v>
          </cell>
          <cell r="AC3032">
            <v>36.169311520000001</v>
          </cell>
          <cell r="AD3032">
            <v>35.75549316</v>
          </cell>
        </row>
        <row r="3033">
          <cell r="L3033" t="str">
            <v>ديرونه الأكراد</v>
          </cell>
          <cell r="M3033" t="str">
            <v>C3725</v>
          </cell>
          <cell r="AC3033">
            <v>36.200317380000001</v>
          </cell>
          <cell r="AD3033">
            <v>35.746887209999997</v>
          </cell>
        </row>
        <row r="3034">
          <cell r="L3034" t="str">
            <v>باشورة</v>
          </cell>
          <cell r="M3034" t="str">
            <v>C3726</v>
          </cell>
          <cell r="AC3034">
            <v>36.103271479999997</v>
          </cell>
          <cell r="AD3034">
            <v>35.751708979999997</v>
          </cell>
        </row>
        <row r="3035">
          <cell r="L3035" t="str">
            <v>دويركه</v>
          </cell>
          <cell r="M3035" t="str">
            <v>C3727</v>
          </cell>
          <cell r="AC3035">
            <v>36.159301759999998</v>
          </cell>
          <cell r="AD3035">
            <v>35.705322270000003</v>
          </cell>
        </row>
        <row r="3036">
          <cell r="L3036" t="str">
            <v>عين الحور</v>
          </cell>
          <cell r="M3036" t="str">
            <v>C3728</v>
          </cell>
          <cell r="AC3036">
            <v>36.126281740000003</v>
          </cell>
          <cell r="AD3036">
            <v>35.708496089999997</v>
          </cell>
        </row>
        <row r="3037">
          <cell r="L3037" t="str">
            <v>طعوما</v>
          </cell>
          <cell r="M3037" t="str">
            <v>C3729</v>
          </cell>
          <cell r="AC3037">
            <v>36.184875490000003</v>
          </cell>
          <cell r="AD3037">
            <v>35.705688479999999</v>
          </cell>
        </row>
        <row r="3038">
          <cell r="L3038" t="str">
            <v>شلف</v>
          </cell>
          <cell r="M3038" t="str">
            <v>C3730</v>
          </cell>
          <cell r="AC3038">
            <v>36.170104979999998</v>
          </cell>
          <cell r="AD3038">
            <v>35.729919430000002</v>
          </cell>
        </row>
        <row r="3039">
          <cell r="L3039" t="str">
            <v>حدادة</v>
          </cell>
          <cell r="M3039" t="str">
            <v>C3731</v>
          </cell>
          <cell r="AC3039">
            <v>36.179504399999999</v>
          </cell>
          <cell r="AD3039">
            <v>35.761291499999999</v>
          </cell>
        </row>
        <row r="3040">
          <cell r="L3040" t="str">
            <v>الحمرات</v>
          </cell>
          <cell r="M3040" t="str">
            <v>C3732</v>
          </cell>
          <cell r="AC3040">
            <v>36.154113770000002</v>
          </cell>
          <cell r="AD3040">
            <v>35.754699709999997</v>
          </cell>
        </row>
        <row r="3041">
          <cell r="L3041" t="str">
            <v>حكرو</v>
          </cell>
          <cell r="M3041" t="str">
            <v>C3733</v>
          </cell>
          <cell r="AC3041">
            <v>36.032287599999997</v>
          </cell>
          <cell r="AD3041">
            <v>35.660705569999998</v>
          </cell>
        </row>
        <row r="3042">
          <cell r="L3042" t="str">
            <v>عين العشرة</v>
          </cell>
          <cell r="M3042" t="str">
            <v>C3734</v>
          </cell>
          <cell r="AC3042">
            <v>36.1348877</v>
          </cell>
          <cell r="AD3042">
            <v>35.778320309999998</v>
          </cell>
        </row>
        <row r="3043">
          <cell r="L3043" t="str">
            <v>بيت الشكوحي</v>
          </cell>
          <cell r="M3043" t="str">
            <v>C3735</v>
          </cell>
          <cell r="AC3043">
            <v>36.098876949999998</v>
          </cell>
          <cell r="AD3043">
            <v>35.649902339999997</v>
          </cell>
        </row>
        <row r="3044">
          <cell r="L3044" t="str">
            <v>عين القنطرة</v>
          </cell>
          <cell r="M3044" t="str">
            <v>C3736</v>
          </cell>
          <cell r="AC3044">
            <v>36.180725099999997</v>
          </cell>
          <cell r="AD3044">
            <v>35.740295410000002</v>
          </cell>
        </row>
        <row r="3045">
          <cell r="L3045" t="str">
            <v>عيدو</v>
          </cell>
          <cell r="M3045" t="str">
            <v>C3737</v>
          </cell>
          <cell r="AC3045">
            <v>36.128723149999999</v>
          </cell>
          <cell r="AD3045">
            <v>35.739929199999999</v>
          </cell>
        </row>
        <row r="3046">
          <cell r="L3046" t="str">
            <v>عوينات</v>
          </cell>
          <cell r="M3046" t="str">
            <v>C3738</v>
          </cell>
          <cell r="AC3046">
            <v>36.084899900000003</v>
          </cell>
          <cell r="AD3046">
            <v>35.721679690000002</v>
          </cell>
        </row>
        <row r="3047">
          <cell r="L3047" t="str">
            <v>بروما</v>
          </cell>
          <cell r="M3047" t="str">
            <v>C3739</v>
          </cell>
          <cell r="AC3047">
            <v>36.153320309999998</v>
          </cell>
          <cell r="AD3047">
            <v>35.720520020000002</v>
          </cell>
        </row>
        <row r="3048">
          <cell r="L3048" t="str">
            <v>عكو</v>
          </cell>
          <cell r="M3048" t="str">
            <v>C3740</v>
          </cell>
          <cell r="AC3048">
            <v>36.219116210000003</v>
          </cell>
          <cell r="AD3048">
            <v>35.710083009999998</v>
          </cell>
        </row>
        <row r="3049">
          <cell r="L3049" t="str">
            <v>عرافيت</v>
          </cell>
          <cell r="M3049" t="str">
            <v>C3741</v>
          </cell>
          <cell r="AC3049">
            <v>36.212707520000002</v>
          </cell>
          <cell r="AD3049">
            <v>35.689270020000002</v>
          </cell>
        </row>
        <row r="3050">
          <cell r="L3050" t="str">
            <v>آره</v>
          </cell>
          <cell r="M3050" t="str">
            <v>C3742</v>
          </cell>
          <cell r="AC3050">
            <v>36.149902339999997</v>
          </cell>
          <cell r="AD3050">
            <v>35.714904789999999</v>
          </cell>
        </row>
        <row r="3051">
          <cell r="L3051" t="str">
            <v>مجدل كيخيا</v>
          </cell>
          <cell r="M3051" t="str">
            <v>C3743</v>
          </cell>
          <cell r="AC3051">
            <v>36.166076660000002</v>
          </cell>
          <cell r="AD3051">
            <v>35.71691895</v>
          </cell>
        </row>
        <row r="3052">
          <cell r="L3052" t="str">
            <v>وادي الشيخان</v>
          </cell>
          <cell r="M3052" t="str">
            <v>C3744</v>
          </cell>
          <cell r="AC3052">
            <v>36.096313479999999</v>
          </cell>
          <cell r="AD3052">
            <v>35.714477539999997</v>
          </cell>
        </row>
        <row r="3053">
          <cell r="L3053" t="str">
            <v>كارورة</v>
          </cell>
          <cell r="M3053" t="str">
            <v>C3745</v>
          </cell>
          <cell r="AC3053">
            <v>36.112304690000002</v>
          </cell>
          <cell r="AD3053">
            <v>35.737487790000003</v>
          </cell>
        </row>
        <row r="3054">
          <cell r="L3054" t="str">
            <v>كفرتة</v>
          </cell>
          <cell r="M3054" t="str">
            <v>C3746</v>
          </cell>
          <cell r="AC3054">
            <v>36.077514649999998</v>
          </cell>
          <cell r="AD3054">
            <v>35.671081540000003</v>
          </cell>
        </row>
        <row r="3055">
          <cell r="L3055" t="str">
            <v>مزين</v>
          </cell>
          <cell r="M3055" t="str">
            <v>C3747</v>
          </cell>
          <cell r="AC3055">
            <v>36.112304690000002</v>
          </cell>
          <cell r="AD3055">
            <v>35.72747803</v>
          </cell>
        </row>
        <row r="3056">
          <cell r="L3056" t="str">
            <v>وادي باصور</v>
          </cell>
          <cell r="M3056" t="str">
            <v>C3748</v>
          </cell>
          <cell r="AC3056">
            <v>36.144470220000002</v>
          </cell>
          <cell r="AD3056">
            <v>35.739929199999999</v>
          </cell>
        </row>
        <row r="3057">
          <cell r="L3057" t="str">
            <v>مرج الزاوية</v>
          </cell>
          <cell r="M3057" t="str">
            <v>C3749</v>
          </cell>
          <cell r="AC3057">
            <v>36.127502440000001</v>
          </cell>
          <cell r="AD3057">
            <v>35.754882809999998</v>
          </cell>
        </row>
        <row r="3058">
          <cell r="L3058" t="str">
            <v>كنسبا</v>
          </cell>
          <cell r="M3058" t="str">
            <v>C3750</v>
          </cell>
          <cell r="AC3058">
            <v>36.163696289999997</v>
          </cell>
          <cell r="AD3058">
            <v>35.743896479999997</v>
          </cell>
        </row>
        <row r="3059">
          <cell r="L3059" t="str">
            <v>كباني</v>
          </cell>
          <cell r="M3059" t="str">
            <v>C3751</v>
          </cell>
          <cell r="AC3059">
            <v>36.233276369999999</v>
          </cell>
          <cell r="AD3059">
            <v>35.718688970000002</v>
          </cell>
        </row>
        <row r="3060">
          <cell r="L3060" t="str">
            <v>كدين</v>
          </cell>
          <cell r="M3060" t="str">
            <v>C3752</v>
          </cell>
          <cell r="AC3060">
            <v>36.178894040000003</v>
          </cell>
          <cell r="AD3060">
            <v>35.689880369999997</v>
          </cell>
        </row>
        <row r="3061">
          <cell r="L3061" t="str">
            <v>كورت</v>
          </cell>
          <cell r="M3061" t="str">
            <v>C3753</v>
          </cell>
          <cell r="AC3061">
            <v>36.095092770000001</v>
          </cell>
          <cell r="AD3061">
            <v>35.701904300000002</v>
          </cell>
        </row>
        <row r="3062">
          <cell r="L3062" t="str">
            <v>غنيميه</v>
          </cell>
          <cell r="M3062" t="str">
            <v>C3754</v>
          </cell>
          <cell r="AC3062">
            <v>36.10131836</v>
          </cell>
          <cell r="AD3062">
            <v>35.706909179999997</v>
          </cell>
        </row>
        <row r="3063">
          <cell r="L3063" t="str">
            <v>دير ماما</v>
          </cell>
          <cell r="M3063" t="str">
            <v>C3755</v>
          </cell>
          <cell r="AC3063">
            <v>36.126525880000003</v>
          </cell>
          <cell r="AD3063">
            <v>35.548889160000002</v>
          </cell>
        </row>
        <row r="3064">
          <cell r="L3064" t="str">
            <v>ديفة</v>
          </cell>
          <cell r="M3064" t="str">
            <v>C3756</v>
          </cell>
          <cell r="AC3064">
            <v>36.000122070000003</v>
          </cell>
          <cell r="AD3064">
            <v>35.518676759999998</v>
          </cell>
        </row>
        <row r="3065">
          <cell r="L3065" t="str">
            <v>المصلا</v>
          </cell>
          <cell r="M3065" t="str">
            <v>C3757</v>
          </cell>
          <cell r="AC3065">
            <v>35.938293459999997</v>
          </cell>
          <cell r="AD3065">
            <v>35.51147461</v>
          </cell>
        </row>
        <row r="3066">
          <cell r="L3066" t="str">
            <v>المشيرفة الحفة</v>
          </cell>
          <cell r="M3066" t="str">
            <v>C3758</v>
          </cell>
          <cell r="AC3066">
            <v>35.928710940000002</v>
          </cell>
          <cell r="AD3066">
            <v>35.519714360000002</v>
          </cell>
        </row>
        <row r="3067">
          <cell r="L3067" t="str">
            <v>الرامة</v>
          </cell>
          <cell r="M3067" t="str">
            <v>C3759</v>
          </cell>
          <cell r="AC3067">
            <v>35.959289550000001</v>
          </cell>
          <cell r="AD3067">
            <v>35.525878910000003</v>
          </cell>
        </row>
        <row r="3068">
          <cell r="L3068" t="str">
            <v>بيت جيرو</v>
          </cell>
          <cell r="M3068" t="str">
            <v>C3760</v>
          </cell>
          <cell r="AC3068">
            <v>36.054077149999998</v>
          </cell>
          <cell r="AD3068">
            <v>35.53009033</v>
          </cell>
        </row>
        <row r="3069">
          <cell r="L3069" t="str">
            <v>رويسة هليل</v>
          </cell>
          <cell r="M3069" t="str">
            <v>C3761</v>
          </cell>
          <cell r="AC3069">
            <v>36.02368164</v>
          </cell>
          <cell r="AD3069">
            <v>35.54272461</v>
          </cell>
        </row>
        <row r="3070">
          <cell r="L3070" t="str">
            <v>الليسونيه</v>
          </cell>
          <cell r="M3070" t="str">
            <v>C3762</v>
          </cell>
          <cell r="AC3070">
            <v>36.117919919999999</v>
          </cell>
          <cell r="AD3070">
            <v>35.540710449999999</v>
          </cell>
        </row>
        <row r="3071">
          <cell r="L3071" t="str">
            <v>حطين أمبراتو</v>
          </cell>
          <cell r="M3071" t="str">
            <v>C3763</v>
          </cell>
          <cell r="AC3071">
            <v>36.091674810000001</v>
          </cell>
          <cell r="AD3071">
            <v>35.550476070000002</v>
          </cell>
        </row>
        <row r="3072">
          <cell r="L3072" t="str">
            <v>جنجانية</v>
          </cell>
          <cell r="M3072" t="str">
            <v>C3764</v>
          </cell>
          <cell r="AC3072">
            <v>36.067077640000001</v>
          </cell>
          <cell r="AD3072">
            <v>35.540710449999999</v>
          </cell>
        </row>
        <row r="3073">
          <cell r="L3073" t="str">
            <v>دوير الشلف</v>
          </cell>
          <cell r="M3073" t="str">
            <v>C3765</v>
          </cell>
          <cell r="AC3073">
            <v>36.01287842</v>
          </cell>
          <cell r="AD3073">
            <v>35.526123050000002</v>
          </cell>
        </row>
        <row r="3074">
          <cell r="L3074" t="str">
            <v>السراج</v>
          </cell>
          <cell r="M3074" t="str">
            <v>C3766</v>
          </cell>
          <cell r="AC3074">
            <v>36.135681150000003</v>
          </cell>
          <cell r="AD3074">
            <v>35.523315429999997</v>
          </cell>
        </row>
        <row r="3075">
          <cell r="L3075" t="str">
            <v>الروضة / طرجانو الحفة</v>
          </cell>
          <cell r="M3075" t="str">
            <v>C3767</v>
          </cell>
          <cell r="AC3075">
            <v>35.984680179999998</v>
          </cell>
          <cell r="AD3075">
            <v>35.528076169999999</v>
          </cell>
        </row>
        <row r="3076">
          <cell r="L3076" t="str">
            <v>الزهراء / بطرنس الحفة</v>
          </cell>
          <cell r="M3076" t="str">
            <v>C3768</v>
          </cell>
          <cell r="AC3076">
            <v>36.001525880000003</v>
          </cell>
          <cell r="AD3076">
            <v>35.54528809</v>
          </cell>
        </row>
        <row r="3077">
          <cell r="L3077" t="str">
            <v>القويقة / الحفة</v>
          </cell>
          <cell r="M3077" t="str">
            <v>C3769</v>
          </cell>
          <cell r="AC3077">
            <v>35.988891600000002</v>
          </cell>
          <cell r="AD3077">
            <v>35.521728520000003</v>
          </cell>
        </row>
        <row r="3078">
          <cell r="L3078" t="str">
            <v>الرجم</v>
          </cell>
          <cell r="M3078" t="str">
            <v>C3770</v>
          </cell>
          <cell r="AC3078">
            <v>35.964111330000001</v>
          </cell>
          <cell r="AD3078">
            <v>35.540283199999998</v>
          </cell>
        </row>
        <row r="3079">
          <cell r="L3079" t="str">
            <v>الرويمية</v>
          </cell>
          <cell r="M3079" t="str">
            <v>C3771</v>
          </cell>
          <cell r="AC3079">
            <v>35.935729979999998</v>
          </cell>
          <cell r="AD3079">
            <v>35.496887209999997</v>
          </cell>
        </row>
        <row r="3080">
          <cell r="L3080" t="str">
            <v>الدرباشية</v>
          </cell>
          <cell r="M3080" t="str">
            <v>C3772</v>
          </cell>
          <cell r="AC3080">
            <v>35.994079589999998</v>
          </cell>
          <cell r="AD3080">
            <v>35.541687009999997</v>
          </cell>
        </row>
        <row r="3081">
          <cell r="L3081" t="str">
            <v>القاقعية</v>
          </cell>
          <cell r="M3081" t="str">
            <v>C3773</v>
          </cell>
          <cell r="AC3081">
            <v>35.953125</v>
          </cell>
          <cell r="AD3081">
            <v>35.536926270000002</v>
          </cell>
        </row>
        <row r="3082">
          <cell r="L3082" t="str">
            <v>مزيرعة</v>
          </cell>
          <cell r="M3082" t="str">
            <v>C3774</v>
          </cell>
          <cell r="AC3082">
            <v>36.069702149999998</v>
          </cell>
          <cell r="AD3082">
            <v>35.529479979999998</v>
          </cell>
        </row>
        <row r="3083">
          <cell r="L3083" t="str">
            <v>كرم المعصرة</v>
          </cell>
          <cell r="M3083" t="str">
            <v>C3775</v>
          </cell>
          <cell r="AC3083">
            <v>36.142883300000001</v>
          </cell>
          <cell r="AD3083">
            <v>35.531921390000001</v>
          </cell>
        </row>
        <row r="3084">
          <cell r="L3084" t="str">
            <v>مصيص</v>
          </cell>
          <cell r="M3084" t="str">
            <v>C3776</v>
          </cell>
          <cell r="AC3084">
            <v>36.118896479999997</v>
          </cell>
          <cell r="AD3084">
            <v>35.52227783</v>
          </cell>
        </row>
        <row r="3085">
          <cell r="L3085" t="str">
            <v>مرديدو</v>
          </cell>
          <cell r="M3085" t="str">
            <v>C3777</v>
          </cell>
          <cell r="AC3085">
            <v>35.92810059</v>
          </cell>
          <cell r="AD3085">
            <v>35.527282720000002</v>
          </cell>
        </row>
        <row r="3086">
          <cell r="L3086" t="str">
            <v>كيمين</v>
          </cell>
          <cell r="M3086" t="str">
            <v>C3778</v>
          </cell>
          <cell r="AC3086">
            <v>36.022094729999999</v>
          </cell>
          <cell r="AD3086">
            <v>35.550292970000001</v>
          </cell>
        </row>
        <row r="3087">
          <cell r="L3087" t="str">
            <v>مليو</v>
          </cell>
          <cell r="M3087" t="str">
            <v>C3779</v>
          </cell>
          <cell r="AC3087">
            <v>35.979125979999999</v>
          </cell>
          <cell r="AD3087">
            <v>35.535522460000003</v>
          </cell>
        </row>
        <row r="3088">
          <cell r="L3088" t="str">
            <v>ياسمين_ياسنس</v>
          </cell>
          <cell r="M3088" t="str">
            <v>C3780</v>
          </cell>
          <cell r="AC3088">
            <v>36.01147461</v>
          </cell>
          <cell r="AD3088">
            <v>35.535278320000003</v>
          </cell>
        </row>
        <row r="3089">
          <cell r="L3089" t="str">
            <v>جرماتي</v>
          </cell>
          <cell r="M3089" t="str">
            <v>C3781</v>
          </cell>
          <cell r="AC3089">
            <v>36.088500979999999</v>
          </cell>
          <cell r="AD3089">
            <v>35.405273440000002</v>
          </cell>
        </row>
        <row r="3090">
          <cell r="L3090" t="str">
            <v>بكراما</v>
          </cell>
          <cell r="M3090" t="str">
            <v>C3782</v>
          </cell>
          <cell r="AC3090">
            <v>36.117675779999999</v>
          </cell>
          <cell r="AD3090">
            <v>35.42211914</v>
          </cell>
        </row>
        <row r="3091">
          <cell r="L3091" t="str">
            <v>سفرقية</v>
          </cell>
          <cell r="M3091" t="str">
            <v>C3783</v>
          </cell>
          <cell r="AC3091">
            <v>36.006713869999999</v>
          </cell>
          <cell r="AD3091">
            <v>35.431518560000001</v>
          </cell>
        </row>
        <row r="3092">
          <cell r="L3092" t="str">
            <v>رويسة البساتنة</v>
          </cell>
          <cell r="M3092" t="str">
            <v>C3784</v>
          </cell>
          <cell r="AC3092">
            <v>36.002502440000001</v>
          </cell>
          <cell r="AD3092">
            <v>35.434326169999999</v>
          </cell>
        </row>
        <row r="3093">
          <cell r="L3093" t="str">
            <v>رويسه بدرية</v>
          </cell>
          <cell r="M3093" t="str">
            <v>C3785</v>
          </cell>
          <cell r="AC3093">
            <v>36.023315429999997</v>
          </cell>
          <cell r="AD3093">
            <v>35.427124020000001</v>
          </cell>
        </row>
        <row r="3094">
          <cell r="L3094" t="str">
            <v>حرف رضوه</v>
          </cell>
          <cell r="M3094" t="str">
            <v>C3786</v>
          </cell>
          <cell r="AC3094">
            <v>36.007690429999997</v>
          </cell>
          <cell r="AD3094">
            <v>35.444091800000002</v>
          </cell>
        </row>
        <row r="3095">
          <cell r="L3095" t="str">
            <v>رويسة عفيف</v>
          </cell>
          <cell r="M3095" t="str">
            <v>C3787</v>
          </cell>
          <cell r="AC3095">
            <v>35.999694820000002</v>
          </cell>
          <cell r="AD3095">
            <v>35.438293459999997</v>
          </cell>
        </row>
        <row r="3096">
          <cell r="L3096" t="str">
            <v>بشلاما</v>
          </cell>
          <cell r="M3096" t="str">
            <v>C3788</v>
          </cell>
          <cell r="AC3096">
            <v>36.082885740000002</v>
          </cell>
          <cell r="AD3096">
            <v>35.447326660000002</v>
          </cell>
        </row>
        <row r="3097">
          <cell r="L3097" t="str">
            <v>بشرية</v>
          </cell>
          <cell r="M3097" t="str">
            <v>C3789</v>
          </cell>
          <cell r="AC3097">
            <v>36.103271479999997</v>
          </cell>
          <cell r="AD3097">
            <v>35.432128910000003</v>
          </cell>
        </row>
        <row r="3098">
          <cell r="L3098" t="str">
            <v>الميسه</v>
          </cell>
          <cell r="M3098" t="str">
            <v>C3790</v>
          </cell>
          <cell r="AC3098">
            <v>36.107910160000003</v>
          </cell>
          <cell r="AD3098">
            <v>35.487915039999997</v>
          </cell>
        </row>
        <row r="3099">
          <cell r="L3099" t="str">
            <v>البيطار</v>
          </cell>
          <cell r="M3099" t="str">
            <v>C3791</v>
          </cell>
          <cell r="AC3099">
            <v>35.984497070000003</v>
          </cell>
          <cell r="AD3099">
            <v>35.4296875</v>
          </cell>
        </row>
        <row r="3100">
          <cell r="L3100" t="str">
            <v>رسيون القرداحة</v>
          </cell>
          <cell r="M3100" t="str">
            <v>C3792</v>
          </cell>
          <cell r="AC3100">
            <v>35.973693849999997</v>
          </cell>
          <cell r="AD3100">
            <v>35.458679199999999</v>
          </cell>
        </row>
        <row r="3101">
          <cell r="L3101" t="str">
            <v>عوينة الريحان</v>
          </cell>
          <cell r="M3101" t="str">
            <v>C3793</v>
          </cell>
          <cell r="AC3101">
            <v>36.153686520000001</v>
          </cell>
          <cell r="AD3101">
            <v>35.406677250000001</v>
          </cell>
        </row>
        <row r="3102">
          <cell r="L3102" t="str">
            <v>سلاغو</v>
          </cell>
          <cell r="M3102" t="str">
            <v>C3794</v>
          </cell>
          <cell r="AC3102">
            <v>36.018676759999998</v>
          </cell>
          <cell r="AD3102">
            <v>35.43908691</v>
          </cell>
        </row>
        <row r="3103">
          <cell r="L3103" t="str">
            <v>المتن</v>
          </cell>
          <cell r="M3103" t="str">
            <v>C3795</v>
          </cell>
          <cell r="AC3103">
            <v>36.093872070000003</v>
          </cell>
          <cell r="AD3103">
            <v>35.442687990000003</v>
          </cell>
        </row>
        <row r="3104">
          <cell r="L3104" t="str">
            <v>الباسل / اليابسة</v>
          </cell>
          <cell r="M3104" t="str">
            <v>C3796</v>
          </cell>
          <cell r="AC3104">
            <v>36.153076169999999</v>
          </cell>
          <cell r="AD3104">
            <v>35.440673830000001</v>
          </cell>
        </row>
        <row r="3105">
          <cell r="L3105" t="str">
            <v>بحمرة</v>
          </cell>
          <cell r="M3105" t="str">
            <v>C3797</v>
          </cell>
          <cell r="AC3105">
            <v>36.030273440000002</v>
          </cell>
          <cell r="AD3105">
            <v>35.46508789</v>
          </cell>
        </row>
        <row r="3106">
          <cell r="L3106" t="str">
            <v>المران</v>
          </cell>
          <cell r="M3106" t="str">
            <v>C3798</v>
          </cell>
          <cell r="AC3106">
            <v>36.115295410000002</v>
          </cell>
          <cell r="AD3106">
            <v>35.450683589999997</v>
          </cell>
        </row>
        <row r="3107">
          <cell r="L3107" t="str">
            <v>بحواريا</v>
          </cell>
          <cell r="M3107" t="str">
            <v>C3799</v>
          </cell>
          <cell r="AC3107">
            <v>36.056884770000003</v>
          </cell>
          <cell r="AD3107">
            <v>35.432922359999999</v>
          </cell>
        </row>
        <row r="3108">
          <cell r="L3108" t="str">
            <v>الدبيقة</v>
          </cell>
          <cell r="M3108" t="str">
            <v>C3800</v>
          </cell>
          <cell r="AC3108">
            <v>35.995117190000002</v>
          </cell>
          <cell r="AD3108">
            <v>35.456726070000002</v>
          </cell>
        </row>
        <row r="3109">
          <cell r="L3109" t="str">
            <v>دير دوما</v>
          </cell>
          <cell r="M3109" t="str">
            <v>C3801</v>
          </cell>
          <cell r="AC3109">
            <v>36.08752441</v>
          </cell>
          <cell r="AD3109">
            <v>35.453491210000003</v>
          </cell>
        </row>
        <row r="3110">
          <cell r="L3110" t="str">
            <v>غلميسه</v>
          </cell>
          <cell r="M3110" t="str">
            <v>C3802</v>
          </cell>
          <cell r="AC3110">
            <v>36.099487310000001</v>
          </cell>
          <cell r="AD3110">
            <v>35.413513180000002</v>
          </cell>
        </row>
        <row r="3111">
          <cell r="L3111" t="str">
            <v>سللورين</v>
          </cell>
          <cell r="M3111" t="str">
            <v>C3803</v>
          </cell>
          <cell r="AC3111">
            <v>35.946716309999999</v>
          </cell>
          <cell r="AD3111">
            <v>35.431884770000003</v>
          </cell>
        </row>
        <row r="3112">
          <cell r="L3112" t="str">
            <v>جديدة</v>
          </cell>
          <cell r="M3112" t="str">
            <v>C3804</v>
          </cell>
          <cell r="AC3112">
            <v>36.000305179999998</v>
          </cell>
          <cell r="AD3112">
            <v>35.477905270000001</v>
          </cell>
        </row>
        <row r="3113">
          <cell r="L3113" t="str">
            <v>دير حنا / القرداحة</v>
          </cell>
          <cell r="M3113" t="str">
            <v>C3805</v>
          </cell>
          <cell r="AC3113">
            <v>36.036499020000001</v>
          </cell>
          <cell r="AD3113">
            <v>35.425903320000003</v>
          </cell>
        </row>
        <row r="3114">
          <cell r="L3114" t="str">
            <v>اسطمنا</v>
          </cell>
          <cell r="M3114" t="str">
            <v>C3806</v>
          </cell>
          <cell r="AC3114">
            <v>36.142517089999998</v>
          </cell>
          <cell r="AD3114">
            <v>35.453308110000002</v>
          </cell>
        </row>
        <row r="3115">
          <cell r="L3115" t="str">
            <v>القرامة قرداحة</v>
          </cell>
          <cell r="M3115" t="str">
            <v>C3807</v>
          </cell>
          <cell r="AC3115">
            <v>36.035095220000002</v>
          </cell>
          <cell r="AD3115">
            <v>35.418273929999998</v>
          </cell>
        </row>
        <row r="3116">
          <cell r="L3116" t="str">
            <v>عين العروس</v>
          </cell>
          <cell r="M3116" t="str">
            <v>C3808</v>
          </cell>
          <cell r="AC3116">
            <v>35.934875490000003</v>
          </cell>
          <cell r="AD3116">
            <v>35.444274900000003</v>
          </cell>
        </row>
        <row r="3117">
          <cell r="L3117" t="str">
            <v>القرداحة</v>
          </cell>
          <cell r="M3117" t="str">
            <v>C3809</v>
          </cell>
          <cell r="AC3117">
            <v>36.051086429999998</v>
          </cell>
          <cell r="AD3117">
            <v>35.453918459999997</v>
          </cell>
        </row>
        <row r="3118">
          <cell r="L3118" t="str">
            <v>بسوت</v>
          </cell>
          <cell r="M3118" t="str">
            <v>C3810</v>
          </cell>
          <cell r="AC3118">
            <v>36.123901369999999</v>
          </cell>
          <cell r="AD3118">
            <v>35.461730959999997</v>
          </cell>
        </row>
        <row r="3119">
          <cell r="L3119" t="str">
            <v>ديروتان القرداحة</v>
          </cell>
          <cell r="M3119" t="str">
            <v>C3811</v>
          </cell>
          <cell r="AC3119">
            <v>36.08709717</v>
          </cell>
          <cell r="AD3119">
            <v>35.482727050000001</v>
          </cell>
        </row>
        <row r="3120">
          <cell r="L3120" t="str">
            <v>بني عيسى</v>
          </cell>
          <cell r="M3120" t="str">
            <v>C3812</v>
          </cell>
          <cell r="AC3120">
            <v>35.964477539999997</v>
          </cell>
          <cell r="AD3120">
            <v>35.441528320000003</v>
          </cell>
        </row>
        <row r="3121">
          <cell r="L3121" t="str">
            <v>بسين</v>
          </cell>
          <cell r="M3121" t="str">
            <v>C3813</v>
          </cell>
          <cell r="AC3121">
            <v>36.145324709999997</v>
          </cell>
          <cell r="AD3121">
            <v>35.419677729999997</v>
          </cell>
        </row>
        <row r="3122">
          <cell r="L3122" t="str">
            <v>القطلبة</v>
          </cell>
          <cell r="M3122" t="str">
            <v>C3814</v>
          </cell>
          <cell r="AC3122">
            <v>36.125488279999999</v>
          </cell>
          <cell r="AD3122">
            <v>35.437683110000002</v>
          </cell>
        </row>
        <row r="3123">
          <cell r="L3123" t="str">
            <v>رأس القللورية</v>
          </cell>
          <cell r="M3123" t="str">
            <v>C3815</v>
          </cell>
          <cell r="AC3123">
            <v>35.981872559999999</v>
          </cell>
          <cell r="AD3123">
            <v>35.458312990000003</v>
          </cell>
        </row>
        <row r="3124">
          <cell r="L3124" t="str">
            <v>قللورية</v>
          </cell>
          <cell r="M3124" t="str">
            <v>C3816</v>
          </cell>
          <cell r="AC3124">
            <v>35.989318849999997</v>
          </cell>
          <cell r="AD3124">
            <v>35.455322270000003</v>
          </cell>
        </row>
        <row r="3125">
          <cell r="L3125" t="str">
            <v>مركيه</v>
          </cell>
          <cell r="M3125" t="str">
            <v>C3817</v>
          </cell>
          <cell r="AC3125">
            <v>36.168518069999998</v>
          </cell>
          <cell r="AD3125">
            <v>35.458496089999997</v>
          </cell>
        </row>
        <row r="3126">
          <cell r="L3126" t="str">
            <v>قاموع كفر دبيل</v>
          </cell>
          <cell r="M3126" t="str">
            <v>C3818</v>
          </cell>
          <cell r="AC3126">
            <v>36.001525880000003</v>
          </cell>
          <cell r="AD3126">
            <v>35.470520020000002</v>
          </cell>
        </row>
        <row r="3127">
          <cell r="L3127" t="str">
            <v>مرج موسى</v>
          </cell>
          <cell r="M3127" t="str">
            <v>C3819</v>
          </cell>
          <cell r="AC3127">
            <v>36.052673339999998</v>
          </cell>
          <cell r="AD3127">
            <v>35.418701169999999</v>
          </cell>
        </row>
        <row r="3128">
          <cell r="L3128" t="str">
            <v>مريجات</v>
          </cell>
          <cell r="M3128" t="str">
            <v>C3820</v>
          </cell>
          <cell r="AC3128">
            <v>36.027526860000002</v>
          </cell>
          <cell r="AD3128">
            <v>35.414123539999999</v>
          </cell>
        </row>
        <row r="3129">
          <cell r="L3129" t="str">
            <v>نينه</v>
          </cell>
          <cell r="M3129" t="str">
            <v>C3821</v>
          </cell>
          <cell r="AC3129">
            <v>36.097473149999999</v>
          </cell>
          <cell r="AD3129">
            <v>35.425292970000001</v>
          </cell>
        </row>
        <row r="3130">
          <cell r="L3130" t="str">
            <v>كلماخو</v>
          </cell>
          <cell r="M3130" t="str">
            <v>C3822</v>
          </cell>
          <cell r="AC3130">
            <v>35.989929199999999</v>
          </cell>
          <cell r="AD3130">
            <v>35.461914059999998</v>
          </cell>
        </row>
        <row r="3131">
          <cell r="L3131" t="str">
            <v>مرج معيربان</v>
          </cell>
          <cell r="M3131" t="str">
            <v>C3823</v>
          </cell>
          <cell r="AC3131">
            <v>36.049072270000003</v>
          </cell>
          <cell r="AD3131">
            <v>35.479492190000002</v>
          </cell>
        </row>
        <row r="3132">
          <cell r="L3132" t="str">
            <v>نيننتي</v>
          </cell>
          <cell r="M3132" t="str">
            <v>C3824</v>
          </cell>
          <cell r="AC3132">
            <v>36.083679199999999</v>
          </cell>
          <cell r="AD3132">
            <v>35.417297359999999</v>
          </cell>
        </row>
        <row r="3133">
          <cell r="L3133" t="str">
            <v>عين الحيات</v>
          </cell>
          <cell r="M3133" t="str">
            <v>C3825</v>
          </cell>
          <cell r="AC3133">
            <v>36.171875</v>
          </cell>
          <cell r="AD3133">
            <v>35.373718259999997</v>
          </cell>
        </row>
        <row r="3134">
          <cell r="L3134" t="str">
            <v>القرندح</v>
          </cell>
          <cell r="M3134" t="str">
            <v>C3826</v>
          </cell>
          <cell r="AC3134">
            <v>36.176086429999998</v>
          </cell>
          <cell r="AD3134">
            <v>35.380126949999998</v>
          </cell>
        </row>
        <row r="3135">
          <cell r="L3135" t="str">
            <v>عرقوب</v>
          </cell>
          <cell r="M3135" t="str">
            <v>C3827</v>
          </cell>
          <cell r="AC3135">
            <v>36.106506349999997</v>
          </cell>
          <cell r="AD3135">
            <v>35.399475099999997</v>
          </cell>
        </row>
        <row r="3136">
          <cell r="L3136" t="str">
            <v>العامود</v>
          </cell>
          <cell r="M3136" t="str">
            <v>C3828</v>
          </cell>
          <cell r="AC3136">
            <v>36.141296390000001</v>
          </cell>
          <cell r="AD3136">
            <v>35.369079589999998</v>
          </cell>
        </row>
        <row r="3137">
          <cell r="L3137" t="str">
            <v>حرف المسيترة</v>
          </cell>
          <cell r="M3137" t="str">
            <v>C3829</v>
          </cell>
          <cell r="AC3137">
            <v>36.134094240000003</v>
          </cell>
          <cell r="AD3137">
            <v>35.390502929999997</v>
          </cell>
        </row>
        <row r="3138">
          <cell r="L3138" t="str">
            <v>الدليبات</v>
          </cell>
          <cell r="M3138" t="str">
            <v>C3830</v>
          </cell>
          <cell r="AC3138">
            <v>36.136291499999999</v>
          </cell>
          <cell r="AD3138">
            <v>35.402526860000002</v>
          </cell>
        </row>
        <row r="3139">
          <cell r="L3139" t="str">
            <v>شنبوطين</v>
          </cell>
          <cell r="M3139" t="str">
            <v>C3831</v>
          </cell>
          <cell r="AC3139">
            <v>36.106506349999997</v>
          </cell>
          <cell r="AD3139">
            <v>35.380676270000002</v>
          </cell>
        </row>
        <row r="3140">
          <cell r="L3140" t="str">
            <v>عروسة الجبل</v>
          </cell>
          <cell r="M3140" t="str">
            <v>C3832</v>
          </cell>
          <cell r="AC3140">
            <v>36.117675779999999</v>
          </cell>
          <cell r="AD3140">
            <v>35.403320309999998</v>
          </cell>
        </row>
        <row r="3141">
          <cell r="L3141" t="str">
            <v>فرشات</v>
          </cell>
          <cell r="M3141" t="str">
            <v>C3833</v>
          </cell>
          <cell r="AC3141">
            <v>36.144103999999999</v>
          </cell>
          <cell r="AD3141">
            <v>35.377685550000002</v>
          </cell>
        </row>
        <row r="3142">
          <cell r="L3142" t="str">
            <v>ترمي</v>
          </cell>
          <cell r="M3142" t="str">
            <v>C3834</v>
          </cell>
          <cell r="AC3142">
            <v>35.999877929999997</v>
          </cell>
          <cell r="AD3142">
            <v>35.482116699999999</v>
          </cell>
        </row>
        <row r="3143">
          <cell r="L3143" t="str">
            <v>بقيلون</v>
          </cell>
          <cell r="M3143" t="str">
            <v>C3835</v>
          </cell>
          <cell r="AC3143">
            <v>36.072692869999997</v>
          </cell>
          <cell r="AD3143">
            <v>35.491088869999999</v>
          </cell>
        </row>
        <row r="3144">
          <cell r="L3144" t="str">
            <v>دباش</v>
          </cell>
          <cell r="M3144" t="str">
            <v>C3836</v>
          </cell>
          <cell r="AC3144">
            <v>36.064514160000002</v>
          </cell>
          <cell r="AD3144">
            <v>35.5177002</v>
          </cell>
        </row>
        <row r="3145">
          <cell r="L3145" t="str">
            <v>بصراما</v>
          </cell>
          <cell r="M3145" t="str">
            <v>C3837</v>
          </cell>
          <cell r="AC3145">
            <v>35.982299810000001</v>
          </cell>
          <cell r="AD3145">
            <v>35.506103520000003</v>
          </cell>
        </row>
        <row r="3146">
          <cell r="L3146" t="str">
            <v>بحواره</v>
          </cell>
          <cell r="M3146" t="str">
            <v>C3838</v>
          </cell>
          <cell r="AC3146">
            <v>36.02227783</v>
          </cell>
          <cell r="AD3146">
            <v>35.486511229999998</v>
          </cell>
        </row>
        <row r="3147">
          <cell r="L3147" t="str">
            <v>البسطيرون</v>
          </cell>
          <cell r="M3147" t="str">
            <v>C3839</v>
          </cell>
          <cell r="AC3147">
            <v>36.009277339999997</v>
          </cell>
          <cell r="AD3147">
            <v>35.479492190000002</v>
          </cell>
        </row>
        <row r="3148">
          <cell r="L3148" t="str">
            <v>بستان البركة</v>
          </cell>
          <cell r="M3148" t="str">
            <v>C3840</v>
          </cell>
          <cell r="AC3148">
            <v>36.0098877</v>
          </cell>
          <cell r="AD3148">
            <v>35.488098149999999</v>
          </cell>
        </row>
        <row r="3149">
          <cell r="L3149" t="str">
            <v>القلمون</v>
          </cell>
          <cell r="M3149" t="str">
            <v>C3841</v>
          </cell>
          <cell r="AC3149">
            <v>36.057128910000003</v>
          </cell>
          <cell r="AD3149">
            <v>35.495727539999997</v>
          </cell>
        </row>
        <row r="3150">
          <cell r="L3150" t="str">
            <v>بين سوهين</v>
          </cell>
          <cell r="M3150" t="str">
            <v>C3842</v>
          </cell>
          <cell r="AC3150">
            <v>36.006713869999999</v>
          </cell>
          <cell r="AD3150">
            <v>35.51147461</v>
          </cell>
        </row>
        <row r="3151">
          <cell r="L3151" t="str">
            <v>الفاخورة</v>
          </cell>
          <cell r="M3151" t="str">
            <v>C3843</v>
          </cell>
          <cell r="AC3151">
            <v>36.004089360000002</v>
          </cell>
          <cell r="AD3151">
            <v>35.496704100000002</v>
          </cell>
        </row>
        <row r="3152">
          <cell r="L3152" t="str">
            <v>اسطامو</v>
          </cell>
          <cell r="M3152" t="str">
            <v>C3844</v>
          </cell>
          <cell r="AC3152">
            <v>35.92028809</v>
          </cell>
          <cell r="AD3152">
            <v>35.482299810000001</v>
          </cell>
        </row>
        <row r="3153">
          <cell r="L3153" t="str">
            <v>الحسانية</v>
          </cell>
          <cell r="M3153" t="str">
            <v>C3845</v>
          </cell>
          <cell r="AC3153">
            <v>36.001892089999998</v>
          </cell>
          <cell r="AD3153">
            <v>35.48828125</v>
          </cell>
        </row>
        <row r="3154">
          <cell r="L3154" t="str">
            <v>خشخاشة</v>
          </cell>
          <cell r="M3154" t="str">
            <v>C3846</v>
          </cell>
          <cell r="AC3154">
            <v>36.032287599999997</v>
          </cell>
          <cell r="AD3154">
            <v>35.499328609999999</v>
          </cell>
        </row>
        <row r="3155">
          <cell r="L3155" t="str">
            <v>معلقة</v>
          </cell>
          <cell r="M3155" t="str">
            <v>C3847</v>
          </cell>
          <cell r="AC3155">
            <v>36.032897949999999</v>
          </cell>
          <cell r="AD3155">
            <v>35.49310303</v>
          </cell>
        </row>
        <row r="3156">
          <cell r="L3156" t="str">
            <v>غيو</v>
          </cell>
          <cell r="M3156" t="str">
            <v>C3848</v>
          </cell>
          <cell r="AC3156">
            <v>35.940673830000001</v>
          </cell>
          <cell r="AD3156">
            <v>35.470275880000003</v>
          </cell>
        </row>
        <row r="3157">
          <cell r="L3157" t="str">
            <v>كفرز</v>
          </cell>
          <cell r="M3157" t="str">
            <v>C3849</v>
          </cell>
          <cell r="AC3157">
            <v>36.064880369999997</v>
          </cell>
          <cell r="AD3157">
            <v>35.504882809999998</v>
          </cell>
        </row>
        <row r="3158">
          <cell r="L3158" t="str">
            <v>نقورو</v>
          </cell>
          <cell r="M3158" t="str">
            <v>C3850</v>
          </cell>
          <cell r="AC3158">
            <v>36.00390625</v>
          </cell>
          <cell r="AD3158">
            <v>35.504089360000002</v>
          </cell>
        </row>
        <row r="3159">
          <cell r="L3159" t="str">
            <v>وطى دير زينون</v>
          </cell>
          <cell r="M3159" t="str">
            <v>C3851</v>
          </cell>
          <cell r="AC3159">
            <v>36.031311039999999</v>
          </cell>
          <cell r="AD3159">
            <v>35.507080080000001</v>
          </cell>
        </row>
        <row r="3160">
          <cell r="L3160" t="str">
            <v>قمين</v>
          </cell>
          <cell r="M3160" t="str">
            <v>C3852</v>
          </cell>
          <cell r="AC3160">
            <v>35.969726559999998</v>
          </cell>
          <cell r="AD3160">
            <v>35.483886720000001</v>
          </cell>
        </row>
        <row r="3161">
          <cell r="L3161" t="str">
            <v>يرته</v>
          </cell>
          <cell r="M3161" t="str">
            <v>C3853</v>
          </cell>
          <cell r="AC3161">
            <v>36.051086429999998</v>
          </cell>
          <cell r="AD3161">
            <v>35.519470220000002</v>
          </cell>
        </row>
        <row r="3162">
          <cell r="L3162" t="str">
            <v>الأريزة</v>
          </cell>
          <cell r="M3162" t="str">
            <v>C3854</v>
          </cell>
          <cell r="AC3162">
            <v>36.110900880000003</v>
          </cell>
          <cell r="AD3162">
            <v>35.493530270000001</v>
          </cell>
        </row>
        <row r="3163">
          <cell r="L3163" t="str">
            <v>خريبيات القلعة</v>
          </cell>
          <cell r="M3163" t="str">
            <v>C3855</v>
          </cell>
          <cell r="AC3163">
            <v>36.090881349999997</v>
          </cell>
          <cell r="AD3163">
            <v>35.49609375</v>
          </cell>
        </row>
        <row r="3164">
          <cell r="L3164" t="str">
            <v>زنيو</v>
          </cell>
          <cell r="M3164" t="str">
            <v>C3856</v>
          </cell>
          <cell r="AC3164">
            <v>36.148498539999999</v>
          </cell>
          <cell r="AD3164">
            <v>35.469726559999998</v>
          </cell>
        </row>
        <row r="3165">
          <cell r="L3165" t="str">
            <v>جوبة برغال</v>
          </cell>
          <cell r="M3165" t="str">
            <v>C3857</v>
          </cell>
          <cell r="AC3165">
            <v>36.171875</v>
          </cell>
          <cell r="AD3165">
            <v>35.493530270000001</v>
          </cell>
        </row>
        <row r="3166">
          <cell r="L3166" t="str">
            <v>عنانيب</v>
          </cell>
          <cell r="M3166" t="str">
            <v>C3858</v>
          </cell>
          <cell r="AC3166">
            <v>36.146301270000002</v>
          </cell>
          <cell r="AD3166">
            <v>35.514099119999997</v>
          </cell>
        </row>
        <row r="3167">
          <cell r="L3167" t="str">
            <v>الروابي الخضر البور</v>
          </cell>
          <cell r="M3167" t="str">
            <v>C3859</v>
          </cell>
          <cell r="AC3167">
            <v>36.131713869999999</v>
          </cell>
          <cell r="AD3167">
            <v>35.486877440000001</v>
          </cell>
        </row>
        <row r="3168">
          <cell r="L3168" t="str">
            <v>البلاط</v>
          </cell>
          <cell r="M3168" t="str">
            <v>C3860</v>
          </cell>
          <cell r="AC3168">
            <v>36.159484859999999</v>
          </cell>
          <cell r="AD3168">
            <v>35.512512209999997</v>
          </cell>
        </row>
        <row r="3169">
          <cell r="L3169" t="str">
            <v>خربة السنديانة</v>
          </cell>
          <cell r="M3169" t="str">
            <v>C3861</v>
          </cell>
          <cell r="AC3169">
            <v>36.166076660000002</v>
          </cell>
          <cell r="AD3169">
            <v>35.48071289</v>
          </cell>
        </row>
        <row r="3170">
          <cell r="L3170" t="str">
            <v>مليخ</v>
          </cell>
          <cell r="M3170" t="str">
            <v>C3862</v>
          </cell>
          <cell r="AC3170">
            <v>36.155883789999997</v>
          </cell>
          <cell r="AD3170">
            <v>35.49609375</v>
          </cell>
        </row>
        <row r="3171">
          <cell r="L3171" t="str">
            <v>قلعة المهالبة</v>
          </cell>
          <cell r="M3171" t="str">
            <v>C3863</v>
          </cell>
          <cell r="AC3171">
            <v>36.089111330000001</v>
          </cell>
          <cell r="AD3171">
            <v>35.505310059999999</v>
          </cell>
        </row>
        <row r="3172">
          <cell r="L3172" t="str">
            <v>فرزلا</v>
          </cell>
          <cell r="M3172" t="str">
            <v>C3864</v>
          </cell>
          <cell r="AC3172">
            <v>36.119873050000002</v>
          </cell>
          <cell r="AD3172">
            <v>35.510314940000001</v>
          </cell>
        </row>
        <row r="3173">
          <cell r="L3173" t="str">
            <v>قرير</v>
          </cell>
          <cell r="M3173" t="str">
            <v>C3865</v>
          </cell>
          <cell r="AC3173">
            <v>36.169494630000003</v>
          </cell>
          <cell r="AD3173">
            <v>35.519103999999999</v>
          </cell>
        </row>
        <row r="3174">
          <cell r="L3174" t="str">
            <v>عقربات</v>
          </cell>
          <cell r="M3174" t="str">
            <v>C3866</v>
          </cell>
          <cell r="AC3174">
            <v>36.441894529999999</v>
          </cell>
          <cell r="AD3174">
            <v>35.885681150000003</v>
          </cell>
        </row>
        <row r="3175">
          <cell r="L3175" t="str">
            <v>النيرب</v>
          </cell>
          <cell r="M3175" t="str">
            <v>C3867</v>
          </cell>
          <cell r="AC3175">
            <v>36.718322749999999</v>
          </cell>
          <cell r="AD3175">
            <v>35.869079589999998</v>
          </cell>
        </row>
        <row r="3176">
          <cell r="L3176" t="str">
            <v>عين شيب</v>
          </cell>
          <cell r="M3176" t="str">
            <v>C3868</v>
          </cell>
          <cell r="AC3176">
            <v>36.539672850000002</v>
          </cell>
          <cell r="AD3176">
            <v>35.90209961</v>
          </cell>
        </row>
        <row r="3177">
          <cell r="L3177" t="str">
            <v>الكريز</v>
          </cell>
          <cell r="M3177" t="str">
            <v>C3869</v>
          </cell>
          <cell r="AC3177">
            <v>36.534728999999999</v>
          </cell>
          <cell r="AD3177">
            <v>35.932312009999997</v>
          </cell>
        </row>
        <row r="3178">
          <cell r="L3178" t="str">
            <v>تب عيسى_شرقية وغربية</v>
          </cell>
          <cell r="M3178" t="str">
            <v>C3870</v>
          </cell>
          <cell r="AC3178">
            <v>36.548706060000001</v>
          </cell>
          <cell r="AD3178">
            <v>35.914672850000002</v>
          </cell>
        </row>
        <row r="3179">
          <cell r="L3179" t="str">
            <v>إدلب</v>
          </cell>
          <cell r="M3179" t="str">
            <v>C3871</v>
          </cell>
          <cell r="AC3179">
            <v>36.635314940000001</v>
          </cell>
          <cell r="AD3179">
            <v>35.929077149999998</v>
          </cell>
        </row>
        <row r="3180">
          <cell r="L3180" t="str">
            <v>المسطومة</v>
          </cell>
          <cell r="M3180" t="str">
            <v>C3872</v>
          </cell>
          <cell r="AC3180">
            <v>36.631286619999997</v>
          </cell>
          <cell r="AD3180">
            <v>35.87268066</v>
          </cell>
        </row>
        <row r="3181">
          <cell r="L3181" t="str">
            <v>سيجر - بقسمته</v>
          </cell>
          <cell r="M3181" t="str">
            <v>C3873</v>
          </cell>
          <cell r="AC3181">
            <v>36.545898440000002</v>
          </cell>
          <cell r="AD3181">
            <v>35.944885249999999</v>
          </cell>
        </row>
        <row r="3182">
          <cell r="L3182" t="str">
            <v>عرى الشمالية</v>
          </cell>
          <cell r="M3182" t="str">
            <v>C3874</v>
          </cell>
          <cell r="AC3182">
            <v>36.526489259999998</v>
          </cell>
          <cell r="AD3182">
            <v>35.926513669999999</v>
          </cell>
        </row>
        <row r="3183">
          <cell r="L3183" t="str">
            <v>عرشاني</v>
          </cell>
          <cell r="M3183" t="str">
            <v>C3875</v>
          </cell>
          <cell r="AC3183">
            <v>36.555297850000002</v>
          </cell>
          <cell r="AD3183">
            <v>35.961303710000003</v>
          </cell>
        </row>
        <row r="3184">
          <cell r="L3184" t="str">
            <v>قميناس</v>
          </cell>
          <cell r="M3184" t="str">
            <v>C3876</v>
          </cell>
          <cell r="AC3184">
            <v>36.679870610000002</v>
          </cell>
          <cell r="AD3184">
            <v>35.883911130000001</v>
          </cell>
        </row>
        <row r="3185">
          <cell r="L3185" t="str">
            <v>فيلون</v>
          </cell>
          <cell r="M3185" t="str">
            <v>C3877</v>
          </cell>
          <cell r="AC3185">
            <v>36.615295410000002</v>
          </cell>
          <cell r="AD3185">
            <v>35.880126949999998</v>
          </cell>
        </row>
        <row r="3186">
          <cell r="L3186" t="str">
            <v>مرتين</v>
          </cell>
          <cell r="M3186" t="str">
            <v>C3878</v>
          </cell>
          <cell r="AC3186">
            <v>36.57629395</v>
          </cell>
          <cell r="AD3186">
            <v>35.932922359999999</v>
          </cell>
        </row>
        <row r="3187">
          <cell r="L3187" t="str">
            <v>كفروحين</v>
          </cell>
          <cell r="M3187" t="str">
            <v>C3879</v>
          </cell>
          <cell r="AC3187">
            <v>36.562927250000001</v>
          </cell>
          <cell r="AD3187">
            <v>35.973693849999997</v>
          </cell>
        </row>
        <row r="3188">
          <cell r="L3188" t="str">
            <v>بصرى_زفر الصغير</v>
          </cell>
          <cell r="M3188" t="str">
            <v>C3880</v>
          </cell>
          <cell r="AC3188">
            <v>37.013488770000002</v>
          </cell>
          <cell r="AD3188">
            <v>35.704528809999999</v>
          </cell>
        </row>
        <row r="3189">
          <cell r="L3189" t="str">
            <v>البليصة</v>
          </cell>
          <cell r="M3189" t="str">
            <v>C3881</v>
          </cell>
          <cell r="AC3189">
            <v>36.911926270000002</v>
          </cell>
          <cell r="AD3189">
            <v>35.767883300000001</v>
          </cell>
        </row>
        <row r="3190">
          <cell r="L3190" t="str">
            <v>زفر الكبير</v>
          </cell>
          <cell r="M3190" t="str">
            <v>C3882</v>
          </cell>
          <cell r="AC3190">
            <v>36.993286130000001</v>
          </cell>
          <cell r="AD3190">
            <v>35.701721190000001</v>
          </cell>
        </row>
        <row r="3191">
          <cell r="L3191" t="str">
            <v>تلخطرة</v>
          </cell>
          <cell r="M3191" t="str">
            <v>C3883</v>
          </cell>
          <cell r="AC3191">
            <v>36.937683110000002</v>
          </cell>
          <cell r="AD3191">
            <v>35.741516109999999</v>
          </cell>
        </row>
        <row r="3192">
          <cell r="L3192" t="str">
            <v>باريسا</v>
          </cell>
          <cell r="M3192" t="str">
            <v>C3884</v>
          </cell>
          <cell r="AC3192">
            <v>36.949279789999999</v>
          </cell>
          <cell r="AD3192">
            <v>35.784484859999999</v>
          </cell>
        </row>
        <row r="3193">
          <cell r="L3193" t="str">
            <v>التويم</v>
          </cell>
          <cell r="M3193" t="str">
            <v>C3885</v>
          </cell>
          <cell r="AC3193">
            <v>37.040710449999999</v>
          </cell>
          <cell r="AD3193">
            <v>35.805114750000001</v>
          </cell>
        </row>
        <row r="3194">
          <cell r="L3194" t="str">
            <v>حرملة</v>
          </cell>
          <cell r="M3194" t="str">
            <v>C3886</v>
          </cell>
          <cell r="AC3194">
            <v>37.083312990000003</v>
          </cell>
          <cell r="AD3194">
            <v>35.6348877</v>
          </cell>
        </row>
        <row r="3195">
          <cell r="L3195" t="str">
            <v>جديدة أبو الظهور</v>
          </cell>
          <cell r="M3195" t="str">
            <v>C3887</v>
          </cell>
          <cell r="AC3195">
            <v>37.024902339999997</v>
          </cell>
          <cell r="AD3195">
            <v>35.765930179999998</v>
          </cell>
        </row>
        <row r="3196">
          <cell r="L3196" t="str">
            <v>تلجينة</v>
          </cell>
          <cell r="M3196" t="str">
            <v>C3888</v>
          </cell>
          <cell r="AC3196">
            <v>37.058288570000002</v>
          </cell>
          <cell r="AD3196">
            <v>35.81848145</v>
          </cell>
        </row>
        <row r="3197">
          <cell r="L3197" t="str">
            <v>طواحينة</v>
          </cell>
          <cell r="M3197" t="str">
            <v>C3889</v>
          </cell>
          <cell r="AC3197">
            <v>37.027282720000002</v>
          </cell>
          <cell r="AD3197">
            <v>35.779479979999998</v>
          </cell>
        </row>
        <row r="3198">
          <cell r="L3198" t="str">
            <v>جلاس</v>
          </cell>
          <cell r="M3198" t="str">
            <v>C3890</v>
          </cell>
          <cell r="AC3198">
            <v>36.940673830000001</v>
          </cell>
          <cell r="AD3198">
            <v>35.873474119999997</v>
          </cell>
        </row>
        <row r="3199">
          <cell r="L3199" t="str">
            <v>أبو الظهور</v>
          </cell>
          <cell r="M3199" t="str">
            <v>C3891</v>
          </cell>
          <cell r="AC3199">
            <v>37.047302250000001</v>
          </cell>
          <cell r="AD3199">
            <v>35.73712158</v>
          </cell>
        </row>
        <row r="3200">
          <cell r="L3200" t="str">
            <v>تل فخار</v>
          </cell>
          <cell r="M3200" t="str">
            <v>C3892</v>
          </cell>
          <cell r="AC3200">
            <v>37.039489750000001</v>
          </cell>
          <cell r="AD3200">
            <v>35.830078129999997</v>
          </cell>
        </row>
        <row r="3201">
          <cell r="L3201" t="str">
            <v>البراغيثي</v>
          </cell>
          <cell r="M3201" t="str">
            <v>C3893</v>
          </cell>
          <cell r="AC3201">
            <v>37.041503910000003</v>
          </cell>
          <cell r="AD3201">
            <v>35.761291499999999</v>
          </cell>
        </row>
        <row r="3202">
          <cell r="L3202" t="str">
            <v>المستريحة</v>
          </cell>
          <cell r="M3202" t="str">
            <v>C3894</v>
          </cell>
          <cell r="AC3202">
            <v>37.126281740000003</v>
          </cell>
          <cell r="AD3202">
            <v>35.796875</v>
          </cell>
        </row>
        <row r="3203">
          <cell r="L3203" t="str">
            <v>رسم عابد</v>
          </cell>
          <cell r="M3203" t="str">
            <v>C3895</v>
          </cell>
          <cell r="AC3203">
            <v>37.100524900000003</v>
          </cell>
          <cell r="AD3203">
            <v>35.708923339999998</v>
          </cell>
        </row>
        <row r="3204">
          <cell r="L3204" t="str">
            <v>طويل الشيخ</v>
          </cell>
          <cell r="M3204" t="str">
            <v>C3896</v>
          </cell>
          <cell r="AC3204">
            <v>36.933105470000001</v>
          </cell>
          <cell r="AD3204">
            <v>35.79571533</v>
          </cell>
        </row>
        <row r="3205">
          <cell r="L3205" t="str">
            <v>الحسينية_تل كلبة</v>
          </cell>
          <cell r="M3205" t="str">
            <v>C3897</v>
          </cell>
          <cell r="AC3205">
            <v>37.01171875</v>
          </cell>
          <cell r="AD3205">
            <v>35.788696289999997</v>
          </cell>
        </row>
        <row r="3206">
          <cell r="L3206" t="str">
            <v>تل سلطان</v>
          </cell>
          <cell r="M3206" t="str">
            <v>C3898</v>
          </cell>
          <cell r="AC3206">
            <v>36.992126470000002</v>
          </cell>
          <cell r="AD3206">
            <v>35.799499509999997</v>
          </cell>
        </row>
        <row r="3207">
          <cell r="L3207" t="str">
            <v>تل سلمو</v>
          </cell>
          <cell r="M3207" t="str">
            <v>C3899</v>
          </cell>
          <cell r="AC3207">
            <v>37.076477050000001</v>
          </cell>
          <cell r="AD3207">
            <v>35.724487310000001</v>
          </cell>
        </row>
        <row r="3208">
          <cell r="L3208" t="str">
            <v>حميمات الداير</v>
          </cell>
          <cell r="M3208" t="str">
            <v>C3900</v>
          </cell>
          <cell r="AC3208">
            <v>37.100524900000003</v>
          </cell>
          <cell r="AD3208">
            <v>35.791076660000002</v>
          </cell>
        </row>
        <row r="3209">
          <cell r="L3209" t="str">
            <v>تل الأغر</v>
          </cell>
          <cell r="M3209" t="str">
            <v>C3901</v>
          </cell>
          <cell r="AC3209">
            <v>36.922912599999997</v>
          </cell>
          <cell r="AD3209">
            <v>35.763488770000002</v>
          </cell>
        </row>
        <row r="3210">
          <cell r="L3210" t="str">
            <v>راس العين</v>
          </cell>
          <cell r="M3210" t="str">
            <v>C3902</v>
          </cell>
          <cell r="AC3210">
            <v>36.961730959999997</v>
          </cell>
          <cell r="AD3210">
            <v>35.800109859999999</v>
          </cell>
        </row>
        <row r="3211">
          <cell r="L3211" t="str">
            <v>تل طوقان</v>
          </cell>
          <cell r="M3211" t="str">
            <v>C3903</v>
          </cell>
          <cell r="AC3211">
            <v>36.952514649999998</v>
          </cell>
          <cell r="AD3211">
            <v>35.821716309999999</v>
          </cell>
        </row>
        <row r="3212">
          <cell r="L3212" t="str">
            <v>بنش</v>
          </cell>
          <cell r="M3212" t="str">
            <v>C3904</v>
          </cell>
          <cell r="AC3212">
            <v>36.714294430000002</v>
          </cell>
          <cell r="AD3212">
            <v>35.956726070000002</v>
          </cell>
        </row>
        <row r="3213">
          <cell r="L3213" t="str">
            <v>الفوعة</v>
          </cell>
          <cell r="M3213" t="str">
            <v>C3905</v>
          </cell>
          <cell r="AC3213">
            <v>36.703674319999998</v>
          </cell>
          <cell r="AD3213">
            <v>35.982116699999999</v>
          </cell>
        </row>
        <row r="3214">
          <cell r="L3214" t="str">
            <v>طعوم</v>
          </cell>
          <cell r="M3214" t="str">
            <v>C3906</v>
          </cell>
          <cell r="AC3214">
            <v>36.74908447</v>
          </cell>
          <cell r="AD3214">
            <v>35.975280759999997</v>
          </cell>
        </row>
        <row r="3215">
          <cell r="L3215" t="str">
            <v>انقراتي</v>
          </cell>
          <cell r="M3215" t="str">
            <v>C3907</v>
          </cell>
          <cell r="AC3215">
            <v>36.82147217</v>
          </cell>
          <cell r="AD3215">
            <v>35.787719729999999</v>
          </cell>
        </row>
        <row r="3216">
          <cell r="L3216" t="str">
            <v>ترنبة</v>
          </cell>
          <cell r="M3216" t="str">
            <v>C3908</v>
          </cell>
          <cell r="AC3216">
            <v>36.76928711</v>
          </cell>
          <cell r="AD3216">
            <v>35.860473630000001</v>
          </cell>
        </row>
        <row r="3217">
          <cell r="L3217" t="str">
            <v>جوباس</v>
          </cell>
          <cell r="M3217" t="str">
            <v>C3909</v>
          </cell>
          <cell r="AC3217">
            <v>36.760925290000003</v>
          </cell>
          <cell r="AD3217">
            <v>35.837280270000001</v>
          </cell>
        </row>
        <row r="3218">
          <cell r="L3218" t="str">
            <v>داديخ</v>
          </cell>
          <cell r="M3218" t="str">
            <v>C3910</v>
          </cell>
          <cell r="AC3218">
            <v>36.733520509999998</v>
          </cell>
          <cell r="AD3218">
            <v>35.802124020000001</v>
          </cell>
        </row>
        <row r="3219">
          <cell r="L3219" t="str">
            <v>بويطي</v>
          </cell>
          <cell r="M3219" t="str">
            <v>C3911</v>
          </cell>
          <cell r="AC3219">
            <v>36.888488770000002</v>
          </cell>
          <cell r="AD3219">
            <v>35.770874020000001</v>
          </cell>
        </row>
        <row r="3220">
          <cell r="L3220" t="str">
            <v>بجفاص</v>
          </cell>
          <cell r="M3220" t="str">
            <v>C3912</v>
          </cell>
          <cell r="AC3220">
            <v>36.897705080000001</v>
          </cell>
          <cell r="AD3220">
            <v>35.80310059</v>
          </cell>
        </row>
        <row r="3221">
          <cell r="L3221" t="str">
            <v>سلامين</v>
          </cell>
          <cell r="M3221" t="str">
            <v>C3913</v>
          </cell>
          <cell r="AC3221">
            <v>36.90350342</v>
          </cell>
          <cell r="AD3221">
            <v>35.857482910000002</v>
          </cell>
        </row>
        <row r="3222">
          <cell r="L3222" t="str">
            <v>أبو الخوص</v>
          </cell>
          <cell r="M3222" t="str">
            <v>C3914</v>
          </cell>
          <cell r="AC3222">
            <v>36.902893069999998</v>
          </cell>
          <cell r="AD3222">
            <v>35.836730959999997</v>
          </cell>
        </row>
        <row r="3223">
          <cell r="L3223" t="str">
            <v>سان</v>
          </cell>
          <cell r="M3223" t="str">
            <v>C3915</v>
          </cell>
          <cell r="AC3223">
            <v>36.73529053</v>
          </cell>
          <cell r="AD3223">
            <v>35.841491699999999</v>
          </cell>
        </row>
        <row r="3224">
          <cell r="L3224" t="str">
            <v>سراقب</v>
          </cell>
          <cell r="M3224" t="str">
            <v>C3916</v>
          </cell>
          <cell r="AC3224">
            <v>36.806091309999999</v>
          </cell>
          <cell r="AD3224">
            <v>35.861083979999997</v>
          </cell>
        </row>
        <row r="3225">
          <cell r="L3225" t="str">
            <v>تل كراتين</v>
          </cell>
          <cell r="M3225" t="str">
            <v>C3918</v>
          </cell>
          <cell r="AC3225">
            <v>36.845886229999998</v>
          </cell>
          <cell r="AD3225">
            <v>35.938476559999998</v>
          </cell>
        </row>
        <row r="3226">
          <cell r="L3226" t="str">
            <v>ريان</v>
          </cell>
          <cell r="M3226" t="str">
            <v>C3919</v>
          </cell>
          <cell r="AC3226">
            <v>36.864929199999999</v>
          </cell>
          <cell r="AD3226">
            <v>35.781311039999999</v>
          </cell>
        </row>
        <row r="3227">
          <cell r="L3227" t="str">
            <v>افس</v>
          </cell>
          <cell r="M3227" t="str">
            <v>C3920</v>
          </cell>
          <cell r="AC3227">
            <v>36.804504399999999</v>
          </cell>
          <cell r="AD3227">
            <v>35.90649414</v>
          </cell>
        </row>
        <row r="3228">
          <cell r="L3228" t="str">
            <v>آجز</v>
          </cell>
          <cell r="M3228" t="str">
            <v>C3921</v>
          </cell>
          <cell r="AC3228">
            <v>36.879272460000003</v>
          </cell>
          <cell r="AD3228">
            <v>35.931884770000003</v>
          </cell>
        </row>
        <row r="3229">
          <cell r="L3229" t="str">
            <v>خوارى</v>
          </cell>
          <cell r="M3229" t="str">
            <v>C3922</v>
          </cell>
          <cell r="AC3229">
            <v>36.924072270000003</v>
          </cell>
          <cell r="AD3229">
            <v>35.909118650000003</v>
          </cell>
        </row>
        <row r="3230">
          <cell r="L3230" t="str">
            <v>الرصافة</v>
          </cell>
          <cell r="M3230" t="str">
            <v>C3923</v>
          </cell>
          <cell r="AC3230">
            <v>36.89868164</v>
          </cell>
          <cell r="AD3230">
            <v>35.875488279999999</v>
          </cell>
        </row>
        <row r="3231">
          <cell r="L3231" t="str">
            <v>شيخ ادريس</v>
          </cell>
          <cell r="M3231" t="str">
            <v>C3924</v>
          </cell>
          <cell r="AC3231">
            <v>36.862670899999998</v>
          </cell>
          <cell r="AD3231">
            <v>35.765930179999998</v>
          </cell>
        </row>
        <row r="3232">
          <cell r="L3232" t="str">
            <v>خان السبل</v>
          </cell>
          <cell r="M3232" t="str">
            <v>C3925</v>
          </cell>
          <cell r="AC3232">
            <v>36.755676270000002</v>
          </cell>
          <cell r="AD3232">
            <v>35.756713869999999</v>
          </cell>
        </row>
        <row r="3233">
          <cell r="L3233" t="str">
            <v>محاريم</v>
          </cell>
          <cell r="M3233" t="str">
            <v>C3926</v>
          </cell>
          <cell r="AC3233">
            <v>36.91247559</v>
          </cell>
          <cell r="AD3233">
            <v>35.901916499999999</v>
          </cell>
        </row>
        <row r="3234">
          <cell r="L3234" t="str">
            <v>كفر بطيخ</v>
          </cell>
          <cell r="M3234" t="str">
            <v>C3927</v>
          </cell>
          <cell r="AC3234">
            <v>36.725524900000003</v>
          </cell>
          <cell r="AD3234">
            <v>35.781921390000001</v>
          </cell>
        </row>
        <row r="3235">
          <cell r="L3235" t="str">
            <v>كفر عميم</v>
          </cell>
          <cell r="M3235" t="str">
            <v>C3928</v>
          </cell>
          <cell r="AC3235">
            <v>36.869873050000002</v>
          </cell>
          <cell r="AD3235">
            <v>35.814880369999997</v>
          </cell>
        </row>
        <row r="3236">
          <cell r="L3236" t="str">
            <v>لوف</v>
          </cell>
          <cell r="M3236" t="str">
            <v>C3929</v>
          </cell>
          <cell r="AC3236">
            <v>36.832885740000002</v>
          </cell>
          <cell r="AD3236">
            <v>35.766479490000002</v>
          </cell>
        </row>
        <row r="3237">
          <cell r="L3237" t="str">
            <v>مرديخ</v>
          </cell>
          <cell r="M3237" t="str">
            <v>C3930</v>
          </cell>
          <cell r="AC3237">
            <v>36.790710449999999</v>
          </cell>
          <cell r="AD3237">
            <v>35.811096190000001</v>
          </cell>
        </row>
        <row r="3238">
          <cell r="L3238" t="str">
            <v>معردبسي</v>
          </cell>
          <cell r="M3238" t="str">
            <v>C3931</v>
          </cell>
          <cell r="AC3238">
            <v>36.769470220000002</v>
          </cell>
          <cell r="AD3238">
            <v>35.777526860000002</v>
          </cell>
        </row>
        <row r="3239">
          <cell r="L3239" t="str">
            <v>تفتناز</v>
          </cell>
          <cell r="M3239" t="str">
            <v>C3932</v>
          </cell>
          <cell r="AC3239">
            <v>36.7833252</v>
          </cell>
          <cell r="AD3239">
            <v>35.99768066</v>
          </cell>
        </row>
        <row r="3240">
          <cell r="L3240" t="str">
            <v>طلحية</v>
          </cell>
          <cell r="M3240" t="str">
            <v>C3933</v>
          </cell>
          <cell r="AC3240">
            <v>36.835510249999999</v>
          </cell>
          <cell r="AD3240">
            <v>35.967285160000003</v>
          </cell>
        </row>
        <row r="3241">
          <cell r="L3241" t="str">
            <v>شللخ</v>
          </cell>
          <cell r="M3241" t="str">
            <v>C3934</v>
          </cell>
          <cell r="AC3241">
            <v>36.79412842</v>
          </cell>
          <cell r="AD3241">
            <v>36.018493650000003</v>
          </cell>
        </row>
        <row r="3242">
          <cell r="L3242" t="str">
            <v>معارة النعسان_معارة الحاسكي</v>
          </cell>
          <cell r="M3242" t="str">
            <v>C3935</v>
          </cell>
          <cell r="AC3242">
            <v>36.837707520000002</v>
          </cell>
          <cell r="AD3242">
            <v>36.035278320000003</v>
          </cell>
        </row>
        <row r="3243">
          <cell r="L3243" t="str">
            <v>كتيان</v>
          </cell>
          <cell r="M3243" t="str">
            <v>C3936</v>
          </cell>
          <cell r="AC3243">
            <v>36.81091309</v>
          </cell>
          <cell r="AD3243">
            <v>36.052673339999998</v>
          </cell>
        </row>
        <row r="3244">
          <cell r="L3244" t="str">
            <v>بحورى</v>
          </cell>
          <cell r="M3244" t="str">
            <v>C3937</v>
          </cell>
          <cell r="AC3244">
            <v>36.603088380000003</v>
          </cell>
          <cell r="AD3244">
            <v>35.997070309999998</v>
          </cell>
        </row>
        <row r="3245">
          <cell r="L3245" t="str">
            <v>زردنا_مشهد</v>
          </cell>
          <cell r="M3245" t="str">
            <v>C3938</v>
          </cell>
          <cell r="AC3245">
            <v>36.755310059999999</v>
          </cell>
          <cell r="AD3245">
            <v>36.04571533</v>
          </cell>
        </row>
        <row r="3246">
          <cell r="L3246" t="str">
            <v>باتنته</v>
          </cell>
          <cell r="M3246" t="str">
            <v>C3939</v>
          </cell>
          <cell r="AC3246">
            <v>36.632873539999999</v>
          </cell>
          <cell r="AD3246">
            <v>36.007507320000002</v>
          </cell>
        </row>
        <row r="3247">
          <cell r="L3247" t="str">
            <v>تلتونة</v>
          </cell>
          <cell r="M3247" t="str">
            <v>C3940</v>
          </cell>
          <cell r="AC3247">
            <v>36.58752441</v>
          </cell>
          <cell r="AD3247">
            <v>36.016906740000003</v>
          </cell>
        </row>
        <row r="3248">
          <cell r="L3248" t="str">
            <v>رام حمدان</v>
          </cell>
          <cell r="M3248" t="str">
            <v>C3941</v>
          </cell>
          <cell r="AC3248">
            <v>36.713500979999999</v>
          </cell>
          <cell r="AD3248">
            <v>36.026672359999999</v>
          </cell>
        </row>
        <row r="3249">
          <cell r="L3249" t="str">
            <v>الكفر_كفريحمول</v>
          </cell>
          <cell r="M3249" t="str">
            <v>C3942</v>
          </cell>
          <cell r="AC3249">
            <v>36.69689941</v>
          </cell>
          <cell r="AD3249">
            <v>36.059082029999999</v>
          </cell>
        </row>
        <row r="3250">
          <cell r="L3250" t="str">
            <v>حربنوش</v>
          </cell>
          <cell r="M3250" t="str">
            <v>C3943</v>
          </cell>
          <cell r="AC3250">
            <v>36.638916020000003</v>
          </cell>
          <cell r="AD3250">
            <v>36.074279789999999</v>
          </cell>
        </row>
        <row r="3251">
          <cell r="L3251" t="str">
            <v>حزانو</v>
          </cell>
          <cell r="M3251" t="str">
            <v>C3944</v>
          </cell>
          <cell r="AC3251">
            <v>36.71368408</v>
          </cell>
          <cell r="AD3251">
            <v>36.089904789999999</v>
          </cell>
        </row>
        <row r="3252">
          <cell r="L3252" t="str">
            <v>كفر جالس</v>
          </cell>
          <cell r="M3252" t="str">
            <v>C3945</v>
          </cell>
          <cell r="AC3252">
            <v>36.614318849999997</v>
          </cell>
          <cell r="AD3252">
            <v>35.975891109999999</v>
          </cell>
        </row>
        <row r="3253">
          <cell r="L3253" t="str">
            <v>مورين</v>
          </cell>
          <cell r="M3253" t="str">
            <v>C3946</v>
          </cell>
          <cell r="AC3253">
            <v>36.547912599999997</v>
          </cell>
          <cell r="AD3253">
            <v>36.007080080000001</v>
          </cell>
        </row>
        <row r="3254">
          <cell r="L3254" t="str">
            <v>معر تمصرين</v>
          </cell>
          <cell r="M3254" t="str">
            <v>C3947</v>
          </cell>
          <cell r="AC3254">
            <v>36.672729490000002</v>
          </cell>
          <cell r="AD3254">
            <v>36.013916020000003</v>
          </cell>
        </row>
        <row r="3255">
          <cell r="L3255" t="str">
            <v>كفر نبي</v>
          </cell>
          <cell r="M3255" t="str">
            <v>C3948</v>
          </cell>
          <cell r="AC3255">
            <v>36.60913086</v>
          </cell>
          <cell r="AD3255">
            <v>36.057128910000003</v>
          </cell>
        </row>
        <row r="3256">
          <cell r="L3256" t="str">
            <v>كللي</v>
          </cell>
          <cell r="M3256" t="str">
            <v>C3949</v>
          </cell>
          <cell r="AC3256">
            <v>36.694702149999998</v>
          </cell>
          <cell r="AD3256">
            <v>36.108093259999997</v>
          </cell>
        </row>
        <row r="3257">
          <cell r="L3257" t="str">
            <v>معارة الاخوان</v>
          </cell>
          <cell r="M3257" t="str">
            <v>C3950</v>
          </cell>
          <cell r="AC3257">
            <v>36.674499509999997</v>
          </cell>
          <cell r="AD3257">
            <v>36.063903809999999</v>
          </cell>
        </row>
        <row r="3258">
          <cell r="L3258" t="str">
            <v>كفتين</v>
          </cell>
          <cell r="M3258" t="str">
            <v>C3951</v>
          </cell>
          <cell r="AC3258">
            <v>36.6796875</v>
          </cell>
          <cell r="AD3258">
            <v>36.095886229999998</v>
          </cell>
        </row>
        <row r="3259">
          <cell r="L3259" t="str">
            <v>كفريا</v>
          </cell>
          <cell r="M3259" t="str">
            <v>C3952</v>
          </cell>
          <cell r="AC3259">
            <v>36.676879880000001</v>
          </cell>
          <cell r="AD3259">
            <v>35.989929199999999</v>
          </cell>
        </row>
        <row r="3260">
          <cell r="L3260" t="str">
            <v>سرمين</v>
          </cell>
          <cell r="M3260" t="str">
            <v>C3953</v>
          </cell>
          <cell r="AC3260">
            <v>36.723876949999998</v>
          </cell>
          <cell r="AD3260">
            <v>35.903686520000001</v>
          </cell>
        </row>
        <row r="3261">
          <cell r="L3261" t="str">
            <v>الهرتمية</v>
          </cell>
          <cell r="M3261" t="str">
            <v>C3954</v>
          </cell>
          <cell r="AC3261">
            <v>36.80627441</v>
          </cell>
          <cell r="AD3261">
            <v>35.74609375</v>
          </cell>
        </row>
        <row r="3262">
          <cell r="L3262" t="str">
            <v>جرادة</v>
          </cell>
          <cell r="M3262" t="str">
            <v>C3955</v>
          </cell>
          <cell r="AC3262">
            <v>36.71368408</v>
          </cell>
          <cell r="AD3262">
            <v>35.723327640000001</v>
          </cell>
        </row>
        <row r="3263">
          <cell r="L3263" t="str">
            <v>الكنايس</v>
          </cell>
          <cell r="M3263" t="str">
            <v>C3956</v>
          </cell>
          <cell r="AC3263">
            <v>36.870483399999998</v>
          </cell>
          <cell r="AD3263">
            <v>35.726684570000003</v>
          </cell>
        </row>
        <row r="3264">
          <cell r="L3264" t="str">
            <v>حنتوتين</v>
          </cell>
          <cell r="M3264" t="str">
            <v>C3957</v>
          </cell>
          <cell r="AC3264">
            <v>36.650085449999999</v>
          </cell>
          <cell r="AD3264">
            <v>35.680297850000002</v>
          </cell>
        </row>
        <row r="3265">
          <cell r="L3265" t="str">
            <v>تقانة</v>
          </cell>
          <cell r="M3265" t="str">
            <v>C3958</v>
          </cell>
          <cell r="AC3265">
            <v>36.686279300000002</v>
          </cell>
          <cell r="AD3265">
            <v>35.57928467</v>
          </cell>
        </row>
        <row r="3266">
          <cell r="L3266" t="str">
            <v>تل دبس</v>
          </cell>
          <cell r="M3266" t="str">
            <v>C3959</v>
          </cell>
          <cell r="AC3266">
            <v>36.851501470000002</v>
          </cell>
          <cell r="AD3266">
            <v>35.725280759999997</v>
          </cell>
        </row>
        <row r="3267">
          <cell r="L3267" t="str">
            <v>حزان</v>
          </cell>
          <cell r="M3267" t="str">
            <v>C3960</v>
          </cell>
          <cell r="AC3267">
            <v>36.892517089999998</v>
          </cell>
          <cell r="AD3267">
            <v>35.730896000000001</v>
          </cell>
        </row>
        <row r="3268">
          <cell r="L3268" t="str">
            <v>سمكة</v>
          </cell>
          <cell r="M3268" t="str">
            <v>C3961</v>
          </cell>
          <cell r="AC3268">
            <v>36.909118650000003</v>
          </cell>
          <cell r="AD3268">
            <v>35.697082520000002</v>
          </cell>
        </row>
        <row r="3269">
          <cell r="L3269" t="str">
            <v>دير شرقي</v>
          </cell>
          <cell r="M3269" t="str">
            <v>C3962</v>
          </cell>
          <cell r="AC3269">
            <v>36.711303710000003</v>
          </cell>
          <cell r="AD3269">
            <v>35.597106930000002</v>
          </cell>
        </row>
        <row r="3270">
          <cell r="L3270" t="str">
            <v>الغدقة</v>
          </cell>
          <cell r="M3270" t="str">
            <v>C3963</v>
          </cell>
          <cell r="AC3270">
            <v>36.791503910000003</v>
          </cell>
          <cell r="AD3270">
            <v>35.674682619999999</v>
          </cell>
        </row>
        <row r="3271">
          <cell r="L3271" t="str">
            <v>بابيلا</v>
          </cell>
          <cell r="M3271" t="str">
            <v>C3964</v>
          </cell>
          <cell r="AC3271">
            <v>36.72888184</v>
          </cell>
          <cell r="AD3271">
            <v>35.703308110000002</v>
          </cell>
        </row>
        <row r="3272">
          <cell r="L3272" t="str">
            <v>الدانا</v>
          </cell>
          <cell r="M3272" t="str">
            <v>C3965</v>
          </cell>
          <cell r="AC3272">
            <v>36.688110350000002</v>
          </cell>
          <cell r="AD3272">
            <v>35.699890140000001</v>
          </cell>
        </row>
        <row r="3273">
          <cell r="L3273" t="str">
            <v>الهلبة</v>
          </cell>
          <cell r="M3273" t="str">
            <v>C3966</v>
          </cell>
          <cell r="AC3273">
            <v>36.782714839999997</v>
          </cell>
          <cell r="AD3273">
            <v>35.568908690000001</v>
          </cell>
        </row>
        <row r="3274">
          <cell r="L3274" t="str">
            <v>ظهرة تلمنس</v>
          </cell>
          <cell r="M3274" t="str">
            <v>C3967</v>
          </cell>
          <cell r="AC3274">
            <v>36.745727539999997</v>
          </cell>
          <cell r="AD3274">
            <v>35.653076169999999</v>
          </cell>
        </row>
        <row r="3275">
          <cell r="L3275" t="str">
            <v>دير الغربي</v>
          </cell>
          <cell r="M3275" t="str">
            <v>C3968</v>
          </cell>
          <cell r="AC3275">
            <v>36.685485839999998</v>
          </cell>
          <cell r="AD3275">
            <v>35.591125490000003</v>
          </cell>
        </row>
        <row r="3276">
          <cell r="L3276" t="str">
            <v>الحراكي</v>
          </cell>
          <cell r="M3276" t="str">
            <v>C3969</v>
          </cell>
          <cell r="AC3276">
            <v>36.855529789999999</v>
          </cell>
          <cell r="AD3276">
            <v>35.650329589999998</v>
          </cell>
        </row>
        <row r="3277">
          <cell r="L3277" t="str">
            <v>حران</v>
          </cell>
          <cell r="M3277" t="str">
            <v>C3970</v>
          </cell>
          <cell r="AC3277">
            <v>36.801086429999998</v>
          </cell>
          <cell r="AD3277">
            <v>35.567687990000003</v>
          </cell>
        </row>
        <row r="3278">
          <cell r="L3278" t="str">
            <v>تل كرسيان</v>
          </cell>
          <cell r="M3278" t="str">
            <v>C3971</v>
          </cell>
          <cell r="AC3278">
            <v>36.893127440000001</v>
          </cell>
          <cell r="AD3278">
            <v>35.713317869999997</v>
          </cell>
        </row>
        <row r="3279">
          <cell r="L3279" t="str">
            <v>الصرمان</v>
          </cell>
          <cell r="M3279" t="str">
            <v>C3972</v>
          </cell>
          <cell r="AC3279">
            <v>36.85272217</v>
          </cell>
          <cell r="AD3279">
            <v>35.607299810000001</v>
          </cell>
        </row>
        <row r="3280">
          <cell r="L3280" t="str">
            <v>أبو مكي</v>
          </cell>
          <cell r="M3280" t="str">
            <v>C3973</v>
          </cell>
          <cell r="AC3280">
            <v>36.824523929999998</v>
          </cell>
          <cell r="AD3280">
            <v>35.611083979999997</v>
          </cell>
        </row>
        <row r="3281">
          <cell r="L3281" t="str">
            <v>تلمنس</v>
          </cell>
          <cell r="M3281" t="str">
            <v>C3974</v>
          </cell>
          <cell r="AC3281">
            <v>36.73669434</v>
          </cell>
          <cell r="AD3281">
            <v>35.63970947</v>
          </cell>
        </row>
        <row r="3282">
          <cell r="L3282" t="str">
            <v>البرسة</v>
          </cell>
          <cell r="M3282" t="str">
            <v>C3975</v>
          </cell>
          <cell r="AC3282">
            <v>36.880126949999998</v>
          </cell>
          <cell r="AD3282">
            <v>35.687072749999999</v>
          </cell>
        </row>
        <row r="3283">
          <cell r="L3283" t="str">
            <v>بسيدا</v>
          </cell>
          <cell r="M3283" t="str">
            <v>C3976</v>
          </cell>
          <cell r="AC3283">
            <v>36.652282720000002</v>
          </cell>
          <cell r="AD3283">
            <v>35.589294430000002</v>
          </cell>
        </row>
        <row r="3284">
          <cell r="L3284" t="str">
            <v>جرجناز</v>
          </cell>
          <cell r="M3284" t="str">
            <v>C3977</v>
          </cell>
          <cell r="AC3284">
            <v>36.782714839999997</v>
          </cell>
          <cell r="AD3284">
            <v>35.618896479999997</v>
          </cell>
        </row>
        <row r="3285">
          <cell r="L3285" t="str">
            <v>معرشورين</v>
          </cell>
          <cell r="M3285" t="str">
            <v>C3978</v>
          </cell>
          <cell r="AC3285">
            <v>36.72631836</v>
          </cell>
          <cell r="AD3285">
            <v>35.666076660000002</v>
          </cell>
        </row>
        <row r="3286">
          <cell r="L3286" t="str">
            <v>كويرس</v>
          </cell>
          <cell r="M3286" t="str">
            <v>C3979</v>
          </cell>
          <cell r="AC3286">
            <v>36.89868164</v>
          </cell>
          <cell r="AD3286">
            <v>35.742675779999999</v>
          </cell>
        </row>
        <row r="3287">
          <cell r="L3287" t="str">
            <v>معصران</v>
          </cell>
          <cell r="M3287" t="str">
            <v>C3980</v>
          </cell>
          <cell r="AC3287">
            <v>36.80352783</v>
          </cell>
          <cell r="AD3287">
            <v>35.70727539</v>
          </cell>
        </row>
        <row r="3288">
          <cell r="L3288" t="str">
            <v>معر شمشه</v>
          </cell>
          <cell r="M3288" t="str">
            <v>C3981</v>
          </cell>
          <cell r="AC3288">
            <v>36.712280270000001</v>
          </cell>
          <cell r="AD3288">
            <v>35.63647461</v>
          </cell>
        </row>
        <row r="3289">
          <cell r="L3289" t="str">
            <v>قراطي</v>
          </cell>
          <cell r="M3289" t="str">
            <v>C3982</v>
          </cell>
          <cell r="AC3289">
            <v>36.789489750000001</v>
          </cell>
          <cell r="AD3289">
            <v>35.583312990000003</v>
          </cell>
        </row>
        <row r="3290">
          <cell r="L3290" t="str">
            <v>معر شمارين</v>
          </cell>
          <cell r="M3290" t="str">
            <v>C3983</v>
          </cell>
          <cell r="AC3290">
            <v>36.718872070000003</v>
          </cell>
          <cell r="AD3290">
            <v>35.615905759999997</v>
          </cell>
        </row>
        <row r="3291">
          <cell r="L3291" t="str">
            <v>كفرومة</v>
          </cell>
          <cell r="M3291" t="str">
            <v>C3984</v>
          </cell>
          <cell r="AC3291">
            <v>36.633117679999998</v>
          </cell>
          <cell r="AD3291">
            <v>35.635314940000001</v>
          </cell>
        </row>
        <row r="3292">
          <cell r="L3292" t="str">
            <v>معرة النعمان</v>
          </cell>
          <cell r="M3292" t="str">
            <v>C3985</v>
          </cell>
          <cell r="AC3292">
            <v>36.67669678</v>
          </cell>
          <cell r="AD3292">
            <v>35.647705080000001</v>
          </cell>
        </row>
        <row r="3293">
          <cell r="L3293" t="str">
            <v>القصابية</v>
          </cell>
          <cell r="M3293" t="str">
            <v>C3986</v>
          </cell>
          <cell r="AC3293">
            <v>36.49450684</v>
          </cell>
          <cell r="AD3293">
            <v>35.46691895</v>
          </cell>
        </row>
        <row r="3294">
          <cell r="L3294" t="str">
            <v>خان شيخون</v>
          </cell>
          <cell r="M3294" t="str">
            <v>C3987</v>
          </cell>
          <cell r="AC3294">
            <v>36.6505127</v>
          </cell>
          <cell r="AD3294">
            <v>35.44372559</v>
          </cell>
        </row>
        <row r="3295">
          <cell r="L3295" t="str">
            <v>أم زيتونة</v>
          </cell>
          <cell r="M3295" t="str">
            <v>C3988</v>
          </cell>
          <cell r="AC3295">
            <v>36.570495610000002</v>
          </cell>
          <cell r="AD3295">
            <v>35.458679199999999</v>
          </cell>
        </row>
        <row r="3296">
          <cell r="L3296" t="str">
            <v>الهبيط</v>
          </cell>
          <cell r="M3296" t="str">
            <v>C3989</v>
          </cell>
          <cell r="AC3296">
            <v>36.539489750000001</v>
          </cell>
          <cell r="AD3296">
            <v>35.44049072</v>
          </cell>
        </row>
        <row r="3297">
          <cell r="L3297" t="str">
            <v>عابدين</v>
          </cell>
          <cell r="M3297" t="str">
            <v>C3990</v>
          </cell>
          <cell r="AC3297">
            <v>36.536682130000003</v>
          </cell>
          <cell r="AD3297">
            <v>35.467895509999998</v>
          </cell>
        </row>
        <row r="3298">
          <cell r="L3298" t="str">
            <v>النقير</v>
          </cell>
          <cell r="M3298" t="str">
            <v>C3991</v>
          </cell>
          <cell r="AC3298">
            <v>36.540710449999999</v>
          </cell>
          <cell r="AD3298">
            <v>35.499511720000001</v>
          </cell>
        </row>
        <row r="3299">
          <cell r="L3299" t="str">
            <v>بعربو</v>
          </cell>
          <cell r="M3299" t="str">
            <v>C3992</v>
          </cell>
          <cell r="AC3299">
            <v>36.471679690000002</v>
          </cell>
          <cell r="AD3299">
            <v>35.491699220000001</v>
          </cell>
        </row>
        <row r="3300">
          <cell r="L3300" t="str">
            <v>كفر عين</v>
          </cell>
          <cell r="M3300" t="str">
            <v>C3993</v>
          </cell>
          <cell r="AC3300">
            <v>36.56872559</v>
          </cell>
          <cell r="AD3300">
            <v>35.443908690000001</v>
          </cell>
        </row>
        <row r="3301">
          <cell r="L3301" t="str">
            <v>خيرية صغيرة</v>
          </cell>
          <cell r="M3301" t="str">
            <v>C3994</v>
          </cell>
          <cell r="AC3301">
            <v>37.16131592</v>
          </cell>
          <cell r="AD3301">
            <v>35.506103520000003</v>
          </cell>
        </row>
        <row r="3302">
          <cell r="L3302" t="str">
            <v>غزيلة</v>
          </cell>
          <cell r="M3302" t="str">
            <v>C3995</v>
          </cell>
          <cell r="AC3302">
            <v>37.146484379999997</v>
          </cell>
          <cell r="AD3302">
            <v>35.567504880000001</v>
          </cell>
        </row>
        <row r="3303">
          <cell r="L3303" t="str">
            <v>المريجب</v>
          </cell>
          <cell r="M3303" t="str">
            <v>C3996</v>
          </cell>
          <cell r="AC3303">
            <v>37.158081060000001</v>
          </cell>
          <cell r="AD3303">
            <v>35.548889160000002</v>
          </cell>
        </row>
        <row r="3304">
          <cell r="L3304" t="str">
            <v>تل العوجه</v>
          </cell>
          <cell r="M3304" t="str">
            <v>C3997</v>
          </cell>
          <cell r="AC3304">
            <v>37.056884770000003</v>
          </cell>
          <cell r="AD3304">
            <v>35.6505127</v>
          </cell>
        </row>
        <row r="3305">
          <cell r="L3305" t="str">
            <v>رسم العبد</v>
          </cell>
          <cell r="M3305" t="str">
            <v>C3998</v>
          </cell>
          <cell r="AC3305">
            <v>36.989074709999997</v>
          </cell>
          <cell r="AD3305">
            <v>35.533874509999997</v>
          </cell>
        </row>
        <row r="3306">
          <cell r="L3306" t="str">
            <v>جب القصب</v>
          </cell>
          <cell r="M3306" t="str">
            <v>C3999</v>
          </cell>
          <cell r="AC3306">
            <v>37.10272217</v>
          </cell>
          <cell r="AD3306">
            <v>35.515686039999999</v>
          </cell>
        </row>
        <row r="3307">
          <cell r="L3307" t="str">
            <v>تلعمارة</v>
          </cell>
          <cell r="M3307" t="str">
            <v>C4000</v>
          </cell>
          <cell r="AC3307">
            <v>37.059692380000001</v>
          </cell>
          <cell r="AD3307">
            <v>35.508117679999998</v>
          </cell>
        </row>
        <row r="3308">
          <cell r="L3308" t="str">
            <v>تل دم</v>
          </cell>
          <cell r="M3308" t="str">
            <v>C4001</v>
          </cell>
          <cell r="AC3308">
            <v>36.894470220000002</v>
          </cell>
          <cell r="AD3308">
            <v>35.572509770000003</v>
          </cell>
        </row>
        <row r="3309">
          <cell r="L3309" t="str">
            <v>حلبان</v>
          </cell>
          <cell r="M3309" t="str">
            <v>C4002</v>
          </cell>
          <cell r="AC3309">
            <v>36.94830322</v>
          </cell>
          <cell r="AD3309">
            <v>35.71368408</v>
          </cell>
        </row>
        <row r="3310">
          <cell r="L3310" t="str">
            <v>البرج</v>
          </cell>
          <cell r="M3310" t="str">
            <v>C4003</v>
          </cell>
          <cell r="AC3310">
            <v>36.85131836</v>
          </cell>
          <cell r="AD3310">
            <v>35.578491210000003</v>
          </cell>
        </row>
        <row r="3311">
          <cell r="L3311" t="str">
            <v>الدوادية</v>
          </cell>
          <cell r="M3311" t="str">
            <v>C4004</v>
          </cell>
          <cell r="AC3311">
            <v>37.117919919999999</v>
          </cell>
          <cell r="AD3311">
            <v>35.57189941</v>
          </cell>
        </row>
        <row r="3312">
          <cell r="L3312" t="str">
            <v>المكسر</v>
          </cell>
          <cell r="M3312" t="str">
            <v>C4005</v>
          </cell>
          <cell r="AC3312">
            <v>37.088073729999998</v>
          </cell>
          <cell r="AD3312">
            <v>35.475097660000003</v>
          </cell>
        </row>
        <row r="3313">
          <cell r="L3313" t="str">
            <v>العوجة</v>
          </cell>
          <cell r="M3313" t="str">
            <v>C4006</v>
          </cell>
          <cell r="AC3313">
            <v>37.021484379999997</v>
          </cell>
          <cell r="AD3313">
            <v>35.6348877</v>
          </cell>
        </row>
        <row r="3314">
          <cell r="L3314" t="str">
            <v>اعجاز</v>
          </cell>
          <cell r="M3314" t="str">
            <v>C4007</v>
          </cell>
          <cell r="AC3314">
            <v>36.931518560000001</v>
          </cell>
          <cell r="AD3314">
            <v>35.622314449999998</v>
          </cell>
        </row>
        <row r="3315">
          <cell r="L3315" t="str">
            <v>ثليجة</v>
          </cell>
          <cell r="M3315" t="str">
            <v>C4008</v>
          </cell>
          <cell r="AC3315">
            <v>37.184326169999999</v>
          </cell>
          <cell r="AD3315">
            <v>35.5546875</v>
          </cell>
        </row>
        <row r="3316">
          <cell r="L3316" t="str">
            <v>خيرية</v>
          </cell>
          <cell r="M3316" t="str">
            <v>C4009</v>
          </cell>
          <cell r="AC3316">
            <v>37.15649414</v>
          </cell>
          <cell r="AD3316">
            <v>35.52368164</v>
          </cell>
        </row>
        <row r="3317">
          <cell r="L3317" t="str">
            <v>باشكون</v>
          </cell>
          <cell r="M3317" t="str">
            <v>C4010</v>
          </cell>
          <cell r="AC3317">
            <v>37.089477539999997</v>
          </cell>
          <cell r="AD3317">
            <v>35.448120119999999</v>
          </cell>
        </row>
        <row r="3318">
          <cell r="L3318" t="str">
            <v>الشعرة_شعرة العجائز</v>
          </cell>
          <cell r="M3318" t="str">
            <v>C4011</v>
          </cell>
          <cell r="AC3318">
            <v>36.912719729999999</v>
          </cell>
          <cell r="AD3318">
            <v>35.64428711</v>
          </cell>
        </row>
        <row r="3319">
          <cell r="L3319" t="str">
            <v>ام صهريج</v>
          </cell>
          <cell r="M3319" t="str">
            <v>C4012</v>
          </cell>
          <cell r="AC3319">
            <v>36.954895020000002</v>
          </cell>
          <cell r="AD3319">
            <v>35.49908447</v>
          </cell>
        </row>
        <row r="3320">
          <cell r="L3320" t="str">
            <v>ام تيني</v>
          </cell>
          <cell r="M3320" t="str">
            <v>C4013</v>
          </cell>
          <cell r="AC3320">
            <v>36.891479490000002</v>
          </cell>
          <cell r="AD3320">
            <v>35.554504399999999</v>
          </cell>
        </row>
        <row r="3321">
          <cell r="L3321" t="str">
            <v>أم مويلات جنوبية</v>
          </cell>
          <cell r="M3321" t="str">
            <v>C4014</v>
          </cell>
          <cell r="AC3321">
            <v>37.014282229999999</v>
          </cell>
          <cell r="AD3321">
            <v>35.559875490000003</v>
          </cell>
        </row>
        <row r="3322">
          <cell r="L3322" t="str">
            <v>الشيخ بركة</v>
          </cell>
          <cell r="M3322" t="str">
            <v>C4015</v>
          </cell>
          <cell r="AC3322">
            <v>36.976074220000001</v>
          </cell>
          <cell r="AD3322">
            <v>35.559875490000003</v>
          </cell>
        </row>
        <row r="3323">
          <cell r="L3323" t="str">
            <v>الجابرية</v>
          </cell>
          <cell r="M3323" t="str">
            <v>C4016</v>
          </cell>
          <cell r="AC3323">
            <v>37.017517089999998</v>
          </cell>
          <cell r="AD3323">
            <v>35.675903320000003</v>
          </cell>
        </row>
        <row r="3324">
          <cell r="L3324" t="str">
            <v>أبو شرجي</v>
          </cell>
          <cell r="M3324" t="str">
            <v>C4017</v>
          </cell>
          <cell r="AC3324">
            <v>36.884094240000003</v>
          </cell>
          <cell r="AD3324">
            <v>35.584716800000002</v>
          </cell>
        </row>
        <row r="3325">
          <cell r="L3325" t="str">
            <v>تل حلاوة</v>
          </cell>
          <cell r="M3325" t="str">
            <v>C4018</v>
          </cell>
          <cell r="AC3325">
            <v>37.152709960000003</v>
          </cell>
          <cell r="AD3325">
            <v>35.482910160000003</v>
          </cell>
        </row>
        <row r="3326">
          <cell r="L3326" t="str">
            <v>ربيعة برنان</v>
          </cell>
          <cell r="M3326" t="str">
            <v>C4019</v>
          </cell>
          <cell r="AC3326">
            <v>36.936096190000001</v>
          </cell>
          <cell r="AD3326">
            <v>35.663085940000002</v>
          </cell>
        </row>
        <row r="3327">
          <cell r="L3327" t="str">
            <v>المتوسطة</v>
          </cell>
          <cell r="M3327" t="str">
            <v>C4020</v>
          </cell>
          <cell r="AC3327">
            <v>36.98071289</v>
          </cell>
          <cell r="AD3327">
            <v>35.591308589999997</v>
          </cell>
        </row>
        <row r="3328">
          <cell r="L3328" t="str">
            <v>صريع</v>
          </cell>
          <cell r="M3328" t="str">
            <v>C4021</v>
          </cell>
          <cell r="AC3328">
            <v>37.079101559999998</v>
          </cell>
          <cell r="AD3328">
            <v>35.583129880000001</v>
          </cell>
        </row>
        <row r="3329">
          <cell r="L3329" t="str">
            <v>صراع</v>
          </cell>
          <cell r="M3329" t="str">
            <v>C4022</v>
          </cell>
          <cell r="AC3329">
            <v>37.050109859999999</v>
          </cell>
          <cell r="AD3329">
            <v>35.572875979999999</v>
          </cell>
        </row>
        <row r="3330">
          <cell r="L3330" t="str">
            <v>الجهمان</v>
          </cell>
          <cell r="M3330" t="str">
            <v>C4023</v>
          </cell>
          <cell r="AC3330">
            <v>37.098876949999998</v>
          </cell>
          <cell r="AD3330">
            <v>35.598876949999998</v>
          </cell>
        </row>
        <row r="3331">
          <cell r="L3331" t="str">
            <v>سنجار</v>
          </cell>
          <cell r="M3331" t="str">
            <v>C4024</v>
          </cell>
          <cell r="AC3331">
            <v>37.005676270000002</v>
          </cell>
          <cell r="AD3331">
            <v>35.590698240000002</v>
          </cell>
        </row>
        <row r="3332">
          <cell r="L3332" t="str">
            <v>الصقيعة</v>
          </cell>
          <cell r="M3332" t="str">
            <v>C4025</v>
          </cell>
          <cell r="AC3332">
            <v>36.869323729999998</v>
          </cell>
          <cell r="AD3332">
            <v>35.615295410000002</v>
          </cell>
        </row>
        <row r="3333">
          <cell r="L3333" t="str">
            <v>الصيادى</v>
          </cell>
          <cell r="M3333" t="str">
            <v>C4026</v>
          </cell>
          <cell r="AC3333">
            <v>36.895324709999997</v>
          </cell>
          <cell r="AD3333">
            <v>35.612487790000003</v>
          </cell>
        </row>
        <row r="3334">
          <cell r="L3334" t="str">
            <v>أبو العليج</v>
          </cell>
          <cell r="M3334" t="str">
            <v>C4027</v>
          </cell>
          <cell r="AC3334">
            <v>37.111511229999998</v>
          </cell>
          <cell r="AD3334">
            <v>35.528686520000001</v>
          </cell>
        </row>
        <row r="3335">
          <cell r="L3335" t="str">
            <v>الدريبية</v>
          </cell>
          <cell r="M3335" t="str">
            <v>C4028</v>
          </cell>
          <cell r="AC3335">
            <v>36.94049072</v>
          </cell>
          <cell r="AD3335">
            <v>35.505310059999999</v>
          </cell>
        </row>
        <row r="3336">
          <cell r="L3336" t="str">
            <v>الحيصة</v>
          </cell>
          <cell r="M3336" t="str">
            <v>C4029</v>
          </cell>
          <cell r="AC3336">
            <v>36.981872559999999</v>
          </cell>
          <cell r="AD3336">
            <v>35.682495119999999</v>
          </cell>
        </row>
        <row r="3337">
          <cell r="L3337" t="str">
            <v>حوا</v>
          </cell>
          <cell r="M3337" t="str">
            <v>C4030</v>
          </cell>
          <cell r="AC3337">
            <v>37.041076660000002</v>
          </cell>
          <cell r="AD3337">
            <v>35.526672359999999</v>
          </cell>
        </row>
        <row r="3338">
          <cell r="L3338" t="str">
            <v>خيارة</v>
          </cell>
          <cell r="M3338" t="str">
            <v>C4031</v>
          </cell>
          <cell r="AC3338">
            <v>36.960083009999998</v>
          </cell>
          <cell r="AD3338">
            <v>35.603088380000003</v>
          </cell>
        </row>
        <row r="3339">
          <cell r="L3339" t="str">
            <v>خوين الشعر</v>
          </cell>
          <cell r="M3339" t="str">
            <v>C4032</v>
          </cell>
          <cell r="AC3339">
            <v>36.927673339999998</v>
          </cell>
          <cell r="AD3339">
            <v>35.69689941</v>
          </cell>
        </row>
        <row r="3340">
          <cell r="L3340" t="str">
            <v>برنان</v>
          </cell>
          <cell r="M3340" t="str">
            <v>C4033</v>
          </cell>
          <cell r="AC3340">
            <v>36.921691899999999</v>
          </cell>
          <cell r="AD3340">
            <v>35.678283690000001</v>
          </cell>
        </row>
        <row r="3341">
          <cell r="L3341" t="str">
            <v>ربيعة موسى</v>
          </cell>
          <cell r="M3341" t="str">
            <v>C4034</v>
          </cell>
          <cell r="AC3341">
            <v>36.982482910000002</v>
          </cell>
          <cell r="AD3341">
            <v>35.493530270000001</v>
          </cell>
        </row>
        <row r="3342">
          <cell r="L3342" t="str">
            <v>كرسنتي</v>
          </cell>
          <cell r="M3342" t="str">
            <v>C4035</v>
          </cell>
          <cell r="AC3342">
            <v>36.855285649999999</v>
          </cell>
          <cell r="AD3342">
            <v>35.589111330000001</v>
          </cell>
        </row>
        <row r="3343">
          <cell r="L3343" t="str">
            <v>كراتين الكبير</v>
          </cell>
          <cell r="M3343" t="str">
            <v>C4036</v>
          </cell>
          <cell r="AC3343">
            <v>36.958312990000003</v>
          </cell>
          <cell r="AD3343">
            <v>35.650085449999999</v>
          </cell>
        </row>
        <row r="3344">
          <cell r="L3344" t="str">
            <v>فحيل جلاس</v>
          </cell>
          <cell r="M3344" t="str">
            <v>C4037</v>
          </cell>
          <cell r="AC3344">
            <v>36.961730959999997</v>
          </cell>
          <cell r="AD3344">
            <v>35.536499020000001</v>
          </cell>
        </row>
        <row r="3345">
          <cell r="L3345" t="str">
            <v>فروان</v>
          </cell>
          <cell r="M3345" t="str">
            <v>C4038</v>
          </cell>
          <cell r="AC3345">
            <v>36.885070800000001</v>
          </cell>
          <cell r="AD3345">
            <v>35.675292970000001</v>
          </cell>
        </row>
        <row r="3346">
          <cell r="L3346" t="str">
            <v>مغارة ميرزا</v>
          </cell>
          <cell r="M3346" t="str">
            <v>C4039</v>
          </cell>
          <cell r="AC3346">
            <v>36.972717289999999</v>
          </cell>
          <cell r="AD3346">
            <v>35.725524900000003</v>
          </cell>
        </row>
        <row r="3347">
          <cell r="L3347" t="str">
            <v>كراتين صغير</v>
          </cell>
          <cell r="M3347" t="str">
            <v>C4040</v>
          </cell>
          <cell r="AC3347">
            <v>36.981079100000002</v>
          </cell>
          <cell r="AD3347">
            <v>35.656677250000001</v>
          </cell>
        </row>
        <row r="3348">
          <cell r="L3348" t="str">
            <v>مردغانة برتقالة</v>
          </cell>
          <cell r="M3348" t="str">
            <v>C4041</v>
          </cell>
          <cell r="AC3348">
            <v>37.054077149999998</v>
          </cell>
          <cell r="AD3348">
            <v>35.616699220000001</v>
          </cell>
        </row>
        <row r="3349">
          <cell r="L3349" t="str">
            <v>قصر الأبيض</v>
          </cell>
          <cell r="M3349" t="str">
            <v>C4042</v>
          </cell>
          <cell r="AC3349">
            <v>37.011291499999999</v>
          </cell>
          <cell r="AD3349">
            <v>35.50549316</v>
          </cell>
        </row>
        <row r="3350">
          <cell r="L3350" t="str">
            <v>نباز</v>
          </cell>
          <cell r="M3350" t="str">
            <v>C4043</v>
          </cell>
          <cell r="AC3350">
            <v>37.07147217</v>
          </cell>
          <cell r="AD3350">
            <v>35.528320309999998</v>
          </cell>
        </row>
        <row r="3351">
          <cell r="L3351" t="str">
            <v>قطرة</v>
          </cell>
          <cell r="M3351" t="str">
            <v>C4044</v>
          </cell>
          <cell r="AC3351">
            <v>36.886291499999999</v>
          </cell>
          <cell r="AD3351">
            <v>35.649108890000001</v>
          </cell>
        </row>
        <row r="3352">
          <cell r="L3352" t="str">
            <v>كفريا المعرة</v>
          </cell>
          <cell r="M3352" t="str">
            <v>C4045</v>
          </cell>
          <cell r="AC3352">
            <v>36.927307130000003</v>
          </cell>
          <cell r="AD3352">
            <v>35.599121089999997</v>
          </cell>
        </row>
        <row r="3353">
          <cell r="L3353" t="str">
            <v>لويبدة شمالية</v>
          </cell>
          <cell r="M3353" t="str">
            <v>C4046</v>
          </cell>
          <cell r="AC3353">
            <v>36.926879880000001</v>
          </cell>
          <cell r="AD3353">
            <v>35.532897949999999</v>
          </cell>
        </row>
        <row r="3354">
          <cell r="L3354" t="str">
            <v>لويبدة شرقية</v>
          </cell>
          <cell r="M3354" t="str">
            <v>C4047</v>
          </cell>
          <cell r="AC3354">
            <v>37.049499509999997</v>
          </cell>
          <cell r="AD3354">
            <v>35.460083009999998</v>
          </cell>
        </row>
        <row r="3355">
          <cell r="L3355" t="str">
            <v>مريجب المشهد</v>
          </cell>
          <cell r="M3355" t="str">
            <v>C4048</v>
          </cell>
          <cell r="AC3355">
            <v>37.034484859999999</v>
          </cell>
          <cell r="AD3355">
            <v>35.479492190000002</v>
          </cell>
        </row>
        <row r="3356">
          <cell r="L3356" t="str">
            <v>راشا الشمالية</v>
          </cell>
          <cell r="M3356" t="str">
            <v>C4049</v>
          </cell>
          <cell r="AC3356">
            <v>36.422729490000002</v>
          </cell>
          <cell r="AD3356">
            <v>35.552673339999998</v>
          </cell>
        </row>
        <row r="3357">
          <cell r="L3357" t="str">
            <v>جبالا</v>
          </cell>
          <cell r="M3357" t="str">
            <v>C4050</v>
          </cell>
          <cell r="AC3357">
            <v>36.558898929999998</v>
          </cell>
          <cell r="AD3357">
            <v>35.570678710000003</v>
          </cell>
        </row>
        <row r="3358">
          <cell r="L3358" t="str">
            <v>ترملا</v>
          </cell>
          <cell r="M3358" t="str">
            <v>C4051</v>
          </cell>
          <cell r="AC3358">
            <v>36.483093259999997</v>
          </cell>
          <cell r="AD3358">
            <v>35.525329589999998</v>
          </cell>
        </row>
        <row r="3359">
          <cell r="L3359" t="str">
            <v>الفقيع</v>
          </cell>
          <cell r="M3359" t="str">
            <v>C4052</v>
          </cell>
          <cell r="AC3359">
            <v>36.472473149999999</v>
          </cell>
          <cell r="AD3359">
            <v>35.549499509999997</v>
          </cell>
        </row>
        <row r="3360">
          <cell r="L3360" t="str">
            <v>شورلين</v>
          </cell>
          <cell r="M3360" t="str">
            <v>C4053</v>
          </cell>
          <cell r="AC3360">
            <v>36.413085940000002</v>
          </cell>
          <cell r="AD3360">
            <v>35.555908199999998</v>
          </cell>
        </row>
        <row r="3361">
          <cell r="L3361" t="str">
            <v>سفوهن</v>
          </cell>
          <cell r="M3361" t="str">
            <v>C4054</v>
          </cell>
          <cell r="AC3361">
            <v>36.464477539999997</v>
          </cell>
          <cell r="AD3361">
            <v>35.607299810000001</v>
          </cell>
        </row>
        <row r="3362">
          <cell r="L3362" t="str">
            <v>الشيخ مصطفى</v>
          </cell>
          <cell r="M3362" t="str">
            <v>C4055</v>
          </cell>
          <cell r="AC3362">
            <v>36.552917479999998</v>
          </cell>
          <cell r="AD3362">
            <v>35.518493650000003</v>
          </cell>
        </row>
        <row r="3363">
          <cell r="L3363" t="str">
            <v>حزارين</v>
          </cell>
          <cell r="M3363" t="str">
            <v>C4056</v>
          </cell>
          <cell r="AC3363">
            <v>36.526672359999999</v>
          </cell>
          <cell r="AD3363">
            <v>35.599914550000001</v>
          </cell>
        </row>
        <row r="3364">
          <cell r="L3364" t="str">
            <v>دارة الكبيرة</v>
          </cell>
          <cell r="M3364" t="str">
            <v>C4057</v>
          </cell>
          <cell r="AC3364">
            <v>36.516296390000001</v>
          </cell>
          <cell r="AD3364">
            <v>35.605896000000001</v>
          </cell>
        </row>
        <row r="3365">
          <cell r="L3365" t="str">
            <v>حاس</v>
          </cell>
          <cell r="M3365" t="str">
            <v>C4058</v>
          </cell>
          <cell r="AC3365">
            <v>36.595520020000002</v>
          </cell>
          <cell r="AD3365">
            <v>35.619079589999998</v>
          </cell>
        </row>
        <row r="3366">
          <cell r="L3366" t="str">
            <v>أم نير</v>
          </cell>
          <cell r="M3366" t="str">
            <v>C4059</v>
          </cell>
          <cell r="AC3366">
            <v>36.43127441</v>
          </cell>
          <cell r="AD3366">
            <v>35.534301759999998</v>
          </cell>
        </row>
        <row r="3367">
          <cell r="L3367" t="str">
            <v>الملاجة</v>
          </cell>
          <cell r="M3367" t="str">
            <v>C4060</v>
          </cell>
          <cell r="AC3367">
            <v>36.49450684</v>
          </cell>
          <cell r="AD3367">
            <v>35.592712400000003</v>
          </cell>
        </row>
        <row r="3368">
          <cell r="L3368" t="str">
            <v>بسقلا</v>
          </cell>
          <cell r="M3368" t="str">
            <v>C4061</v>
          </cell>
          <cell r="AC3368">
            <v>36.57971191</v>
          </cell>
          <cell r="AD3368">
            <v>35.600524900000003</v>
          </cell>
        </row>
        <row r="3369">
          <cell r="L3369" t="str">
            <v>كفر عويد</v>
          </cell>
          <cell r="M3369" t="str">
            <v>C4062</v>
          </cell>
          <cell r="AC3369">
            <v>36.457519529999999</v>
          </cell>
          <cell r="AD3369">
            <v>35.628295899999998</v>
          </cell>
        </row>
        <row r="3370">
          <cell r="L3370" t="str">
            <v>معر تصين</v>
          </cell>
          <cell r="M3370" t="str">
            <v>C4063</v>
          </cell>
          <cell r="AC3370">
            <v>36.518310550000002</v>
          </cell>
          <cell r="AD3370">
            <v>35.573730470000001</v>
          </cell>
        </row>
        <row r="3371">
          <cell r="L3371" t="str">
            <v>قوقفين</v>
          </cell>
          <cell r="M3371" t="str">
            <v>C4064</v>
          </cell>
          <cell r="AC3371">
            <v>36.427490229999997</v>
          </cell>
          <cell r="AD3371">
            <v>35.63647461</v>
          </cell>
        </row>
        <row r="3372">
          <cell r="L3372" t="str">
            <v>معرتماتر</v>
          </cell>
          <cell r="M3372" t="str">
            <v>C4065</v>
          </cell>
          <cell r="AC3372">
            <v>36.552917479999998</v>
          </cell>
          <cell r="AD3372">
            <v>35.568908690000001</v>
          </cell>
        </row>
        <row r="3373">
          <cell r="L3373" t="str">
            <v>معرزيتا</v>
          </cell>
          <cell r="M3373" t="str">
            <v>C4066</v>
          </cell>
          <cell r="AC3373">
            <v>36.572326660000002</v>
          </cell>
          <cell r="AD3373">
            <v>35.555908199999998</v>
          </cell>
        </row>
        <row r="3374">
          <cell r="L3374" t="str">
            <v>كفر موسى</v>
          </cell>
          <cell r="M3374" t="str">
            <v>C4067</v>
          </cell>
          <cell r="AC3374">
            <v>36.466125490000003</v>
          </cell>
          <cell r="AD3374">
            <v>35.573913570000002</v>
          </cell>
        </row>
        <row r="3375">
          <cell r="L3375" t="str">
            <v>كفر نبل</v>
          </cell>
          <cell r="M3375" t="str">
            <v>C4068</v>
          </cell>
          <cell r="AC3375">
            <v>36.560302729999997</v>
          </cell>
          <cell r="AD3375">
            <v>35.614685059999999</v>
          </cell>
        </row>
        <row r="3376">
          <cell r="L3376" t="str">
            <v>فليفل</v>
          </cell>
          <cell r="M3376" t="str">
            <v>C4069</v>
          </cell>
          <cell r="AC3376">
            <v>36.456298830000001</v>
          </cell>
          <cell r="AD3376">
            <v>35.58892822</v>
          </cell>
        </row>
        <row r="3377">
          <cell r="L3377" t="str">
            <v>فطيرة</v>
          </cell>
          <cell r="M3377" t="str">
            <v>C4070</v>
          </cell>
          <cell r="AC3377">
            <v>36.48529053</v>
          </cell>
          <cell r="AD3377">
            <v>35.609680179999998</v>
          </cell>
        </row>
        <row r="3378">
          <cell r="L3378" t="str">
            <v>معرتحرمة</v>
          </cell>
          <cell r="M3378" t="str">
            <v>C4071</v>
          </cell>
          <cell r="AC3378">
            <v>36.541870119999999</v>
          </cell>
          <cell r="AD3378">
            <v>35.548095699999998</v>
          </cell>
        </row>
        <row r="3379">
          <cell r="L3379" t="str">
            <v>كوكبة</v>
          </cell>
          <cell r="M3379" t="str">
            <v>C4072</v>
          </cell>
          <cell r="AC3379">
            <v>36.439880369999997</v>
          </cell>
          <cell r="AD3379">
            <v>35.565917970000001</v>
          </cell>
        </row>
        <row r="3380">
          <cell r="L3380" t="str">
            <v>كرسعة</v>
          </cell>
          <cell r="M3380" t="str">
            <v>C4073</v>
          </cell>
          <cell r="AC3380">
            <v>36.483703609999999</v>
          </cell>
          <cell r="AD3380">
            <v>35.564697270000003</v>
          </cell>
        </row>
        <row r="3381">
          <cell r="L3381" t="str">
            <v>لويبدة</v>
          </cell>
          <cell r="M3381" t="str">
            <v>C4074</v>
          </cell>
          <cell r="AC3381">
            <v>36.456726070000002</v>
          </cell>
          <cell r="AD3381">
            <v>35.5098877</v>
          </cell>
        </row>
        <row r="3382">
          <cell r="L3382" t="str">
            <v>سحال</v>
          </cell>
          <cell r="M3382" t="str">
            <v>C4075</v>
          </cell>
          <cell r="AC3382">
            <v>36.866516109999999</v>
          </cell>
          <cell r="AD3382">
            <v>35.544921879999997</v>
          </cell>
        </row>
        <row r="3383">
          <cell r="L3383" t="str">
            <v>الطامة</v>
          </cell>
          <cell r="M3383" t="str">
            <v>C4076</v>
          </cell>
          <cell r="AC3383">
            <v>36.88372803</v>
          </cell>
          <cell r="AD3383">
            <v>35.404724119999997</v>
          </cell>
        </row>
        <row r="3384">
          <cell r="L3384" t="str">
            <v>سكيك</v>
          </cell>
          <cell r="M3384" t="str">
            <v>C4077</v>
          </cell>
          <cell r="AC3384">
            <v>36.770080569999998</v>
          </cell>
          <cell r="AD3384">
            <v>35.429321289999997</v>
          </cell>
        </row>
        <row r="3385">
          <cell r="L3385" t="str">
            <v>الرفة</v>
          </cell>
          <cell r="M3385" t="str">
            <v>C4078</v>
          </cell>
          <cell r="AC3385">
            <v>36.800720220000002</v>
          </cell>
          <cell r="AD3385">
            <v>35.546508789999997</v>
          </cell>
        </row>
        <row r="3386">
          <cell r="L3386" t="str">
            <v>البريصة</v>
          </cell>
          <cell r="M3386" t="str">
            <v>C4079</v>
          </cell>
          <cell r="AC3386">
            <v>36.840881349999997</v>
          </cell>
          <cell r="AD3386">
            <v>35.539672850000002</v>
          </cell>
        </row>
        <row r="3387">
          <cell r="L3387" t="str">
            <v>التمانعة</v>
          </cell>
          <cell r="M3387" t="str">
            <v>C4081</v>
          </cell>
          <cell r="AC3387">
            <v>36.746521000000001</v>
          </cell>
          <cell r="AD3387">
            <v>35.459899900000003</v>
          </cell>
        </row>
        <row r="3388">
          <cell r="L3388" t="str">
            <v>الدجاج</v>
          </cell>
          <cell r="M3388" t="str">
            <v>C4082</v>
          </cell>
          <cell r="AC3388">
            <v>36.89611816</v>
          </cell>
          <cell r="AD3388">
            <v>35.421508789999997</v>
          </cell>
        </row>
        <row r="3389">
          <cell r="L3389" t="str">
            <v>النيحة</v>
          </cell>
          <cell r="M3389" t="str">
            <v>C4083</v>
          </cell>
          <cell r="AC3389">
            <v>36.909484859999999</v>
          </cell>
          <cell r="AD3389">
            <v>35.492675779999999</v>
          </cell>
        </row>
        <row r="3390">
          <cell r="L3390" t="str">
            <v>الحمدانية</v>
          </cell>
          <cell r="M3390" t="str">
            <v>C4084</v>
          </cell>
          <cell r="AC3390">
            <v>36.85388184</v>
          </cell>
          <cell r="AD3390">
            <v>35.424682619999999</v>
          </cell>
        </row>
        <row r="3391">
          <cell r="L3391" t="str">
            <v>أم الخلاخيل</v>
          </cell>
          <cell r="M3391" t="str">
            <v>C4085</v>
          </cell>
          <cell r="AC3391">
            <v>36.882873539999999</v>
          </cell>
          <cell r="AD3391">
            <v>35.512695309999998</v>
          </cell>
        </row>
        <row r="3392">
          <cell r="L3392" t="str">
            <v>أبو عمر</v>
          </cell>
          <cell r="M3392" t="str">
            <v>C4086</v>
          </cell>
          <cell r="AC3392">
            <v>36.886108399999998</v>
          </cell>
          <cell r="AD3392">
            <v>35.464111330000001</v>
          </cell>
        </row>
        <row r="3393">
          <cell r="L3393" t="str">
            <v>تل مرق</v>
          </cell>
          <cell r="M3393" t="str">
            <v>C4087</v>
          </cell>
          <cell r="AC3393">
            <v>36.844299319999998</v>
          </cell>
          <cell r="AD3393">
            <v>35.441894529999999</v>
          </cell>
        </row>
        <row r="3394">
          <cell r="L3394" t="str">
            <v>المشرف رجم المشرف</v>
          </cell>
          <cell r="M3394" t="str">
            <v>C4088</v>
          </cell>
          <cell r="AC3394">
            <v>36.948486330000001</v>
          </cell>
          <cell r="AD3394">
            <v>35.481506349999997</v>
          </cell>
        </row>
        <row r="3395">
          <cell r="L3395" t="str">
            <v>الفرجة</v>
          </cell>
          <cell r="M3395" t="str">
            <v>C4089</v>
          </cell>
          <cell r="AC3395">
            <v>36.846313479999999</v>
          </cell>
          <cell r="AD3395">
            <v>35.520507809999998</v>
          </cell>
        </row>
        <row r="3396">
          <cell r="L3396" t="str">
            <v>شطيب</v>
          </cell>
          <cell r="M3396" t="str">
            <v>C4090</v>
          </cell>
          <cell r="AC3396">
            <v>37.017089839999997</v>
          </cell>
          <cell r="AD3396">
            <v>35.446289059999998</v>
          </cell>
        </row>
        <row r="3397">
          <cell r="L3397" t="str">
            <v>خوين الكبير</v>
          </cell>
          <cell r="M3397" t="str">
            <v>C4091</v>
          </cell>
          <cell r="AC3397">
            <v>36.836120610000002</v>
          </cell>
          <cell r="AD3397">
            <v>35.478088380000003</v>
          </cell>
        </row>
        <row r="3398">
          <cell r="L3398" t="str">
            <v>الرويضة</v>
          </cell>
          <cell r="M3398" t="str">
            <v>C4092</v>
          </cell>
          <cell r="AC3398">
            <v>37.059875490000003</v>
          </cell>
          <cell r="AD3398">
            <v>35.436706540000003</v>
          </cell>
        </row>
        <row r="3399">
          <cell r="L3399" t="str">
            <v>أبو دالي</v>
          </cell>
          <cell r="M3399" t="str">
            <v>C4093</v>
          </cell>
          <cell r="AC3399">
            <v>36.902709960000003</v>
          </cell>
          <cell r="AD3399">
            <v>35.450683589999997</v>
          </cell>
        </row>
        <row r="3400">
          <cell r="L3400" t="str">
            <v>تل خنزير</v>
          </cell>
          <cell r="M3400" t="str">
            <v>C4094</v>
          </cell>
          <cell r="AC3400">
            <v>36.981872559999999</v>
          </cell>
          <cell r="AD3400">
            <v>35.432312009999997</v>
          </cell>
        </row>
        <row r="3401">
          <cell r="L3401" t="str">
            <v>أم جلال</v>
          </cell>
          <cell r="M3401" t="str">
            <v>C4095</v>
          </cell>
          <cell r="AC3401">
            <v>36.786682130000003</v>
          </cell>
          <cell r="AD3401">
            <v>35.503295899999998</v>
          </cell>
        </row>
        <row r="3402">
          <cell r="L3402" t="str">
            <v>قليعات الطوبية</v>
          </cell>
          <cell r="M3402" t="str">
            <v>C4096</v>
          </cell>
          <cell r="AC3402">
            <v>36.972106930000002</v>
          </cell>
          <cell r="AD3402">
            <v>35.465698240000002</v>
          </cell>
        </row>
        <row r="3403">
          <cell r="L3403" t="str">
            <v>مشيرفة قبلية</v>
          </cell>
          <cell r="M3403" t="str">
            <v>C4097</v>
          </cell>
          <cell r="AC3403">
            <v>36.936706540000003</v>
          </cell>
          <cell r="AD3403">
            <v>35.421508789999997</v>
          </cell>
        </row>
        <row r="3404">
          <cell r="L3404" t="str">
            <v>مشيرفة شمالية</v>
          </cell>
          <cell r="M3404" t="str">
            <v>C4098</v>
          </cell>
          <cell r="AC3404">
            <v>36.905517580000001</v>
          </cell>
          <cell r="AD3404">
            <v>35.539489750000001</v>
          </cell>
        </row>
        <row r="3405">
          <cell r="L3405" t="str">
            <v>التح</v>
          </cell>
          <cell r="M3405" t="str">
            <v>C4099</v>
          </cell>
          <cell r="AC3405">
            <v>36.726501470000002</v>
          </cell>
          <cell r="AD3405">
            <v>35.540710449999999</v>
          </cell>
        </row>
        <row r="3406">
          <cell r="L3406" t="str">
            <v>بابولين</v>
          </cell>
          <cell r="M3406" t="str">
            <v>C4100</v>
          </cell>
          <cell r="AC3406">
            <v>36.678710940000002</v>
          </cell>
          <cell r="AD3406">
            <v>35.540283199999998</v>
          </cell>
        </row>
        <row r="3407">
          <cell r="L3407" t="str">
            <v>العامودية</v>
          </cell>
          <cell r="M3407" t="str">
            <v>C4101</v>
          </cell>
          <cell r="AC3407">
            <v>36.665710449999999</v>
          </cell>
          <cell r="AD3407">
            <v>35.55310059</v>
          </cell>
        </row>
        <row r="3408">
          <cell r="L3408" t="str">
            <v>ركايا سجنة</v>
          </cell>
          <cell r="M3408" t="str">
            <v>C4102</v>
          </cell>
          <cell r="AC3408">
            <v>36.576721190000001</v>
          </cell>
          <cell r="AD3408">
            <v>35.502685550000002</v>
          </cell>
        </row>
        <row r="3409">
          <cell r="L3409" t="str">
            <v>تحتايا</v>
          </cell>
          <cell r="M3409" t="str">
            <v>C4103</v>
          </cell>
          <cell r="AC3409">
            <v>36.713317869999997</v>
          </cell>
          <cell r="AD3409">
            <v>35.510314940000001</v>
          </cell>
        </row>
        <row r="3410">
          <cell r="L3410" t="str">
            <v>صهيان</v>
          </cell>
          <cell r="M3410" t="str">
            <v>C4104</v>
          </cell>
          <cell r="AC3410">
            <v>36.662719729999999</v>
          </cell>
          <cell r="AD3410">
            <v>35.525329589999998</v>
          </cell>
        </row>
        <row r="3411">
          <cell r="L3411" t="str">
            <v>حيش</v>
          </cell>
          <cell r="M3411" t="str">
            <v>C4105</v>
          </cell>
          <cell r="AC3411">
            <v>36.644103999999999</v>
          </cell>
          <cell r="AD3411">
            <v>35.547485350000002</v>
          </cell>
        </row>
        <row r="3412">
          <cell r="L3412" t="str">
            <v>أرمنايا</v>
          </cell>
          <cell r="M3412" t="str">
            <v>C4106</v>
          </cell>
          <cell r="AC3412">
            <v>36.628295899999998</v>
          </cell>
          <cell r="AD3412">
            <v>35.56549072</v>
          </cell>
        </row>
        <row r="3413">
          <cell r="L3413" t="str">
            <v>الشيخ دامس</v>
          </cell>
          <cell r="M3413" t="str">
            <v>C4107</v>
          </cell>
          <cell r="AC3413">
            <v>36.617126470000002</v>
          </cell>
          <cell r="AD3413">
            <v>35.546691899999999</v>
          </cell>
        </row>
        <row r="3414">
          <cell r="L3414" t="str">
            <v>ابو حبة</v>
          </cell>
          <cell r="M3414" t="str">
            <v>C4108</v>
          </cell>
          <cell r="AC3414">
            <v>36.775329589999998</v>
          </cell>
          <cell r="AD3414">
            <v>35.530700680000002</v>
          </cell>
        </row>
        <row r="3415">
          <cell r="L3415" t="str">
            <v>موقة</v>
          </cell>
          <cell r="M3415" t="str">
            <v>C4109</v>
          </cell>
          <cell r="AC3415">
            <v>36.640075680000002</v>
          </cell>
          <cell r="AD3415">
            <v>35.498901369999999</v>
          </cell>
        </row>
        <row r="3416">
          <cell r="L3416" t="str">
            <v>كفرسجنة</v>
          </cell>
          <cell r="M3416" t="str">
            <v>C4110</v>
          </cell>
          <cell r="AC3416">
            <v>36.589721679999997</v>
          </cell>
          <cell r="AD3416">
            <v>35.527282720000002</v>
          </cell>
        </row>
        <row r="3417">
          <cell r="L3417" t="str">
            <v>كفرباسين</v>
          </cell>
          <cell r="M3417" t="str">
            <v>C4111</v>
          </cell>
          <cell r="AC3417">
            <v>36.685729979999998</v>
          </cell>
          <cell r="AD3417">
            <v>35.558105470000001</v>
          </cell>
        </row>
        <row r="3418">
          <cell r="L3418" t="str">
            <v>معر حطاط</v>
          </cell>
          <cell r="M3418" t="str">
            <v>C4112</v>
          </cell>
          <cell r="AC3418">
            <v>36.658081060000001</v>
          </cell>
          <cell r="AD3418">
            <v>35.574279789999999</v>
          </cell>
        </row>
        <row r="3419">
          <cell r="L3419" t="str">
            <v>معيصرونة</v>
          </cell>
          <cell r="M3419" t="str">
            <v>C4113</v>
          </cell>
          <cell r="AC3419">
            <v>36.745117190000002</v>
          </cell>
          <cell r="AD3419">
            <v>35.561096190000001</v>
          </cell>
        </row>
        <row r="3420">
          <cell r="L3420" t="str">
            <v>عريبا</v>
          </cell>
          <cell r="M3420" t="str">
            <v>C4114</v>
          </cell>
          <cell r="AC3420">
            <v>36.508117679999998</v>
          </cell>
          <cell r="AD3420">
            <v>36.176330569999998</v>
          </cell>
        </row>
        <row r="3421">
          <cell r="L3421" t="str">
            <v>حارم</v>
          </cell>
          <cell r="M3421" t="str">
            <v>C4115</v>
          </cell>
          <cell r="AC3421">
            <v>36.520874020000001</v>
          </cell>
          <cell r="AD3421">
            <v>36.212707520000002</v>
          </cell>
        </row>
        <row r="3422">
          <cell r="L3422" t="str">
            <v>بسنيا_بسينة</v>
          </cell>
          <cell r="M3422" t="str">
            <v>C4116</v>
          </cell>
          <cell r="AC3422">
            <v>36.490112310000001</v>
          </cell>
          <cell r="AD3422">
            <v>36.177490229999997</v>
          </cell>
        </row>
        <row r="3423">
          <cell r="L3423" t="str">
            <v>كفرحوم</v>
          </cell>
          <cell r="M3423" t="str">
            <v>C4117</v>
          </cell>
          <cell r="AC3423">
            <v>36.479492190000002</v>
          </cell>
          <cell r="AD3423">
            <v>36.197082520000002</v>
          </cell>
        </row>
        <row r="3424">
          <cell r="L3424" t="str">
            <v>ميرا سحاق</v>
          </cell>
          <cell r="M3424" t="str">
            <v>C4118</v>
          </cell>
          <cell r="AC3424">
            <v>36.52709961</v>
          </cell>
          <cell r="AD3424">
            <v>36.177673339999998</v>
          </cell>
        </row>
        <row r="3425">
          <cell r="L3425" t="str">
            <v>كفر مو</v>
          </cell>
          <cell r="M3425" t="str">
            <v>C4119</v>
          </cell>
          <cell r="AC3425">
            <v>36.536682130000003</v>
          </cell>
          <cell r="AD3425">
            <v>36.192687990000003</v>
          </cell>
        </row>
        <row r="3426">
          <cell r="L3426" t="str">
            <v>حزرة_حرزي</v>
          </cell>
          <cell r="M3426" t="str">
            <v>C4120</v>
          </cell>
          <cell r="AC3426">
            <v>36.790100099999997</v>
          </cell>
          <cell r="AD3426">
            <v>36.232727050000001</v>
          </cell>
        </row>
        <row r="3427">
          <cell r="L3427" t="str">
            <v>سرمدا</v>
          </cell>
          <cell r="M3427" t="str">
            <v>C4121</v>
          </cell>
          <cell r="AC3427">
            <v>36.723876949999998</v>
          </cell>
          <cell r="AD3427">
            <v>36.186706540000003</v>
          </cell>
        </row>
        <row r="3428">
          <cell r="L3428" t="str">
            <v>تل الكرامة</v>
          </cell>
          <cell r="M3428" t="str">
            <v>C4122</v>
          </cell>
          <cell r="AC3428">
            <v>36.768676759999998</v>
          </cell>
          <cell r="AD3428">
            <v>36.186889649999998</v>
          </cell>
        </row>
        <row r="3429">
          <cell r="L3429" t="str">
            <v>صلوة</v>
          </cell>
          <cell r="M3429" t="str">
            <v>C4123</v>
          </cell>
          <cell r="AC3429">
            <v>36.757324220000001</v>
          </cell>
          <cell r="AD3429">
            <v>36.308288570000002</v>
          </cell>
        </row>
        <row r="3430">
          <cell r="L3430" t="str">
            <v>تلعادة</v>
          </cell>
          <cell r="M3430" t="str">
            <v>C4124</v>
          </cell>
          <cell r="AC3430">
            <v>36.800720220000002</v>
          </cell>
          <cell r="AD3430">
            <v>36.251892089999998</v>
          </cell>
        </row>
        <row r="3431">
          <cell r="L3431" t="str">
            <v>ترمانين</v>
          </cell>
          <cell r="M3431" t="str">
            <v>C4125</v>
          </cell>
          <cell r="AC3431">
            <v>36.815307619999999</v>
          </cell>
          <cell r="AD3431">
            <v>36.228515629999997</v>
          </cell>
        </row>
        <row r="3432">
          <cell r="L3432" t="str">
            <v>الدانا</v>
          </cell>
          <cell r="M3432" t="str">
            <v>C4126</v>
          </cell>
          <cell r="AC3432">
            <v>36.769714360000002</v>
          </cell>
          <cell r="AD3432">
            <v>36.21368408</v>
          </cell>
        </row>
        <row r="3433">
          <cell r="L3433" t="str">
            <v>عقربات</v>
          </cell>
          <cell r="M3433" t="str">
            <v>C4127</v>
          </cell>
          <cell r="AC3433">
            <v>36.707885740000002</v>
          </cell>
          <cell r="AD3433">
            <v>36.270080569999998</v>
          </cell>
        </row>
        <row r="3434">
          <cell r="L3434" t="str">
            <v>برج النمرة</v>
          </cell>
          <cell r="M3434" t="str">
            <v>C4128</v>
          </cell>
          <cell r="AC3434">
            <v>36.730285649999999</v>
          </cell>
          <cell r="AD3434">
            <v>36.158508300000001</v>
          </cell>
        </row>
        <row r="3435">
          <cell r="L3435" t="str">
            <v>دير حسان_درحشان</v>
          </cell>
          <cell r="M3435" t="str">
            <v>C4129</v>
          </cell>
          <cell r="AC3435">
            <v>36.76287842</v>
          </cell>
          <cell r="AD3435">
            <v>36.233703609999999</v>
          </cell>
        </row>
        <row r="3436">
          <cell r="L3436" t="str">
            <v>اطمه</v>
          </cell>
          <cell r="M3436" t="str">
            <v>C4130</v>
          </cell>
          <cell r="AC3436">
            <v>36.689880369999997</v>
          </cell>
          <cell r="AD3436">
            <v>36.309875490000003</v>
          </cell>
        </row>
        <row r="3437">
          <cell r="L3437" t="str">
            <v>قاح</v>
          </cell>
          <cell r="M3437" t="str">
            <v>C4131</v>
          </cell>
          <cell r="AC3437">
            <v>36.725280759999997</v>
          </cell>
          <cell r="AD3437">
            <v>36.296325680000002</v>
          </cell>
        </row>
        <row r="3438">
          <cell r="L3438" t="str">
            <v>كفردريان</v>
          </cell>
          <cell r="M3438" t="str">
            <v>C4132</v>
          </cell>
          <cell r="AC3438">
            <v>36.666503910000003</v>
          </cell>
          <cell r="AD3438">
            <v>36.174682619999999</v>
          </cell>
        </row>
        <row r="3439">
          <cell r="L3439" t="str">
            <v>ابو طلحة</v>
          </cell>
          <cell r="M3439" t="str">
            <v>C4133</v>
          </cell>
          <cell r="AC3439">
            <v>36.436279300000002</v>
          </cell>
          <cell r="AD3439">
            <v>36.10388184</v>
          </cell>
        </row>
        <row r="3440">
          <cell r="L3440" t="str">
            <v>الحمزية</v>
          </cell>
          <cell r="M3440" t="str">
            <v>C4134</v>
          </cell>
          <cell r="AC3440">
            <v>36.38647461</v>
          </cell>
          <cell r="AD3440">
            <v>36.10388184</v>
          </cell>
        </row>
        <row r="3441">
          <cell r="L3441" t="str">
            <v>الفوزية</v>
          </cell>
          <cell r="M3441" t="str">
            <v>C4135</v>
          </cell>
          <cell r="AC3441">
            <v>36.395080569999998</v>
          </cell>
          <cell r="AD3441">
            <v>36.212280270000001</v>
          </cell>
        </row>
        <row r="3442">
          <cell r="L3442" t="str">
            <v>عين البكارة</v>
          </cell>
          <cell r="M3442" t="str">
            <v>C4136</v>
          </cell>
          <cell r="AC3442">
            <v>36.412719729999999</v>
          </cell>
          <cell r="AD3442">
            <v>36.195129399999999</v>
          </cell>
        </row>
        <row r="3443">
          <cell r="L3443" t="str">
            <v>التلول</v>
          </cell>
          <cell r="M3443" t="str">
            <v>C4137</v>
          </cell>
          <cell r="AC3443">
            <v>36.399902339999997</v>
          </cell>
          <cell r="AD3443">
            <v>36.20727539</v>
          </cell>
        </row>
        <row r="3444">
          <cell r="L3444" t="str">
            <v>السعيدية</v>
          </cell>
          <cell r="M3444" t="str">
            <v>C4138</v>
          </cell>
          <cell r="AC3444">
            <v>36.423889160000002</v>
          </cell>
          <cell r="AD3444">
            <v>36.067504880000001</v>
          </cell>
        </row>
        <row r="3445">
          <cell r="L3445" t="str">
            <v>حير جاموس صغير</v>
          </cell>
          <cell r="M3445" t="str">
            <v>C4139</v>
          </cell>
          <cell r="AC3445">
            <v>36.435729979999998</v>
          </cell>
          <cell r="AD3445">
            <v>36.181091309999999</v>
          </cell>
        </row>
        <row r="3446">
          <cell r="L3446" t="str">
            <v>سلقين</v>
          </cell>
          <cell r="M3446" t="str">
            <v>C4140</v>
          </cell>
          <cell r="AC3446">
            <v>36.453674319999998</v>
          </cell>
          <cell r="AD3446">
            <v>36.139099119999997</v>
          </cell>
        </row>
        <row r="3447">
          <cell r="L3447" t="str">
            <v>حير جاموس كبير</v>
          </cell>
          <cell r="M3447" t="str">
            <v>C4141</v>
          </cell>
          <cell r="AC3447">
            <v>36.42028809</v>
          </cell>
          <cell r="AD3447">
            <v>36.189270020000002</v>
          </cell>
        </row>
        <row r="3448">
          <cell r="L3448" t="str">
            <v>العلاني</v>
          </cell>
          <cell r="M3448" t="str">
            <v>C4142</v>
          </cell>
          <cell r="AC3448">
            <v>36.389099119999997</v>
          </cell>
          <cell r="AD3448">
            <v>36.160095220000002</v>
          </cell>
        </row>
        <row r="3449">
          <cell r="L3449" t="str">
            <v>عزمارين</v>
          </cell>
          <cell r="M3449" t="str">
            <v>C4143</v>
          </cell>
          <cell r="AC3449">
            <v>36.401489259999998</v>
          </cell>
          <cell r="AD3449">
            <v>36.056091309999999</v>
          </cell>
        </row>
        <row r="3450">
          <cell r="L3450" t="str">
            <v>بوزانطي</v>
          </cell>
          <cell r="M3450" t="str">
            <v>C4144</v>
          </cell>
          <cell r="AC3450">
            <v>36.416870119999999</v>
          </cell>
          <cell r="AD3450">
            <v>36.176330569999998</v>
          </cell>
        </row>
        <row r="3451">
          <cell r="L3451" t="str">
            <v>اسقاط</v>
          </cell>
          <cell r="M3451" t="str">
            <v>C4145</v>
          </cell>
          <cell r="AC3451">
            <v>36.474914550000001</v>
          </cell>
          <cell r="AD3451">
            <v>36.151123050000002</v>
          </cell>
        </row>
        <row r="3452">
          <cell r="L3452" t="str">
            <v>دلبيا</v>
          </cell>
          <cell r="M3452" t="str">
            <v>C4146</v>
          </cell>
          <cell r="AC3452">
            <v>36.400085449999999</v>
          </cell>
          <cell r="AD3452">
            <v>36.126892089999998</v>
          </cell>
        </row>
        <row r="3453">
          <cell r="L3453" t="str">
            <v>بتيا</v>
          </cell>
          <cell r="M3453" t="str">
            <v>C4147</v>
          </cell>
          <cell r="AC3453">
            <v>36.388671879999997</v>
          </cell>
          <cell r="AD3453">
            <v>36.075927729999997</v>
          </cell>
        </row>
        <row r="3454">
          <cell r="L3454" t="str">
            <v>تلعمار</v>
          </cell>
          <cell r="M3454" t="str">
            <v>C4148</v>
          </cell>
          <cell r="AC3454">
            <v>36.417297359999999</v>
          </cell>
          <cell r="AD3454">
            <v>36.05767822</v>
          </cell>
        </row>
        <row r="3455">
          <cell r="L3455" t="str">
            <v>كفرنه</v>
          </cell>
          <cell r="M3455" t="str">
            <v>C4149</v>
          </cell>
          <cell r="AC3455">
            <v>36.440307619999999</v>
          </cell>
          <cell r="AD3455">
            <v>36.194519040000003</v>
          </cell>
        </row>
        <row r="3456">
          <cell r="L3456" t="str">
            <v>كفرحات جلاد</v>
          </cell>
          <cell r="M3456" t="str">
            <v>C4150</v>
          </cell>
          <cell r="AC3456">
            <v>36.446289059999998</v>
          </cell>
          <cell r="AD3456">
            <v>36.167480470000001</v>
          </cell>
        </row>
        <row r="3457">
          <cell r="L3457" t="str">
            <v>كفر هند</v>
          </cell>
          <cell r="M3457" t="str">
            <v>C4151</v>
          </cell>
          <cell r="AC3457">
            <v>36.429870610000002</v>
          </cell>
          <cell r="AD3457">
            <v>36.082885740000002</v>
          </cell>
        </row>
        <row r="3458">
          <cell r="L3458" t="str">
            <v>عبريتا</v>
          </cell>
          <cell r="M3458" t="str">
            <v>C4152</v>
          </cell>
          <cell r="AC3458">
            <v>36.524719240000003</v>
          </cell>
          <cell r="AD3458">
            <v>36.143310550000002</v>
          </cell>
        </row>
        <row r="3459">
          <cell r="L3459" t="str">
            <v>بشندلايا_رشادية</v>
          </cell>
          <cell r="M3459" t="str">
            <v>C4153</v>
          </cell>
          <cell r="AC3459">
            <v>36.55767822</v>
          </cell>
          <cell r="AD3459">
            <v>36.143310550000002</v>
          </cell>
        </row>
        <row r="3460">
          <cell r="L3460" t="str">
            <v>تلتيتا</v>
          </cell>
          <cell r="M3460" t="str">
            <v>C4154</v>
          </cell>
          <cell r="AC3460">
            <v>36.552917479999998</v>
          </cell>
          <cell r="AD3460">
            <v>36.11212158</v>
          </cell>
        </row>
        <row r="3461">
          <cell r="L3461" t="str">
            <v>حلة</v>
          </cell>
          <cell r="M3461" t="str">
            <v>C4155</v>
          </cell>
          <cell r="AC3461">
            <v>36.547302250000001</v>
          </cell>
          <cell r="AD3461">
            <v>36.095520020000002</v>
          </cell>
        </row>
        <row r="3462">
          <cell r="L3462" t="str">
            <v>جدعين</v>
          </cell>
          <cell r="M3462" t="str">
            <v>C4156</v>
          </cell>
          <cell r="AC3462">
            <v>36.511108399999998</v>
          </cell>
          <cell r="AD3462">
            <v>36.140502929999997</v>
          </cell>
        </row>
        <row r="3463">
          <cell r="L3463" t="str">
            <v>كفر تخاريم</v>
          </cell>
          <cell r="M3463" t="str">
            <v>C4157</v>
          </cell>
          <cell r="AC3463">
            <v>36.515502929999997</v>
          </cell>
          <cell r="AD3463">
            <v>36.116516109999999</v>
          </cell>
        </row>
        <row r="3464">
          <cell r="L3464" t="str">
            <v>كفر كيلا</v>
          </cell>
          <cell r="M3464" t="str">
            <v>C4158</v>
          </cell>
          <cell r="AC3464">
            <v>36.57189941</v>
          </cell>
          <cell r="AD3464">
            <v>36.142883300000001</v>
          </cell>
        </row>
        <row r="3465">
          <cell r="L3465" t="str">
            <v>كفر مارس</v>
          </cell>
          <cell r="M3465" t="str">
            <v>C4159</v>
          </cell>
          <cell r="AC3465">
            <v>36.565307619999999</v>
          </cell>
          <cell r="AD3465">
            <v>36.117126470000002</v>
          </cell>
        </row>
        <row r="3466">
          <cell r="L3466" t="str">
            <v>كوكو_عين الجاج</v>
          </cell>
          <cell r="M3466" t="str">
            <v>C4160</v>
          </cell>
          <cell r="AC3466">
            <v>36.555480959999997</v>
          </cell>
          <cell r="AD3466">
            <v>36.079528809999999</v>
          </cell>
        </row>
        <row r="3467">
          <cell r="L3467" t="str">
            <v>حتان</v>
          </cell>
          <cell r="M3467" t="str">
            <v>C4161</v>
          </cell>
          <cell r="AC3467">
            <v>36.59490967</v>
          </cell>
          <cell r="AD3467">
            <v>36.169494630000003</v>
          </cell>
        </row>
        <row r="3468">
          <cell r="L3468" t="str">
            <v>بنابل</v>
          </cell>
          <cell r="M3468" t="str">
            <v>C4162</v>
          </cell>
          <cell r="AC3468">
            <v>36.561279300000002</v>
          </cell>
          <cell r="AD3468">
            <v>36.201110839999998</v>
          </cell>
        </row>
        <row r="3469">
          <cell r="L3469" t="str">
            <v>باريشا</v>
          </cell>
          <cell r="M3469" t="str">
            <v>C4164</v>
          </cell>
          <cell r="AC3469">
            <v>36.63647461</v>
          </cell>
          <cell r="AD3469">
            <v>36.165283199999998</v>
          </cell>
        </row>
        <row r="3470">
          <cell r="L3470" t="str">
            <v>سردين</v>
          </cell>
          <cell r="M3470" t="str">
            <v>C4165</v>
          </cell>
          <cell r="AC3470">
            <v>36.591491699999999</v>
          </cell>
          <cell r="AD3470">
            <v>36.145080569999998</v>
          </cell>
        </row>
        <row r="3471">
          <cell r="L3471" t="str">
            <v>بوز غاز</v>
          </cell>
          <cell r="M3471" t="str">
            <v>C4166</v>
          </cell>
          <cell r="AC3471">
            <v>36.628295899999998</v>
          </cell>
          <cell r="AD3471">
            <v>36.1427002</v>
          </cell>
        </row>
        <row r="3472">
          <cell r="L3472" t="str">
            <v>راس الحصن</v>
          </cell>
          <cell r="M3472" t="str">
            <v>C4167</v>
          </cell>
          <cell r="AC3472">
            <v>36.646728520000003</v>
          </cell>
          <cell r="AD3472">
            <v>36.19647217</v>
          </cell>
        </row>
        <row r="3473">
          <cell r="L3473" t="str">
            <v>ربعيتا</v>
          </cell>
          <cell r="M3473" t="str">
            <v>C4168</v>
          </cell>
          <cell r="AC3473">
            <v>36.642517089999998</v>
          </cell>
          <cell r="AD3473">
            <v>36.157287599999997</v>
          </cell>
        </row>
        <row r="3474">
          <cell r="L3474" t="str">
            <v>رضوة</v>
          </cell>
          <cell r="M3474" t="str">
            <v>C4169</v>
          </cell>
          <cell r="AC3474">
            <v>36.629089360000002</v>
          </cell>
          <cell r="AD3474">
            <v>36.15509033</v>
          </cell>
        </row>
        <row r="3475">
          <cell r="L3475" t="str">
            <v>طورلاها</v>
          </cell>
          <cell r="M3475" t="str">
            <v>C4170</v>
          </cell>
          <cell r="AC3475">
            <v>36.587280270000001</v>
          </cell>
          <cell r="AD3475">
            <v>36.213317869999997</v>
          </cell>
        </row>
        <row r="3476">
          <cell r="L3476" t="str">
            <v>معراة الشلف</v>
          </cell>
          <cell r="M3476" t="str">
            <v>C4171</v>
          </cell>
          <cell r="AC3476">
            <v>36.592895509999998</v>
          </cell>
          <cell r="AD3476">
            <v>36.121887209999997</v>
          </cell>
        </row>
        <row r="3477">
          <cell r="L3477" t="str">
            <v>كفر عروق</v>
          </cell>
          <cell r="M3477" t="str">
            <v>C4172</v>
          </cell>
          <cell r="AC3477">
            <v>36.655700680000002</v>
          </cell>
          <cell r="AD3477">
            <v>36.12109375</v>
          </cell>
        </row>
        <row r="3478">
          <cell r="L3478" t="str">
            <v>قلب لوزة</v>
          </cell>
          <cell r="M3478" t="str">
            <v>C4173</v>
          </cell>
          <cell r="AC3478">
            <v>36.580322270000003</v>
          </cell>
          <cell r="AD3478">
            <v>36.169311520000001</v>
          </cell>
        </row>
        <row r="3479">
          <cell r="L3479" t="str">
            <v>قورقانيا</v>
          </cell>
          <cell r="M3479" t="str">
            <v>C4174</v>
          </cell>
          <cell r="AC3479">
            <v>36.612670899999998</v>
          </cell>
          <cell r="AD3479">
            <v>36.138488770000002</v>
          </cell>
        </row>
        <row r="3480">
          <cell r="L3480" t="str">
            <v>الغفر</v>
          </cell>
          <cell r="M3480" t="str">
            <v>C4175</v>
          </cell>
          <cell r="AC3480">
            <v>36.456726070000002</v>
          </cell>
          <cell r="AD3480">
            <v>35.938110350000002</v>
          </cell>
        </row>
        <row r="3481">
          <cell r="L3481" t="str">
            <v>أرمناز</v>
          </cell>
          <cell r="M3481" t="str">
            <v>C4176</v>
          </cell>
          <cell r="AC3481">
            <v>36.5020752</v>
          </cell>
          <cell r="AD3481">
            <v>36.08410645</v>
          </cell>
        </row>
        <row r="3482">
          <cell r="L3482" t="str">
            <v>القنيطرة</v>
          </cell>
          <cell r="M3482" t="str">
            <v>C4177</v>
          </cell>
          <cell r="AC3482">
            <v>36.529724119999997</v>
          </cell>
          <cell r="AD3482">
            <v>35.982482910000002</v>
          </cell>
        </row>
        <row r="3483">
          <cell r="L3483" t="str">
            <v>حفسرجة</v>
          </cell>
          <cell r="M3483" t="str">
            <v>C4178</v>
          </cell>
          <cell r="AC3483">
            <v>36.52850342</v>
          </cell>
          <cell r="AD3483">
            <v>36.018127440000001</v>
          </cell>
        </row>
        <row r="3484">
          <cell r="L3484" t="str">
            <v>الشيخ يوسف</v>
          </cell>
          <cell r="M3484" t="str">
            <v>C4179</v>
          </cell>
          <cell r="AC3484">
            <v>36.511108399999998</v>
          </cell>
          <cell r="AD3484">
            <v>35.967712400000003</v>
          </cell>
        </row>
        <row r="3485">
          <cell r="L3485" t="str">
            <v>بيرة ارمناز</v>
          </cell>
          <cell r="M3485" t="str">
            <v>C4180</v>
          </cell>
          <cell r="AC3485">
            <v>36.48712158</v>
          </cell>
          <cell r="AD3485">
            <v>36.034118650000003</v>
          </cell>
        </row>
        <row r="3486">
          <cell r="L3486" t="str">
            <v>بسليا</v>
          </cell>
          <cell r="M3486" t="str">
            <v>C4181</v>
          </cell>
          <cell r="AC3486">
            <v>36.506286619999997</v>
          </cell>
          <cell r="AD3486">
            <v>35.970520020000002</v>
          </cell>
        </row>
        <row r="3487">
          <cell r="L3487" t="str">
            <v>الدويلة</v>
          </cell>
          <cell r="M3487" t="str">
            <v>C4182</v>
          </cell>
          <cell r="AC3487">
            <v>36.452270509999998</v>
          </cell>
          <cell r="AD3487">
            <v>36.048706060000001</v>
          </cell>
        </row>
        <row r="3488">
          <cell r="L3488" t="str">
            <v>كوارو_أم الرياح</v>
          </cell>
          <cell r="M3488" t="str">
            <v>C4183</v>
          </cell>
          <cell r="AC3488">
            <v>36.468078609999999</v>
          </cell>
          <cell r="AD3488">
            <v>36.017272949999999</v>
          </cell>
        </row>
        <row r="3489">
          <cell r="L3489" t="str">
            <v>ملس</v>
          </cell>
          <cell r="M3489" t="str">
            <v>C4184</v>
          </cell>
          <cell r="AC3489">
            <v>36.487670899999998</v>
          </cell>
          <cell r="AD3489">
            <v>36.005126949999998</v>
          </cell>
        </row>
        <row r="3490">
          <cell r="L3490" t="str">
            <v>كبته</v>
          </cell>
          <cell r="M3490" t="str">
            <v>C4185</v>
          </cell>
          <cell r="AC3490">
            <v>36.467712400000003</v>
          </cell>
          <cell r="AD3490">
            <v>35.982116699999999</v>
          </cell>
        </row>
        <row r="3491">
          <cell r="L3491" t="str">
            <v>شيخ سنديان فوقاني</v>
          </cell>
          <cell r="M3491" t="str">
            <v>C4186</v>
          </cell>
          <cell r="AC3491">
            <v>36.283081060000001</v>
          </cell>
          <cell r="AD3491">
            <v>35.754272460000003</v>
          </cell>
        </row>
        <row r="3492">
          <cell r="L3492" t="str">
            <v>المشيرفة</v>
          </cell>
          <cell r="M3492" t="str">
            <v>C4187</v>
          </cell>
          <cell r="AC3492">
            <v>36.391479490000002</v>
          </cell>
          <cell r="AD3492">
            <v>35.765075680000002</v>
          </cell>
        </row>
        <row r="3493">
          <cell r="L3493" t="str">
            <v>حللوز</v>
          </cell>
          <cell r="M3493" t="str">
            <v>C4188</v>
          </cell>
          <cell r="AC3493">
            <v>36.274108890000001</v>
          </cell>
          <cell r="AD3493">
            <v>35.783081060000001</v>
          </cell>
        </row>
        <row r="3494">
          <cell r="L3494" t="str">
            <v>سلي</v>
          </cell>
          <cell r="M3494" t="str">
            <v>C4189</v>
          </cell>
          <cell r="AC3494">
            <v>36.379272460000003</v>
          </cell>
          <cell r="AD3494">
            <v>35.759521479999997</v>
          </cell>
        </row>
        <row r="3495">
          <cell r="L3495" t="str">
            <v>المعلقة_بشلامون</v>
          </cell>
          <cell r="M3495" t="str">
            <v>C4190</v>
          </cell>
          <cell r="AC3495">
            <v>36.367919919999999</v>
          </cell>
          <cell r="AD3495">
            <v>35.799072270000003</v>
          </cell>
        </row>
        <row r="3496">
          <cell r="L3496" t="str">
            <v>بلميس</v>
          </cell>
          <cell r="M3496" t="str">
            <v>C4191</v>
          </cell>
          <cell r="AC3496">
            <v>36.370727539999997</v>
          </cell>
          <cell r="AD3496">
            <v>35.88671875</v>
          </cell>
        </row>
        <row r="3497">
          <cell r="L3497" t="str">
            <v>الصالحية</v>
          </cell>
          <cell r="M3497" t="str">
            <v>C4192</v>
          </cell>
          <cell r="AC3497">
            <v>36.306518560000001</v>
          </cell>
          <cell r="AD3497">
            <v>35.799072270000003</v>
          </cell>
        </row>
        <row r="3498">
          <cell r="L3498" t="str">
            <v>البشيرية_بللو</v>
          </cell>
          <cell r="M3498" t="str">
            <v>C4193</v>
          </cell>
          <cell r="AC3498">
            <v>36.406921390000001</v>
          </cell>
          <cell r="AD3498">
            <v>35.853271479999997</v>
          </cell>
        </row>
        <row r="3499">
          <cell r="L3499" t="str">
            <v>ام الريش</v>
          </cell>
          <cell r="M3499" t="str">
            <v>C4194</v>
          </cell>
          <cell r="AC3499">
            <v>36.397094729999999</v>
          </cell>
          <cell r="AD3499">
            <v>35.894714360000002</v>
          </cell>
        </row>
        <row r="3500">
          <cell r="L3500" t="str">
            <v>بطيباط</v>
          </cell>
          <cell r="M3500" t="str">
            <v>C4195</v>
          </cell>
          <cell r="AC3500">
            <v>36.277893069999998</v>
          </cell>
          <cell r="AD3500">
            <v>35.805114750000001</v>
          </cell>
        </row>
        <row r="3501">
          <cell r="L3501" t="str">
            <v>المنطار</v>
          </cell>
          <cell r="M3501" t="str">
            <v>C4196</v>
          </cell>
          <cell r="AC3501">
            <v>36.37268066</v>
          </cell>
          <cell r="AD3501">
            <v>35.765930179999998</v>
          </cell>
        </row>
        <row r="3502">
          <cell r="L3502" t="str">
            <v>شغور فوقاني</v>
          </cell>
          <cell r="M3502" t="str">
            <v>C4197</v>
          </cell>
          <cell r="AC3502">
            <v>36.282470699999998</v>
          </cell>
          <cell r="AD3502">
            <v>35.85131836</v>
          </cell>
        </row>
        <row r="3503">
          <cell r="L3503" t="str">
            <v>اشتبرق</v>
          </cell>
          <cell r="M3503" t="str">
            <v>C4198</v>
          </cell>
          <cell r="AC3503">
            <v>36.295104979999998</v>
          </cell>
          <cell r="AD3503">
            <v>35.791687009999997</v>
          </cell>
        </row>
        <row r="3504">
          <cell r="L3504" t="str">
            <v>جسر الشغور</v>
          </cell>
          <cell r="M3504" t="str">
            <v>C4199</v>
          </cell>
          <cell r="AC3504">
            <v>36.314880369999997</v>
          </cell>
          <cell r="AD3504">
            <v>35.814270020000002</v>
          </cell>
        </row>
        <row r="3505">
          <cell r="L3505" t="str">
            <v>بزيت</v>
          </cell>
          <cell r="M3505" t="str">
            <v>C4200</v>
          </cell>
          <cell r="AC3505">
            <v>36.398315429999997</v>
          </cell>
          <cell r="AD3505">
            <v>35.789123539999999</v>
          </cell>
        </row>
        <row r="3506">
          <cell r="L3506" t="str">
            <v>بكفلا</v>
          </cell>
          <cell r="M3506" t="str">
            <v>C4201</v>
          </cell>
          <cell r="AC3506">
            <v>36.294921879999997</v>
          </cell>
          <cell r="AD3506">
            <v>35.86212158</v>
          </cell>
        </row>
        <row r="3507">
          <cell r="L3507" t="str">
            <v>عين الحمرا</v>
          </cell>
          <cell r="M3507" t="str">
            <v>C4202</v>
          </cell>
          <cell r="AC3507">
            <v>36.427673339999998</v>
          </cell>
          <cell r="AD3507">
            <v>35.770874020000001</v>
          </cell>
        </row>
        <row r="3508">
          <cell r="L3508" t="str">
            <v>الغسانية</v>
          </cell>
          <cell r="M3508" t="str">
            <v>C4203</v>
          </cell>
          <cell r="AC3508">
            <v>36.261108399999998</v>
          </cell>
          <cell r="AD3508">
            <v>35.814270020000002</v>
          </cell>
        </row>
        <row r="3509">
          <cell r="L3509" t="str">
            <v>عين السودة</v>
          </cell>
          <cell r="M3509" t="str">
            <v>C4204</v>
          </cell>
          <cell r="AC3509">
            <v>36.342529300000002</v>
          </cell>
          <cell r="AD3509">
            <v>35.831909179999997</v>
          </cell>
        </row>
        <row r="3510">
          <cell r="L3510" t="str">
            <v>الكفير</v>
          </cell>
          <cell r="M3510" t="str">
            <v>C4205</v>
          </cell>
          <cell r="AC3510">
            <v>36.322082520000002</v>
          </cell>
          <cell r="AD3510">
            <v>35.7833252</v>
          </cell>
        </row>
        <row r="3511">
          <cell r="L3511" t="str">
            <v>القيسية</v>
          </cell>
          <cell r="M3511" t="str">
            <v>C4206</v>
          </cell>
          <cell r="AC3511">
            <v>36.398498539999999</v>
          </cell>
          <cell r="AD3511">
            <v>35.820495610000002</v>
          </cell>
        </row>
        <row r="3512">
          <cell r="L3512" t="str">
            <v>العالية</v>
          </cell>
          <cell r="M3512" t="str">
            <v>C4207</v>
          </cell>
          <cell r="AC3512">
            <v>36.26470947</v>
          </cell>
          <cell r="AD3512">
            <v>35.797485350000002</v>
          </cell>
        </row>
        <row r="3513">
          <cell r="L3513" t="str">
            <v>جنة القرى</v>
          </cell>
          <cell r="M3513" t="str">
            <v>C4208</v>
          </cell>
          <cell r="AC3513">
            <v>36.408874509999997</v>
          </cell>
          <cell r="AD3513">
            <v>35.754089360000002</v>
          </cell>
        </row>
        <row r="3514">
          <cell r="L3514" t="str">
            <v>غانية</v>
          </cell>
          <cell r="M3514" t="str">
            <v>C4209</v>
          </cell>
          <cell r="AC3514">
            <v>36.29412842</v>
          </cell>
          <cell r="AD3514">
            <v>35.763916020000003</v>
          </cell>
        </row>
        <row r="3515">
          <cell r="L3515" t="str">
            <v>السكرية</v>
          </cell>
          <cell r="M3515" t="str">
            <v>C4210</v>
          </cell>
          <cell r="AC3515">
            <v>36.395874020000001</v>
          </cell>
          <cell r="AD3515">
            <v>35.805114750000001</v>
          </cell>
        </row>
        <row r="3516">
          <cell r="L3516" t="str">
            <v>سبيلة</v>
          </cell>
          <cell r="M3516" t="str">
            <v>C4211</v>
          </cell>
          <cell r="AC3516">
            <v>36.416076660000002</v>
          </cell>
          <cell r="AD3516">
            <v>35.875122070000003</v>
          </cell>
        </row>
        <row r="3517">
          <cell r="L3517" t="str">
            <v>المرج الأخضر الغربي</v>
          </cell>
          <cell r="M3517" t="str">
            <v>C4212</v>
          </cell>
          <cell r="AC3517">
            <v>36.371704100000002</v>
          </cell>
          <cell r="AD3517">
            <v>35.861083979999997</v>
          </cell>
        </row>
        <row r="3518">
          <cell r="L3518" t="str">
            <v>أم الغار</v>
          </cell>
          <cell r="M3518" t="str">
            <v>C4213</v>
          </cell>
          <cell r="AC3518">
            <v>36.256103520000003</v>
          </cell>
          <cell r="AD3518">
            <v>35.778320309999998</v>
          </cell>
        </row>
        <row r="3519">
          <cell r="L3519" t="str">
            <v>الدغالي</v>
          </cell>
          <cell r="M3519" t="str">
            <v>C4214</v>
          </cell>
          <cell r="AC3519">
            <v>36.397094729999999</v>
          </cell>
          <cell r="AD3519">
            <v>35.907470699999998</v>
          </cell>
        </row>
        <row r="3520">
          <cell r="L3520" t="str">
            <v>المرج الأخضر الشرقي</v>
          </cell>
          <cell r="M3520" t="str">
            <v>C4215</v>
          </cell>
          <cell r="AC3520">
            <v>36.38787842</v>
          </cell>
          <cell r="AD3520">
            <v>35.855285649999999</v>
          </cell>
        </row>
        <row r="3521">
          <cell r="L3521" t="str">
            <v>الحسينية</v>
          </cell>
          <cell r="M3521" t="str">
            <v>C4216</v>
          </cell>
          <cell r="AC3521">
            <v>36.260681150000003</v>
          </cell>
          <cell r="AD3521">
            <v>35.84490967</v>
          </cell>
        </row>
        <row r="3522">
          <cell r="L3522" t="str">
            <v>تل اعور</v>
          </cell>
          <cell r="M3522" t="str">
            <v>C4217</v>
          </cell>
          <cell r="AC3522">
            <v>36.385681150000003</v>
          </cell>
          <cell r="AD3522">
            <v>35.73712158</v>
          </cell>
        </row>
        <row r="3523">
          <cell r="L3523" t="str">
            <v>تل حمكي</v>
          </cell>
          <cell r="M3523" t="str">
            <v>C4218</v>
          </cell>
          <cell r="AC3523">
            <v>36.390686039999999</v>
          </cell>
          <cell r="AD3523">
            <v>35.74908447</v>
          </cell>
        </row>
        <row r="3524">
          <cell r="L3524" t="str">
            <v>فريكة</v>
          </cell>
          <cell r="M3524" t="str">
            <v>C4219</v>
          </cell>
          <cell r="AC3524">
            <v>36.359680179999998</v>
          </cell>
          <cell r="AD3524">
            <v>35.757080080000001</v>
          </cell>
        </row>
        <row r="3525">
          <cell r="L3525" t="str">
            <v>وطبة</v>
          </cell>
          <cell r="M3525" t="str">
            <v>C4220</v>
          </cell>
          <cell r="AC3525">
            <v>36.4083252</v>
          </cell>
          <cell r="AD3525">
            <v>35.810302729999997</v>
          </cell>
        </row>
        <row r="3526">
          <cell r="L3526" t="str">
            <v>مرج الزهور</v>
          </cell>
          <cell r="M3526" t="str">
            <v>C4221</v>
          </cell>
          <cell r="AC3526">
            <v>36.365112310000001</v>
          </cell>
          <cell r="AD3526">
            <v>35.743530270000001</v>
          </cell>
        </row>
        <row r="3527">
          <cell r="L3527" t="str">
            <v>كنيسة نخلة</v>
          </cell>
          <cell r="M3527" t="str">
            <v>C4222</v>
          </cell>
          <cell r="AC3527">
            <v>36.376892089999998</v>
          </cell>
          <cell r="AD3527">
            <v>35.823120119999999</v>
          </cell>
        </row>
        <row r="3528">
          <cell r="L3528" t="str">
            <v>بكسريا</v>
          </cell>
          <cell r="M3528" t="str">
            <v>C4223</v>
          </cell>
          <cell r="AC3528">
            <v>36.21368408</v>
          </cell>
          <cell r="AD3528">
            <v>35.871276860000002</v>
          </cell>
        </row>
        <row r="3529">
          <cell r="L3529" t="str">
            <v>تفاحية</v>
          </cell>
          <cell r="M3529" t="str">
            <v>C4224</v>
          </cell>
          <cell r="AC3529">
            <v>36.154724119999997</v>
          </cell>
          <cell r="AD3529">
            <v>35.789916990000002</v>
          </cell>
        </row>
        <row r="3530">
          <cell r="L3530" t="str">
            <v>اليونسية</v>
          </cell>
          <cell r="M3530" t="str">
            <v>C4225</v>
          </cell>
          <cell r="AC3530">
            <v>36.159728999999999</v>
          </cell>
          <cell r="AD3530">
            <v>35.798889160000002</v>
          </cell>
        </row>
        <row r="3531">
          <cell r="L3531" t="str">
            <v>بداما</v>
          </cell>
          <cell r="M3531" t="str">
            <v>C4226</v>
          </cell>
          <cell r="AC3531">
            <v>36.197326660000002</v>
          </cell>
          <cell r="AD3531">
            <v>35.812072749999999</v>
          </cell>
        </row>
        <row r="3532">
          <cell r="L3532" t="str">
            <v>ارملا</v>
          </cell>
          <cell r="M3532" t="str">
            <v>C4227</v>
          </cell>
          <cell r="AC3532">
            <v>36.218872070000003</v>
          </cell>
          <cell r="AD3532">
            <v>35.899108890000001</v>
          </cell>
        </row>
        <row r="3533">
          <cell r="L3533" t="str">
            <v>حنبوشية</v>
          </cell>
          <cell r="M3533" t="str">
            <v>C4228</v>
          </cell>
          <cell r="AC3533">
            <v>36.19049072</v>
          </cell>
          <cell r="AD3533">
            <v>35.835876470000002</v>
          </cell>
        </row>
        <row r="3534">
          <cell r="L3534" t="str">
            <v>عين البيضا</v>
          </cell>
          <cell r="M3534" t="str">
            <v>C4229</v>
          </cell>
          <cell r="AC3534">
            <v>36.180480959999997</v>
          </cell>
          <cell r="AD3534">
            <v>35.861083979999997</v>
          </cell>
        </row>
        <row r="3535">
          <cell r="L3535" t="str">
            <v>الكندة</v>
          </cell>
          <cell r="M3535" t="str">
            <v>C4230</v>
          </cell>
          <cell r="AC3535">
            <v>36.207885740000002</v>
          </cell>
          <cell r="AD3535">
            <v>35.765075680000002</v>
          </cell>
        </row>
        <row r="3536">
          <cell r="L3536" t="str">
            <v>خربة الجوز</v>
          </cell>
          <cell r="M3536" t="str">
            <v>C4231</v>
          </cell>
          <cell r="AC3536">
            <v>36.191101070000002</v>
          </cell>
          <cell r="AD3536">
            <v>35.903076169999999</v>
          </cell>
        </row>
        <row r="3537">
          <cell r="L3537" t="str">
            <v>الشاتورية</v>
          </cell>
          <cell r="M3537" t="str">
            <v>C4232</v>
          </cell>
          <cell r="AC3537">
            <v>36.233886720000001</v>
          </cell>
          <cell r="AD3537">
            <v>35.860900880000003</v>
          </cell>
        </row>
        <row r="3538">
          <cell r="L3538" t="str">
            <v>الناجية</v>
          </cell>
          <cell r="M3538" t="str">
            <v>C4233</v>
          </cell>
          <cell r="AC3538">
            <v>36.214294430000002</v>
          </cell>
          <cell r="AD3538">
            <v>35.791503910000003</v>
          </cell>
        </row>
        <row r="3539">
          <cell r="L3539" t="str">
            <v>الرملية</v>
          </cell>
          <cell r="M3539" t="str">
            <v>C4234</v>
          </cell>
          <cell r="AC3539">
            <v>36.21392822</v>
          </cell>
          <cell r="AD3539">
            <v>35.919677729999997</v>
          </cell>
        </row>
        <row r="3540">
          <cell r="L3540" t="str">
            <v>مرعند</v>
          </cell>
          <cell r="M3540" t="str">
            <v>C4235</v>
          </cell>
          <cell r="AC3540">
            <v>36.224487310000001</v>
          </cell>
          <cell r="AD3540">
            <v>35.777526860000002</v>
          </cell>
        </row>
        <row r="3541">
          <cell r="L3541" t="str">
            <v>السوادية_نبهان</v>
          </cell>
          <cell r="M3541" t="str">
            <v>C4236</v>
          </cell>
          <cell r="AC3541">
            <v>36.421875</v>
          </cell>
          <cell r="AD3541">
            <v>35.952514649999998</v>
          </cell>
        </row>
        <row r="3542">
          <cell r="L3542" t="str">
            <v>طورين</v>
          </cell>
          <cell r="M3542" t="str">
            <v>C4237</v>
          </cell>
          <cell r="AC3542">
            <v>36.434692380000001</v>
          </cell>
          <cell r="AD3542">
            <v>35.98828125</v>
          </cell>
        </row>
        <row r="3543">
          <cell r="L3543" t="str">
            <v>زرزور</v>
          </cell>
          <cell r="M3543" t="str">
            <v>C4238</v>
          </cell>
          <cell r="AC3543">
            <v>36.340515140000001</v>
          </cell>
          <cell r="AD3543">
            <v>35.954528809999999</v>
          </cell>
        </row>
        <row r="3544">
          <cell r="L3544" t="str">
            <v>دير عثمان</v>
          </cell>
          <cell r="M3544" t="str">
            <v>C4239</v>
          </cell>
          <cell r="AC3544">
            <v>36.319702149999998</v>
          </cell>
          <cell r="AD3544">
            <v>35.974487310000001</v>
          </cell>
        </row>
        <row r="3545">
          <cell r="L3545" t="str">
            <v>الغزالة_مغيدلة</v>
          </cell>
          <cell r="M3545" t="str">
            <v>C4240</v>
          </cell>
          <cell r="AC3545">
            <v>36.389526369999999</v>
          </cell>
          <cell r="AD3545">
            <v>36.027526860000002</v>
          </cell>
        </row>
        <row r="3546">
          <cell r="L3546" t="str">
            <v>الجميلية</v>
          </cell>
          <cell r="M3546" t="str">
            <v>C4241</v>
          </cell>
          <cell r="AC3546">
            <v>36.336914059999998</v>
          </cell>
          <cell r="AD3546">
            <v>35.980285649999999</v>
          </cell>
        </row>
        <row r="3547">
          <cell r="L3547" t="str">
            <v>الرمادية</v>
          </cell>
          <cell r="M3547" t="str">
            <v>C4242</v>
          </cell>
          <cell r="AC3547">
            <v>36.398498539999999</v>
          </cell>
          <cell r="AD3547">
            <v>36.034728999999999</v>
          </cell>
        </row>
        <row r="3548">
          <cell r="L3548" t="str">
            <v>المعزولة</v>
          </cell>
          <cell r="M3548" t="str">
            <v>C4243</v>
          </cell>
          <cell r="AC3548">
            <v>36.441894529999999</v>
          </cell>
          <cell r="AD3548">
            <v>35.904479979999998</v>
          </cell>
        </row>
        <row r="3549">
          <cell r="L3549" t="str">
            <v>المطلة_بطلايا</v>
          </cell>
          <cell r="M3549" t="str">
            <v>C4244</v>
          </cell>
          <cell r="AC3549">
            <v>36.407470699999998</v>
          </cell>
          <cell r="AD3549">
            <v>35.891113279999999</v>
          </cell>
        </row>
        <row r="3550">
          <cell r="L3550" t="str">
            <v>عامود</v>
          </cell>
          <cell r="M3550" t="str">
            <v>C4245</v>
          </cell>
          <cell r="AC3550">
            <v>36.36212158</v>
          </cell>
          <cell r="AD3550">
            <v>35.969482419999999</v>
          </cell>
        </row>
        <row r="3551">
          <cell r="L3551" t="str">
            <v>السعدية_بسندتيا</v>
          </cell>
          <cell r="M3551" t="str">
            <v>C4246</v>
          </cell>
          <cell r="AC3551">
            <v>36.42071533</v>
          </cell>
          <cell r="AD3551">
            <v>35.939514160000002</v>
          </cell>
        </row>
        <row r="3552">
          <cell r="L3552" t="str">
            <v>الظهر</v>
          </cell>
          <cell r="M3552" t="str">
            <v>C4247</v>
          </cell>
          <cell r="AC3552">
            <v>36.429321289999997</v>
          </cell>
          <cell r="AD3552">
            <v>35.968872070000003</v>
          </cell>
        </row>
        <row r="3553">
          <cell r="L3553" t="str">
            <v>العدنانية_فرجين</v>
          </cell>
          <cell r="M3553" t="str">
            <v>C4248</v>
          </cell>
          <cell r="AC3553">
            <v>36.299926759999998</v>
          </cell>
          <cell r="AD3553">
            <v>35.977294919999999</v>
          </cell>
        </row>
        <row r="3554">
          <cell r="L3554" t="str">
            <v>الدرية</v>
          </cell>
          <cell r="M3554" t="str">
            <v>C4249</v>
          </cell>
          <cell r="AC3554">
            <v>36.309692380000001</v>
          </cell>
          <cell r="AD3554">
            <v>35.993286130000001</v>
          </cell>
        </row>
        <row r="3555">
          <cell r="L3555" t="str">
            <v>الزهراء_خربة عامود</v>
          </cell>
          <cell r="M3555" t="str">
            <v>C4250</v>
          </cell>
          <cell r="AC3555">
            <v>36.379882809999998</v>
          </cell>
          <cell r="AD3555">
            <v>35.982299810000001</v>
          </cell>
        </row>
        <row r="3556">
          <cell r="L3556" t="str">
            <v>الشيخ عيسى العاشوري</v>
          </cell>
          <cell r="M3556" t="str">
            <v>C4251</v>
          </cell>
          <cell r="AC3556">
            <v>36.417480470000001</v>
          </cell>
          <cell r="AD3556">
            <v>35.974487310000001</v>
          </cell>
        </row>
        <row r="3557">
          <cell r="L3557" t="str">
            <v>دركوش</v>
          </cell>
          <cell r="M3557" t="str">
            <v>C4252</v>
          </cell>
          <cell r="AC3557">
            <v>36.393493650000003</v>
          </cell>
          <cell r="AD3557">
            <v>35.992492679999998</v>
          </cell>
        </row>
        <row r="3558">
          <cell r="L3558" t="str">
            <v>الزنبقي</v>
          </cell>
          <cell r="M3558" t="str">
            <v>C4253</v>
          </cell>
          <cell r="AC3558">
            <v>36.375488279999999</v>
          </cell>
          <cell r="AD3558">
            <v>36.008483890000001</v>
          </cell>
        </row>
        <row r="3559">
          <cell r="L3559" t="str">
            <v>مريمين</v>
          </cell>
          <cell r="M3559" t="str">
            <v>C4254</v>
          </cell>
          <cell r="AC3559">
            <v>36.415710449999999</v>
          </cell>
          <cell r="AD3559">
            <v>35.920471190000001</v>
          </cell>
        </row>
        <row r="3560">
          <cell r="L3560" t="str">
            <v>الجانودية</v>
          </cell>
          <cell r="M3560" t="str">
            <v>C4255</v>
          </cell>
          <cell r="AC3560">
            <v>36.291503910000003</v>
          </cell>
          <cell r="AD3560">
            <v>35.882873539999999</v>
          </cell>
        </row>
        <row r="3561">
          <cell r="L3561" t="str">
            <v>اليعقوبية</v>
          </cell>
          <cell r="M3561" t="str">
            <v>C4256</v>
          </cell>
          <cell r="AC3561">
            <v>36.314514160000002</v>
          </cell>
          <cell r="AD3561">
            <v>35.921875</v>
          </cell>
        </row>
        <row r="3562">
          <cell r="L3562" t="str">
            <v>الحسانية_هتيا</v>
          </cell>
          <cell r="M3562" t="str">
            <v>C4257</v>
          </cell>
          <cell r="AC3562">
            <v>36.280700680000002</v>
          </cell>
          <cell r="AD3562">
            <v>35.946716309999999</v>
          </cell>
        </row>
        <row r="3563">
          <cell r="L3563" t="str">
            <v>القادرية_قيقون</v>
          </cell>
          <cell r="M3563" t="str">
            <v>C4258</v>
          </cell>
          <cell r="AC3563">
            <v>36.309875490000003</v>
          </cell>
          <cell r="AD3563">
            <v>35.899108890000001</v>
          </cell>
        </row>
        <row r="3564">
          <cell r="L3564" t="str">
            <v>الملند</v>
          </cell>
          <cell r="M3564" t="str">
            <v>C4259</v>
          </cell>
          <cell r="AC3564">
            <v>36.274902339999997</v>
          </cell>
          <cell r="AD3564">
            <v>35.923522949999999</v>
          </cell>
        </row>
        <row r="3565">
          <cell r="L3565" t="str">
            <v>القنية</v>
          </cell>
          <cell r="M3565" t="str">
            <v>C4260</v>
          </cell>
          <cell r="AC3565">
            <v>36.319274900000003</v>
          </cell>
          <cell r="AD3565">
            <v>35.92211914</v>
          </cell>
        </row>
        <row r="3566">
          <cell r="L3566" t="str">
            <v>المضيئة_لوكسين</v>
          </cell>
          <cell r="M3566" t="str">
            <v>C4261</v>
          </cell>
          <cell r="AC3566">
            <v>36.314270020000002</v>
          </cell>
          <cell r="AD3566">
            <v>35.942687990000003</v>
          </cell>
        </row>
        <row r="3567">
          <cell r="L3567" t="str">
            <v>الناصرة</v>
          </cell>
          <cell r="M3567" t="str">
            <v>C4262</v>
          </cell>
          <cell r="AC3567">
            <v>36.259277339999997</v>
          </cell>
          <cell r="AD3567">
            <v>35.96069336</v>
          </cell>
        </row>
        <row r="3568">
          <cell r="L3568" t="str">
            <v>الفوز_الزوف</v>
          </cell>
          <cell r="M3568" t="str">
            <v>C4263</v>
          </cell>
          <cell r="AC3568">
            <v>36.234497070000003</v>
          </cell>
          <cell r="AD3568">
            <v>35.941711429999998</v>
          </cell>
        </row>
        <row r="3569">
          <cell r="L3569" t="str">
            <v>الطيبة_كترين</v>
          </cell>
          <cell r="M3569" t="str">
            <v>C4264</v>
          </cell>
          <cell r="AC3569">
            <v>36.257324220000001</v>
          </cell>
          <cell r="AD3569">
            <v>35.914123539999999</v>
          </cell>
        </row>
        <row r="3570">
          <cell r="L3570" t="str">
            <v>جديدة الجسر</v>
          </cell>
          <cell r="M3570" t="str">
            <v>C4265</v>
          </cell>
          <cell r="AC3570">
            <v>36.29272461</v>
          </cell>
          <cell r="AD3570">
            <v>35.928710940000002</v>
          </cell>
        </row>
        <row r="3571">
          <cell r="L3571" t="str">
            <v>آذار</v>
          </cell>
          <cell r="M3571" t="str">
            <v>C4266</v>
          </cell>
          <cell r="AC3571">
            <v>36.245910649999999</v>
          </cell>
          <cell r="AD3571">
            <v>35.913696289999997</v>
          </cell>
        </row>
        <row r="3572">
          <cell r="L3572" t="str">
            <v>الحمامة_كفر دبين</v>
          </cell>
          <cell r="M3572" t="str">
            <v>C4267</v>
          </cell>
          <cell r="AC3572">
            <v>36.357299810000001</v>
          </cell>
          <cell r="AD3572">
            <v>35.923278809999999</v>
          </cell>
        </row>
        <row r="3573">
          <cell r="L3573" t="str">
            <v>بزابور</v>
          </cell>
          <cell r="M3573" t="str">
            <v>C4268</v>
          </cell>
          <cell r="AC3573">
            <v>36.615112310000001</v>
          </cell>
          <cell r="AD3573">
            <v>35.775878910000003</v>
          </cell>
        </row>
        <row r="3574">
          <cell r="L3574" t="str">
            <v>أورم الجوز</v>
          </cell>
          <cell r="M3574" t="str">
            <v>C4269</v>
          </cell>
          <cell r="AC3574">
            <v>36.567077640000001</v>
          </cell>
          <cell r="AD3574">
            <v>35.791320800000001</v>
          </cell>
        </row>
        <row r="3575">
          <cell r="L3575" t="str">
            <v>ابقللي</v>
          </cell>
          <cell r="M3575" t="str">
            <v>C4270</v>
          </cell>
          <cell r="AC3575">
            <v>36.631530759999997</v>
          </cell>
          <cell r="AD3575">
            <v>35.768493650000003</v>
          </cell>
        </row>
        <row r="3576">
          <cell r="L3576" t="str">
            <v>باب الله</v>
          </cell>
          <cell r="M3576" t="str">
            <v>C4271</v>
          </cell>
          <cell r="AC3576">
            <v>36.521484379999997</v>
          </cell>
          <cell r="AD3576">
            <v>35.850708009999998</v>
          </cell>
        </row>
        <row r="3577">
          <cell r="L3577" t="str">
            <v>الظاهرية</v>
          </cell>
          <cell r="M3577" t="str">
            <v>C4272</v>
          </cell>
          <cell r="AC3577">
            <v>36.516296390000001</v>
          </cell>
          <cell r="AD3577">
            <v>35.871276860000002</v>
          </cell>
        </row>
        <row r="3578">
          <cell r="L3578" t="str">
            <v>سرجة</v>
          </cell>
          <cell r="M3578" t="str">
            <v>C4273</v>
          </cell>
          <cell r="AC3578">
            <v>36.626892089999998</v>
          </cell>
          <cell r="AD3578">
            <v>35.757507320000002</v>
          </cell>
        </row>
        <row r="3579">
          <cell r="L3579" t="str">
            <v>بنين</v>
          </cell>
          <cell r="M3579" t="str">
            <v>C4274</v>
          </cell>
          <cell r="AC3579">
            <v>36.640075680000002</v>
          </cell>
          <cell r="AD3579">
            <v>35.709716800000002</v>
          </cell>
        </row>
        <row r="3580">
          <cell r="L3580" t="str">
            <v>شنان</v>
          </cell>
          <cell r="M3580" t="str">
            <v>C4275</v>
          </cell>
          <cell r="AC3580">
            <v>36.610107419999999</v>
          </cell>
          <cell r="AD3580">
            <v>35.737670899999998</v>
          </cell>
        </row>
        <row r="3581">
          <cell r="L3581" t="str">
            <v>برجهاب</v>
          </cell>
          <cell r="M3581" t="str">
            <v>C4276</v>
          </cell>
          <cell r="AC3581">
            <v>36.536499020000001</v>
          </cell>
          <cell r="AD3581">
            <v>35.88372803</v>
          </cell>
        </row>
        <row r="3582">
          <cell r="L3582" t="str">
            <v>ابنه</v>
          </cell>
          <cell r="M3582" t="str">
            <v>C4277</v>
          </cell>
          <cell r="AC3582">
            <v>36.631713869999999</v>
          </cell>
          <cell r="AD3582">
            <v>35.776489259999998</v>
          </cell>
        </row>
        <row r="3583">
          <cell r="L3583" t="str">
            <v>أريحا</v>
          </cell>
          <cell r="M3583" t="str">
            <v>C4278</v>
          </cell>
          <cell r="AC3583">
            <v>36.61029053</v>
          </cell>
          <cell r="AD3583">
            <v>35.81408691</v>
          </cell>
        </row>
        <row r="3584">
          <cell r="L3584" t="str">
            <v>معرزاف</v>
          </cell>
          <cell r="M3584" t="str">
            <v>C4279</v>
          </cell>
          <cell r="AC3584">
            <v>36.652282720000002</v>
          </cell>
          <cell r="AD3584">
            <v>35.788879399999999</v>
          </cell>
        </row>
        <row r="3585">
          <cell r="L3585" t="str">
            <v>مجدليا</v>
          </cell>
          <cell r="M3585" t="str">
            <v>C4280</v>
          </cell>
          <cell r="AC3585">
            <v>36.681701660000002</v>
          </cell>
          <cell r="AD3585">
            <v>35.830505369999997</v>
          </cell>
        </row>
        <row r="3586">
          <cell r="L3586" t="str">
            <v>مصيبين</v>
          </cell>
          <cell r="M3586" t="str">
            <v>C4281</v>
          </cell>
          <cell r="AC3586">
            <v>36.641479490000002</v>
          </cell>
          <cell r="AD3586">
            <v>35.839904789999999</v>
          </cell>
        </row>
        <row r="3587">
          <cell r="L3587" t="str">
            <v>كفرزيبا</v>
          </cell>
          <cell r="M3587" t="str">
            <v>C4282</v>
          </cell>
          <cell r="AC3587">
            <v>36.595092770000001</v>
          </cell>
          <cell r="AD3587">
            <v>35.794311520000001</v>
          </cell>
        </row>
        <row r="3588">
          <cell r="L3588" t="str">
            <v>كفرلاته</v>
          </cell>
          <cell r="M3588" t="str">
            <v>C4283</v>
          </cell>
          <cell r="AC3588">
            <v>36.626281740000003</v>
          </cell>
          <cell r="AD3588">
            <v>35.798522949999999</v>
          </cell>
        </row>
        <row r="3589">
          <cell r="L3589" t="str">
            <v>نحلة</v>
          </cell>
          <cell r="M3589" t="str">
            <v>C4284</v>
          </cell>
          <cell r="AC3589">
            <v>36.591491699999999</v>
          </cell>
          <cell r="AD3589">
            <v>35.783081060000001</v>
          </cell>
        </row>
        <row r="3590">
          <cell r="L3590" t="str">
            <v>معربليت</v>
          </cell>
          <cell r="M3590" t="str">
            <v>C4285</v>
          </cell>
          <cell r="AC3590">
            <v>36.660522460000003</v>
          </cell>
          <cell r="AD3590">
            <v>35.808471679999997</v>
          </cell>
        </row>
        <row r="3591">
          <cell r="L3591" t="str">
            <v>نحليا</v>
          </cell>
          <cell r="M3591" t="str">
            <v>C4286</v>
          </cell>
          <cell r="AC3591">
            <v>36.600524900000003</v>
          </cell>
          <cell r="AD3591">
            <v>35.847106930000002</v>
          </cell>
        </row>
        <row r="3592">
          <cell r="L3592" t="str">
            <v>منطف</v>
          </cell>
          <cell r="M3592" t="str">
            <v>C4287</v>
          </cell>
          <cell r="AC3592">
            <v>36.65209961</v>
          </cell>
          <cell r="AD3592">
            <v>35.77709961</v>
          </cell>
        </row>
        <row r="3593">
          <cell r="L3593" t="str">
            <v>كورين</v>
          </cell>
          <cell r="M3593" t="str">
            <v>C4288</v>
          </cell>
          <cell r="AC3593">
            <v>36.56872559</v>
          </cell>
          <cell r="AD3593">
            <v>35.863891600000002</v>
          </cell>
        </row>
        <row r="3594">
          <cell r="L3594" t="str">
            <v>كفر شلايا</v>
          </cell>
          <cell r="M3594" t="str">
            <v>C4289</v>
          </cell>
          <cell r="AC3594">
            <v>36.536926270000002</v>
          </cell>
          <cell r="AD3594">
            <v>35.769714360000002</v>
          </cell>
        </row>
        <row r="3595">
          <cell r="L3595" t="str">
            <v>معترم</v>
          </cell>
          <cell r="M3595" t="str">
            <v>C4290</v>
          </cell>
          <cell r="AC3595">
            <v>36.563293459999997</v>
          </cell>
          <cell r="AD3595">
            <v>35.807922359999999</v>
          </cell>
        </row>
        <row r="3596">
          <cell r="L3596" t="str">
            <v>ابديتا</v>
          </cell>
          <cell r="M3596" t="str">
            <v>C4291</v>
          </cell>
          <cell r="AC3596">
            <v>36.542114259999998</v>
          </cell>
          <cell r="AD3596">
            <v>35.718872070000003</v>
          </cell>
        </row>
        <row r="3597">
          <cell r="L3597" t="str">
            <v>ابلين</v>
          </cell>
          <cell r="M3597" t="str">
            <v>C4292</v>
          </cell>
          <cell r="AC3597">
            <v>36.533081060000001</v>
          </cell>
          <cell r="AD3597">
            <v>35.715881349999997</v>
          </cell>
        </row>
        <row r="3598">
          <cell r="L3598" t="str">
            <v>دير سنبل</v>
          </cell>
          <cell r="M3598" t="str">
            <v>C4293</v>
          </cell>
          <cell r="AC3598">
            <v>36.605529789999999</v>
          </cell>
          <cell r="AD3598">
            <v>35.699279789999999</v>
          </cell>
        </row>
        <row r="3599">
          <cell r="L3599" t="str">
            <v>الرامي</v>
          </cell>
          <cell r="M3599" t="str">
            <v>C4294</v>
          </cell>
          <cell r="AC3599">
            <v>36.556884770000003</v>
          </cell>
          <cell r="AD3599">
            <v>35.76287842</v>
          </cell>
        </row>
        <row r="3600">
          <cell r="L3600" t="str">
            <v>احسم</v>
          </cell>
          <cell r="M3600" t="str">
            <v>C4295</v>
          </cell>
          <cell r="AC3600">
            <v>36.556518560000001</v>
          </cell>
          <cell r="AD3600">
            <v>35.721130369999997</v>
          </cell>
        </row>
        <row r="3601">
          <cell r="L3601" t="str">
            <v>بلشون</v>
          </cell>
          <cell r="M3601" t="str">
            <v>C4296</v>
          </cell>
          <cell r="AC3601">
            <v>36.53607178</v>
          </cell>
          <cell r="AD3601">
            <v>35.726684570000003</v>
          </cell>
        </row>
        <row r="3602">
          <cell r="L3602" t="str">
            <v>بسامس</v>
          </cell>
          <cell r="M3602" t="str">
            <v>C4297</v>
          </cell>
          <cell r="AC3602">
            <v>36.500122070000003</v>
          </cell>
          <cell r="AD3602">
            <v>35.735473630000001</v>
          </cell>
        </row>
        <row r="3603">
          <cell r="L3603" t="str">
            <v>الموزرة</v>
          </cell>
          <cell r="M3603" t="str">
            <v>C4298</v>
          </cell>
          <cell r="AC3603">
            <v>36.439880369999997</v>
          </cell>
          <cell r="AD3603">
            <v>35.657104490000002</v>
          </cell>
        </row>
        <row r="3604">
          <cell r="L3604" t="str">
            <v>عين لاروز</v>
          </cell>
          <cell r="M3604" t="str">
            <v>C4299</v>
          </cell>
          <cell r="AC3604">
            <v>36.445678710000003</v>
          </cell>
          <cell r="AD3604">
            <v>35.688476559999998</v>
          </cell>
        </row>
        <row r="3605">
          <cell r="L3605" t="str">
            <v>المغارة</v>
          </cell>
          <cell r="M3605" t="str">
            <v>C4300</v>
          </cell>
          <cell r="AC3605">
            <v>36.578491210000003</v>
          </cell>
          <cell r="AD3605">
            <v>35.737670899999998</v>
          </cell>
        </row>
        <row r="3606">
          <cell r="L3606" t="str">
            <v>ارنبة</v>
          </cell>
          <cell r="M3606" t="str">
            <v>C4301</v>
          </cell>
          <cell r="AC3606">
            <v>36.458312990000003</v>
          </cell>
          <cell r="AD3606">
            <v>35.701477050000001</v>
          </cell>
        </row>
        <row r="3607">
          <cell r="L3607" t="str">
            <v>بليون</v>
          </cell>
          <cell r="M3607" t="str">
            <v>C4302</v>
          </cell>
          <cell r="AC3607">
            <v>36.503723149999999</v>
          </cell>
          <cell r="AD3607">
            <v>35.696105959999997</v>
          </cell>
        </row>
        <row r="3608">
          <cell r="L3608" t="str">
            <v>جوزف</v>
          </cell>
          <cell r="M3608" t="str">
            <v>C4303</v>
          </cell>
          <cell r="AC3608">
            <v>36.47772217</v>
          </cell>
          <cell r="AD3608">
            <v>35.71850586</v>
          </cell>
        </row>
        <row r="3609">
          <cell r="L3609" t="str">
            <v>البارة</v>
          </cell>
          <cell r="M3609" t="str">
            <v>C4304</v>
          </cell>
          <cell r="AC3609">
            <v>36.541870119999999</v>
          </cell>
          <cell r="AD3609">
            <v>35.685302729999997</v>
          </cell>
        </row>
        <row r="3610">
          <cell r="L3610" t="str">
            <v>فركيا</v>
          </cell>
          <cell r="M3610" t="str">
            <v>C4305</v>
          </cell>
          <cell r="AC3610">
            <v>36.598876949999998</v>
          </cell>
          <cell r="AD3610">
            <v>35.725280759999997</v>
          </cell>
        </row>
        <row r="3611">
          <cell r="L3611" t="str">
            <v>كفر حايا</v>
          </cell>
          <cell r="M3611" t="str">
            <v>C4306</v>
          </cell>
          <cell r="AC3611">
            <v>36.585876470000002</v>
          </cell>
          <cell r="AD3611">
            <v>35.755126949999998</v>
          </cell>
        </row>
        <row r="3612">
          <cell r="L3612" t="str">
            <v>معراتة</v>
          </cell>
          <cell r="M3612" t="str">
            <v>C4307</v>
          </cell>
          <cell r="AC3612">
            <v>36.475708009999998</v>
          </cell>
          <cell r="AD3612">
            <v>35.710876470000002</v>
          </cell>
        </row>
        <row r="3613">
          <cell r="L3613" t="str">
            <v>مرعيان</v>
          </cell>
          <cell r="M3613" t="str">
            <v>C4308</v>
          </cell>
          <cell r="AC3613">
            <v>36.561523440000002</v>
          </cell>
          <cell r="AD3613">
            <v>35.743286130000001</v>
          </cell>
        </row>
        <row r="3614">
          <cell r="L3614" t="str">
            <v>كنصفرة</v>
          </cell>
          <cell r="M3614" t="str">
            <v>C4309</v>
          </cell>
          <cell r="AC3614">
            <v>36.484924319999998</v>
          </cell>
          <cell r="AD3614">
            <v>35.65991211</v>
          </cell>
        </row>
        <row r="3615">
          <cell r="L3615" t="str">
            <v>بيدر شمسو</v>
          </cell>
          <cell r="M3615" t="str">
            <v>C4310</v>
          </cell>
          <cell r="AC3615">
            <v>36.46850586</v>
          </cell>
          <cell r="AD3615">
            <v>35.760498050000002</v>
          </cell>
        </row>
        <row r="3616">
          <cell r="L3616" t="str">
            <v>شاغوريت</v>
          </cell>
          <cell r="M3616" t="str">
            <v>C4311</v>
          </cell>
          <cell r="AC3616">
            <v>36.420104979999998</v>
          </cell>
          <cell r="AD3616">
            <v>35.682922359999999</v>
          </cell>
        </row>
        <row r="3617">
          <cell r="L3617" t="str">
            <v>عرى القبلي_عدوان</v>
          </cell>
          <cell r="M3617" t="str">
            <v>C4312</v>
          </cell>
          <cell r="AC3617">
            <v>36.503112790000003</v>
          </cell>
          <cell r="AD3617">
            <v>35.869689940000001</v>
          </cell>
        </row>
        <row r="3618">
          <cell r="L3618" t="str">
            <v>الكنيسة</v>
          </cell>
          <cell r="M3618" t="str">
            <v>C4313</v>
          </cell>
          <cell r="AC3618">
            <v>36.435729979999998</v>
          </cell>
          <cell r="AD3618">
            <v>35.865478520000003</v>
          </cell>
        </row>
        <row r="3619">
          <cell r="L3619" t="str">
            <v>بالس</v>
          </cell>
          <cell r="M3619" t="str">
            <v>C4314</v>
          </cell>
          <cell r="AC3619">
            <v>36.417907720000002</v>
          </cell>
          <cell r="AD3619">
            <v>35.790100099999997</v>
          </cell>
        </row>
        <row r="3620">
          <cell r="L3620" t="str">
            <v>صراريف</v>
          </cell>
          <cell r="M3620" t="str">
            <v>C4315</v>
          </cell>
          <cell r="AC3620">
            <v>36.400085449999999</v>
          </cell>
          <cell r="AD3620">
            <v>35.73669434</v>
          </cell>
        </row>
        <row r="3621">
          <cell r="L3621" t="str">
            <v>اللج الشمالي</v>
          </cell>
          <cell r="M3621" t="str">
            <v>C4316</v>
          </cell>
          <cell r="AC3621">
            <v>36.42852783</v>
          </cell>
          <cell r="AD3621">
            <v>35.69830322</v>
          </cell>
        </row>
        <row r="3622">
          <cell r="L3622" t="str">
            <v>المطلة أريحا</v>
          </cell>
          <cell r="M3622" t="str">
            <v>C4317</v>
          </cell>
          <cell r="AC3622">
            <v>36.421081540000003</v>
          </cell>
          <cell r="AD3622">
            <v>35.73828125</v>
          </cell>
        </row>
        <row r="3623">
          <cell r="L3623" t="str">
            <v>حميمات</v>
          </cell>
          <cell r="M3623" t="str">
            <v>C4319</v>
          </cell>
          <cell r="AC3623">
            <v>36.4083252</v>
          </cell>
          <cell r="AD3623">
            <v>35.663513180000002</v>
          </cell>
        </row>
        <row r="3624">
          <cell r="L3624" t="str">
            <v>جدرايا</v>
          </cell>
          <cell r="M3624" t="str">
            <v>C4320</v>
          </cell>
          <cell r="AC3624">
            <v>36.430114750000001</v>
          </cell>
          <cell r="AD3624">
            <v>35.726074220000001</v>
          </cell>
        </row>
        <row r="3625">
          <cell r="L3625" t="str">
            <v>بفطامون</v>
          </cell>
          <cell r="M3625" t="str">
            <v>C4321</v>
          </cell>
          <cell r="AC3625">
            <v>36.434875490000003</v>
          </cell>
          <cell r="AD3625">
            <v>35.833496089999997</v>
          </cell>
        </row>
        <row r="3626">
          <cell r="L3626" t="str">
            <v>بسنقول</v>
          </cell>
          <cell r="M3626" t="str">
            <v>C4322</v>
          </cell>
          <cell r="AC3626">
            <v>36.496704100000002</v>
          </cell>
          <cell r="AD3626">
            <v>35.806701660000002</v>
          </cell>
        </row>
        <row r="3627">
          <cell r="L3627" t="str">
            <v>انب</v>
          </cell>
          <cell r="M3627" t="str">
            <v>C4323</v>
          </cell>
          <cell r="AC3627">
            <v>36.444885249999999</v>
          </cell>
          <cell r="AD3627">
            <v>35.732299810000001</v>
          </cell>
        </row>
        <row r="3628">
          <cell r="L3628" t="str">
            <v>بقليد</v>
          </cell>
          <cell r="M3628" t="str">
            <v>C4324</v>
          </cell>
          <cell r="AC3628">
            <v>36.470886229999998</v>
          </cell>
          <cell r="AD3628">
            <v>35.800292970000001</v>
          </cell>
        </row>
        <row r="3629">
          <cell r="L3629" t="str">
            <v>حلول</v>
          </cell>
          <cell r="M3629" t="str">
            <v>C4326</v>
          </cell>
          <cell r="AC3629">
            <v>36.435119630000003</v>
          </cell>
          <cell r="AD3629">
            <v>35.846313479999999</v>
          </cell>
        </row>
        <row r="3630">
          <cell r="L3630" t="str">
            <v>الصحن</v>
          </cell>
          <cell r="M3630" t="str">
            <v>C4327</v>
          </cell>
          <cell r="AC3630">
            <v>36.402282720000002</v>
          </cell>
          <cell r="AD3630">
            <v>35.71990967</v>
          </cell>
        </row>
        <row r="3631">
          <cell r="L3631" t="str">
            <v>حيلا</v>
          </cell>
          <cell r="M3631" t="str">
            <v>C4328</v>
          </cell>
          <cell r="AC3631">
            <v>36.491882320000002</v>
          </cell>
          <cell r="AD3631">
            <v>35.847290039999997</v>
          </cell>
        </row>
        <row r="3632">
          <cell r="L3632" t="str">
            <v>كفرميد</v>
          </cell>
          <cell r="M3632" t="str">
            <v>C4329</v>
          </cell>
          <cell r="AC3632">
            <v>36.441101070000002</v>
          </cell>
          <cell r="AD3632">
            <v>35.80627441</v>
          </cell>
        </row>
        <row r="3633">
          <cell r="L3633" t="str">
            <v>محمبل</v>
          </cell>
          <cell r="M3633" t="str">
            <v>C4330</v>
          </cell>
          <cell r="AC3633">
            <v>36.468872070000003</v>
          </cell>
          <cell r="AD3633">
            <v>35.784118650000003</v>
          </cell>
        </row>
        <row r="3634">
          <cell r="L3634" t="str">
            <v>الخزنة</v>
          </cell>
          <cell r="M3634" t="str">
            <v>C4331</v>
          </cell>
          <cell r="AC3634">
            <v>40.662292479999998</v>
          </cell>
          <cell r="AD3634">
            <v>36.718078609999999</v>
          </cell>
        </row>
        <row r="3635">
          <cell r="L3635" t="str">
            <v>أم حجرة المقبلة</v>
          </cell>
          <cell r="M3635" t="str">
            <v>C4332</v>
          </cell>
          <cell r="AC3635">
            <v>40.729492190000002</v>
          </cell>
          <cell r="AD3635">
            <v>36.614318849999997</v>
          </cell>
        </row>
        <row r="3636">
          <cell r="L3636" t="str">
            <v>الرحمانية</v>
          </cell>
          <cell r="M3636" t="str">
            <v>C4333</v>
          </cell>
          <cell r="AC3636">
            <v>40.592712400000003</v>
          </cell>
          <cell r="AD3636">
            <v>36.650878910000003</v>
          </cell>
        </row>
        <row r="3637">
          <cell r="L3637" t="str">
            <v>أم قصير المجرجع</v>
          </cell>
          <cell r="M3637" t="str">
            <v>C4334</v>
          </cell>
          <cell r="AC3637">
            <v>40.687927250000001</v>
          </cell>
          <cell r="AD3637">
            <v>36.518676759999998</v>
          </cell>
        </row>
        <row r="3638">
          <cell r="L3638" t="str">
            <v>الجديدة</v>
          </cell>
          <cell r="M3638" t="str">
            <v>C4335</v>
          </cell>
          <cell r="AC3638">
            <v>40.667907720000002</v>
          </cell>
          <cell r="AD3638">
            <v>36.271911619999997</v>
          </cell>
        </row>
        <row r="3639">
          <cell r="L3639" t="str">
            <v>الرزازة</v>
          </cell>
          <cell r="M3639" t="str">
            <v>C4336</v>
          </cell>
          <cell r="AC3639">
            <v>40.566894529999999</v>
          </cell>
          <cell r="AD3639">
            <v>36.540100099999997</v>
          </cell>
        </row>
        <row r="3640">
          <cell r="L3640" t="str">
            <v>المدينة</v>
          </cell>
          <cell r="M3640" t="str">
            <v>C4337</v>
          </cell>
          <cell r="AC3640">
            <v>40.621521000000001</v>
          </cell>
          <cell r="AD3640">
            <v>36.729675290000003</v>
          </cell>
        </row>
        <row r="3641">
          <cell r="L3641" t="str">
            <v>شـما</v>
          </cell>
          <cell r="M3641" t="str">
            <v>C4338</v>
          </cell>
          <cell r="AC3641">
            <v>40.78790283</v>
          </cell>
          <cell r="AD3641">
            <v>36.738891600000002</v>
          </cell>
        </row>
        <row r="3642">
          <cell r="L3642" t="str">
            <v>صوفيا</v>
          </cell>
          <cell r="M3642" t="str">
            <v>C4339</v>
          </cell>
          <cell r="AC3642">
            <v>40.816101070000002</v>
          </cell>
          <cell r="AD3642">
            <v>36.732116699999999</v>
          </cell>
        </row>
        <row r="3643">
          <cell r="L3643" t="str">
            <v>خربة الياس</v>
          </cell>
          <cell r="M3643" t="str">
            <v>C4340</v>
          </cell>
          <cell r="AC3643">
            <v>40.747314449999998</v>
          </cell>
          <cell r="AD3643">
            <v>36.57189941</v>
          </cell>
        </row>
        <row r="3644">
          <cell r="L3644" t="str">
            <v>أبو راسين حسكة</v>
          </cell>
          <cell r="M3644" t="str">
            <v>C4341</v>
          </cell>
          <cell r="AC3644">
            <v>40.700073240000002</v>
          </cell>
          <cell r="AD3644">
            <v>36.664672850000002</v>
          </cell>
        </row>
        <row r="3645">
          <cell r="L3645" t="str">
            <v>الطالعة</v>
          </cell>
          <cell r="M3645" t="str">
            <v>C4342</v>
          </cell>
          <cell r="AC3645">
            <v>40.787292479999998</v>
          </cell>
          <cell r="AD3645">
            <v>36.452697749999999</v>
          </cell>
        </row>
        <row r="3646">
          <cell r="L3646" t="str">
            <v>تل مجدل</v>
          </cell>
          <cell r="M3646" t="str">
            <v>C4343</v>
          </cell>
          <cell r="AC3646">
            <v>40.616882320000002</v>
          </cell>
          <cell r="AD3646">
            <v>36.537719729999999</v>
          </cell>
        </row>
        <row r="3647">
          <cell r="L3647" t="str">
            <v>أم الشوك</v>
          </cell>
          <cell r="M3647" t="str">
            <v>C4344</v>
          </cell>
          <cell r="AC3647">
            <v>40.630920410000002</v>
          </cell>
          <cell r="AD3647">
            <v>36.386901860000002</v>
          </cell>
        </row>
        <row r="3648">
          <cell r="L3648" t="str">
            <v>رفرف</v>
          </cell>
          <cell r="M3648" t="str">
            <v>C4346</v>
          </cell>
          <cell r="AC3648">
            <v>40.642517089999998</v>
          </cell>
          <cell r="AD3648">
            <v>36.527526860000002</v>
          </cell>
        </row>
        <row r="3649">
          <cell r="L3649" t="str">
            <v>سبع سكور غربي</v>
          </cell>
          <cell r="M3649" t="str">
            <v>C4347</v>
          </cell>
          <cell r="AC3649">
            <v>40.85272217</v>
          </cell>
          <cell r="AD3649">
            <v>36.431518560000001</v>
          </cell>
        </row>
        <row r="3650">
          <cell r="L3650" t="str">
            <v>الداودية حسكة</v>
          </cell>
          <cell r="M3650" t="str">
            <v>C4348</v>
          </cell>
          <cell r="AC3650">
            <v>40.755126949999998</v>
          </cell>
          <cell r="AD3650">
            <v>36.617492679999998</v>
          </cell>
        </row>
        <row r="3651">
          <cell r="L3651" t="str">
            <v>الصلالية</v>
          </cell>
          <cell r="M3651" t="str">
            <v>C4349</v>
          </cell>
          <cell r="AC3651">
            <v>40.836914059999998</v>
          </cell>
          <cell r="AD3651">
            <v>36.49310303</v>
          </cell>
        </row>
        <row r="3652">
          <cell r="L3652" t="str">
            <v>الحفاير</v>
          </cell>
          <cell r="M3652" t="str">
            <v>C4350</v>
          </cell>
          <cell r="AC3652">
            <v>40.674926759999998</v>
          </cell>
          <cell r="AD3652">
            <v>36.362915039999997</v>
          </cell>
        </row>
        <row r="3653">
          <cell r="L3653" t="str">
            <v>تل أسود فوقاني</v>
          </cell>
          <cell r="M3653" t="str">
            <v>C4352</v>
          </cell>
          <cell r="AC3653">
            <v>40.71850586</v>
          </cell>
          <cell r="AD3653">
            <v>36.675476070000002</v>
          </cell>
        </row>
        <row r="3654">
          <cell r="L3654" t="str">
            <v>حرملة</v>
          </cell>
          <cell r="M3654" t="str">
            <v>C4353</v>
          </cell>
          <cell r="AC3654">
            <v>40.711120610000002</v>
          </cell>
          <cell r="AD3654">
            <v>36.615112310000001</v>
          </cell>
        </row>
        <row r="3655">
          <cell r="L3655" t="str">
            <v>صفيا</v>
          </cell>
          <cell r="M3655" t="str">
            <v>C4354</v>
          </cell>
          <cell r="AC3655">
            <v>40.769470220000002</v>
          </cell>
          <cell r="AD3655">
            <v>36.608520509999998</v>
          </cell>
        </row>
        <row r="3656">
          <cell r="L3656" t="str">
            <v>أم الدبس الحسكة</v>
          </cell>
          <cell r="M3656" t="str">
            <v>C4355</v>
          </cell>
          <cell r="AC3656">
            <v>40.634094240000003</v>
          </cell>
          <cell r="AD3656">
            <v>36.537719729999999</v>
          </cell>
        </row>
        <row r="3657">
          <cell r="L3657" t="str">
            <v>تل أسود تحتاني</v>
          </cell>
          <cell r="M3657" t="str">
            <v>C4356</v>
          </cell>
          <cell r="AC3657">
            <v>40.726501470000002</v>
          </cell>
          <cell r="AD3657">
            <v>36.644103999999999</v>
          </cell>
        </row>
        <row r="3658">
          <cell r="L3658" t="str">
            <v>المسعودية حسكة</v>
          </cell>
          <cell r="M3658" t="str">
            <v>C4357</v>
          </cell>
          <cell r="AC3658">
            <v>40.562927250000001</v>
          </cell>
          <cell r="AD3658">
            <v>36.723510740000002</v>
          </cell>
        </row>
        <row r="3659">
          <cell r="L3659" t="str">
            <v>تل منصور حسكة</v>
          </cell>
          <cell r="M3659" t="str">
            <v>C4358</v>
          </cell>
          <cell r="AC3659">
            <v>40.81732178</v>
          </cell>
          <cell r="AD3659">
            <v>36.742126470000002</v>
          </cell>
        </row>
        <row r="3660">
          <cell r="L3660" t="str">
            <v>طابان شرقي</v>
          </cell>
          <cell r="M3660" t="str">
            <v>C4359</v>
          </cell>
          <cell r="AC3660">
            <v>40.801879880000001</v>
          </cell>
          <cell r="AD3660">
            <v>36.338073729999998</v>
          </cell>
        </row>
        <row r="3661">
          <cell r="L3661" t="str">
            <v>الحسكة</v>
          </cell>
          <cell r="M3661" t="str">
            <v>C4360</v>
          </cell>
          <cell r="AC3661">
            <v>40.742919919999999</v>
          </cell>
          <cell r="AD3661">
            <v>36.50549316</v>
          </cell>
        </row>
        <row r="3662">
          <cell r="L3662" t="str">
            <v>رجمان شرقي</v>
          </cell>
          <cell r="M3662" t="str">
            <v>C4361</v>
          </cell>
          <cell r="AC3662">
            <v>40.835510249999999</v>
          </cell>
          <cell r="AD3662">
            <v>36.468322749999999</v>
          </cell>
        </row>
        <row r="3663">
          <cell r="L3663" t="str">
            <v>المطل</v>
          </cell>
          <cell r="M3663" t="str">
            <v>C4362</v>
          </cell>
          <cell r="AC3663">
            <v>40.674499509999997</v>
          </cell>
          <cell r="AD3663">
            <v>36.524291990000002</v>
          </cell>
        </row>
        <row r="3664">
          <cell r="L3664" t="str">
            <v>المبطوح الأولى</v>
          </cell>
          <cell r="M3664" t="str">
            <v>C4363</v>
          </cell>
          <cell r="AC3664">
            <v>40.593078609999999</v>
          </cell>
          <cell r="AD3664">
            <v>36.317687990000003</v>
          </cell>
        </row>
        <row r="3665">
          <cell r="L3665" t="str">
            <v>أم الماعز</v>
          </cell>
          <cell r="M3665" t="str">
            <v>C4364</v>
          </cell>
          <cell r="AC3665">
            <v>40.599914550000001</v>
          </cell>
          <cell r="AD3665">
            <v>36.617309570000003</v>
          </cell>
        </row>
        <row r="3666">
          <cell r="L3666" t="str">
            <v>الحمراالشرقية</v>
          </cell>
          <cell r="M3666" t="str">
            <v>C4365</v>
          </cell>
          <cell r="AC3666">
            <v>40.871276860000002</v>
          </cell>
          <cell r="AD3666">
            <v>36.490478520000003</v>
          </cell>
        </row>
        <row r="3667">
          <cell r="L3667" t="str">
            <v>أم الملح</v>
          </cell>
          <cell r="M3667" t="str">
            <v>C4366</v>
          </cell>
          <cell r="AC3667">
            <v>40.66772461</v>
          </cell>
          <cell r="AD3667">
            <v>36.546875</v>
          </cell>
        </row>
        <row r="3668">
          <cell r="L3668" t="str">
            <v>عين الحارة</v>
          </cell>
          <cell r="M3668" t="str">
            <v>C4367</v>
          </cell>
          <cell r="AC3668">
            <v>40.607299810000001</v>
          </cell>
          <cell r="AD3668">
            <v>36.383300779999999</v>
          </cell>
        </row>
        <row r="3669">
          <cell r="L3669" t="str">
            <v>السليمانية</v>
          </cell>
          <cell r="M3669" t="str">
            <v>C4368</v>
          </cell>
          <cell r="AC3669">
            <v>40.763916020000003</v>
          </cell>
          <cell r="AD3669">
            <v>36.570678710000003</v>
          </cell>
        </row>
        <row r="3670">
          <cell r="L3670" t="str">
            <v>سيد علي</v>
          </cell>
          <cell r="M3670" t="str">
            <v>C4369</v>
          </cell>
          <cell r="AC3670">
            <v>40.816101070000002</v>
          </cell>
          <cell r="AD3670">
            <v>36.637084960000003</v>
          </cell>
        </row>
        <row r="3671">
          <cell r="L3671" t="str">
            <v>أم حجرة جنوبية تحتاني</v>
          </cell>
          <cell r="M3671" t="str">
            <v>C4370</v>
          </cell>
          <cell r="AC3671">
            <v>40.695129399999999</v>
          </cell>
          <cell r="AD3671">
            <v>36.497070309999998</v>
          </cell>
        </row>
        <row r="3672">
          <cell r="L3672" t="str">
            <v>تل بيدر حسكة</v>
          </cell>
          <cell r="M3672" t="str">
            <v>C4371</v>
          </cell>
          <cell r="AC3672">
            <v>40.583129880000001</v>
          </cell>
          <cell r="AD3672">
            <v>36.734680179999998</v>
          </cell>
        </row>
        <row r="3673">
          <cell r="L3673" t="str">
            <v>تل شعلان</v>
          </cell>
          <cell r="M3673" t="str">
            <v>C4372</v>
          </cell>
          <cell r="AC3673">
            <v>40.83227539</v>
          </cell>
          <cell r="AD3673">
            <v>36.702087400000003</v>
          </cell>
        </row>
        <row r="3674">
          <cell r="L3674" t="str">
            <v>الزيدية حسكة</v>
          </cell>
          <cell r="M3674" t="str">
            <v>C4373</v>
          </cell>
          <cell r="AC3674">
            <v>40.740112310000001</v>
          </cell>
          <cell r="AD3674">
            <v>36.601501470000002</v>
          </cell>
        </row>
        <row r="3675">
          <cell r="L3675" t="str">
            <v>رحية الناعمة</v>
          </cell>
          <cell r="M3675" t="str">
            <v>C4374</v>
          </cell>
          <cell r="AC3675">
            <v>40.860717770000001</v>
          </cell>
          <cell r="AD3675">
            <v>36.595275880000003</v>
          </cell>
        </row>
        <row r="3676">
          <cell r="L3676" t="str">
            <v>هلالية</v>
          </cell>
          <cell r="M3676" t="str">
            <v>C4375</v>
          </cell>
          <cell r="AC3676">
            <v>40.58709717</v>
          </cell>
          <cell r="AD3676">
            <v>36.645324709999997</v>
          </cell>
        </row>
        <row r="3677">
          <cell r="L3677" t="str">
            <v>قبة منصور</v>
          </cell>
          <cell r="M3677" t="str">
            <v>C4376</v>
          </cell>
          <cell r="AC3677">
            <v>40.936706540000003</v>
          </cell>
          <cell r="AD3677">
            <v>36.461914059999998</v>
          </cell>
        </row>
        <row r="3678">
          <cell r="L3678" t="str">
            <v>نورك</v>
          </cell>
          <cell r="M3678" t="str">
            <v>C4377</v>
          </cell>
          <cell r="AC3678">
            <v>40.885681150000003</v>
          </cell>
          <cell r="AD3678">
            <v>36.681091309999999</v>
          </cell>
        </row>
        <row r="3679">
          <cell r="L3679" t="str">
            <v>قبر عامر</v>
          </cell>
          <cell r="M3679" t="str">
            <v>C4378</v>
          </cell>
          <cell r="AC3679">
            <v>40.694885249999999</v>
          </cell>
          <cell r="AD3679">
            <v>36.50689697</v>
          </cell>
        </row>
        <row r="3680">
          <cell r="L3680" t="str">
            <v>قبر الخليف</v>
          </cell>
          <cell r="M3680" t="str">
            <v>C4379</v>
          </cell>
          <cell r="AC3680">
            <v>40.832885740000002</v>
          </cell>
          <cell r="AD3680">
            <v>36.514282229999999</v>
          </cell>
        </row>
        <row r="3681">
          <cell r="L3681" t="str">
            <v>مشيرفة الأشمل</v>
          </cell>
          <cell r="M3681" t="str">
            <v>C4380</v>
          </cell>
          <cell r="AC3681">
            <v>40.624877929999997</v>
          </cell>
          <cell r="AD3681">
            <v>36.521728520000003</v>
          </cell>
        </row>
        <row r="3682">
          <cell r="L3682" t="str">
            <v>مهد الرجلة</v>
          </cell>
          <cell r="M3682" t="str">
            <v>C4381</v>
          </cell>
          <cell r="AC3682">
            <v>40.750122070000003</v>
          </cell>
          <cell r="AD3682">
            <v>36.589111330000001</v>
          </cell>
        </row>
        <row r="3683">
          <cell r="L3683" t="str">
            <v>مسعودية البيزارة</v>
          </cell>
          <cell r="M3683" t="str">
            <v>C4382</v>
          </cell>
          <cell r="AC3683">
            <v>40.83227539</v>
          </cell>
          <cell r="AD3683">
            <v>36.589904789999999</v>
          </cell>
        </row>
        <row r="3684">
          <cell r="L3684" t="str">
            <v>قمر غربي</v>
          </cell>
          <cell r="M3684" t="str">
            <v>C4383</v>
          </cell>
          <cell r="AC3684">
            <v>40.71508789</v>
          </cell>
          <cell r="AD3684">
            <v>36.660278320000003</v>
          </cell>
        </row>
        <row r="3685">
          <cell r="L3685" t="str">
            <v>الريحانية غربي</v>
          </cell>
          <cell r="M3685" t="str">
            <v>C4384</v>
          </cell>
          <cell r="AC3685">
            <v>40.303894040000003</v>
          </cell>
          <cell r="AD3685">
            <v>36.587707520000002</v>
          </cell>
        </row>
        <row r="3686">
          <cell r="L3686" t="str">
            <v>المقبرة</v>
          </cell>
          <cell r="M3686" t="str">
            <v>C4385</v>
          </cell>
          <cell r="AC3686">
            <v>40.559692380000001</v>
          </cell>
          <cell r="AD3686">
            <v>36.627685550000002</v>
          </cell>
        </row>
        <row r="3687">
          <cell r="L3687" t="str">
            <v>الطويلة</v>
          </cell>
          <cell r="M3687" t="str">
            <v>C4386</v>
          </cell>
          <cell r="AC3687">
            <v>40.271484379999997</v>
          </cell>
          <cell r="AD3687">
            <v>36.650878910000003</v>
          </cell>
        </row>
        <row r="3688">
          <cell r="L3688" t="str">
            <v>تل حمام شرقي</v>
          </cell>
          <cell r="M3688" t="str">
            <v>C4387</v>
          </cell>
          <cell r="AC3688">
            <v>40.359680179999998</v>
          </cell>
          <cell r="AD3688">
            <v>36.549682619999999</v>
          </cell>
        </row>
        <row r="3689">
          <cell r="L3689" t="str">
            <v>تل شامية</v>
          </cell>
          <cell r="M3689" t="str">
            <v>C4388</v>
          </cell>
          <cell r="AC3689">
            <v>40.50872803</v>
          </cell>
          <cell r="AD3689">
            <v>36.574890140000001</v>
          </cell>
        </row>
        <row r="3690">
          <cell r="L3690" t="str">
            <v>أم المسامير تل تمر</v>
          </cell>
          <cell r="M3690" t="str">
            <v>C4389</v>
          </cell>
          <cell r="AC3690">
            <v>40.35131836</v>
          </cell>
          <cell r="AD3690">
            <v>36.597106930000002</v>
          </cell>
        </row>
        <row r="3691">
          <cell r="L3691" t="str">
            <v>تل هرمز</v>
          </cell>
          <cell r="M3691" t="str">
            <v>C4390</v>
          </cell>
          <cell r="AC3691">
            <v>40.556518560000001</v>
          </cell>
          <cell r="AD3691">
            <v>36.564880369999997</v>
          </cell>
        </row>
        <row r="3692">
          <cell r="L3692" t="str">
            <v>الجفر</v>
          </cell>
          <cell r="M3692" t="str">
            <v>C4391</v>
          </cell>
          <cell r="AC3692">
            <v>40.187316899999999</v>
          </cell>
          <cell r="AD3692">
            <v>36.436096190000001</v>
          </cell>
        </row>
        <row r="3693">
          <cell r="L3693" t="str">
            <v>تل سكرة</v>
          </cell>
          <cell r="M3693" t="str">
            <v>C4392</v>
          </cell>
          <cell r="AC3693">
            <v>40.529907229999999</v>
          </cell>
          <cell r="AD3693">
            <v>36.574707029999999</v>
          </cell>
        </row>
        <row r="3694">
          <cell r="L3694" t="str">
            <v>تل نصرى</v>
          </cell>
          <cell r="M3694" t="str">
            <v>C4393</v>
          </cell>
          <cell r="AC3694">
            <v>40.368286130000001</v>
          </cell>
          <cell r="AD3694">
            <v>36.63970947</v>
          </cell>
        </row>
        <row r="3695">
          <cell r="L3695" t="str">
            <v>تل مغاص</v>
          </cell>
          <cell r="M3695" t="str">
            <v>C4394</v>
          </cell>
          <cell r="AC3695">
            <v>40.389526369999999</v>
          </cell>
          <cell r="AD3695">
            <v>36.614685059999999</v>
          </cell>
        </row>
        <row r="3696">
          <cell r="L3696" t="str">
            <v>المتوسطة</v>
          </cell>
          <cell r="M3696" t="str">
            <v>C4395</v>
          </cell>
          <cell r="AC3696">
            <v>40.488098149999999</v>
          </cell>
          <cell r="AD3696">
            <v>36.495300290000003</v>
          </cell>
        </row>
        <row r="3697">
          <cell r="L3697" t="str">
            <v>تل نجمة</v>
          </cell>
          <cell r="M3697" t="str">
            <v>C4396</v>
          </cell>
          <cell r="AC3697">
            <v>40.449523929999998</v>
          </cell>
          <cell r="AD3697">
            <v>36.586914059999998</v>
          </cell>
        </row>
        <row r="3698">
          <cell r="L3698" t="str">
            <v>تل دمشيج</v>
          </cell>
          <cell r="M3698" t="str">
            <v>C4397</v>
          </cell>
          <cell r="AC3698">
            <v>40.433288570000002</v>
          </cell>
          <cell r="AD3698">
            <v>36.591308589999997</v>
          </cell>
        </row>
        <row r="3699">
          <cell r="L3699" t="str">
            <v>أم الكيف</v>
          </cell>
          <cell r="M3699" t="str">
            <v>C4398</v>
          </cell>
          <cell r="AC3699">
            <v>40.32971191</v>
          </cell>
          <cell r="AD3699">
            <v>36.68127441</v>
          </cell>
        </row>
        <row r="3700">
          <cell r="L3700" t="str">
            <v>السيحة الوسطى</v>
          </cell>
          <cell r="M3700" t="str">
            <v>C4399</v>
          </cell>
          <cell r="AC3700">
            <v>40.254516600000002</v>
          </cell>
          <cell r="AD3700">
            <v>36.557922359999999</v>
          </cell>
        </row>
        <row r="3701">
          <cell r="L3701" t="str">
            <v>تل حمام غربي</v>
          </cell>
          <cell r="M3701" t="str">
            <v>C4400</v>
          </cell>
          <cell r="AC3701">
            <v>40.324279789999999</v>
          </cell>
          <cell r="AD3701">
            <v>36.569274900000003</v>
          </cell>
        </row>
        <row r="3702">
          <cell r="L3702" t="str">
            <v>تل بالوعة</v>
          </cell>
          <cell r="M3702" t="str">
            <v>C4401</v>
          </cell>
          <cell r="AC3702">
            <v>40.471313479999999</v>
          </cell>
          <cell r="AD3702">
            <v>36.57189941</v>
          </cell>
        </row>
        <row r="3703">
          <cell r="L3703" t="str">
            <v>القاسمية</v>
          </cell>
          <cell r="M3703" t="str">
            <v>C4402</v>
          </cell>
          <cell r="AC3703">
            <v>40.340698240000002</v>
          </cell>
          <cell r="AD3703">
            <v>36.70587158</v>
          </cell>
        </row>
        <row r="3704">
          <cell r="L3704" t="str">
            <v>السلماسة</v>
          </cell>
          <cell r="M3704" t="str">
            <v>C4403</v>
          </cell>
          <cell r="AC3704">
            <v>40.292907720000002</v>
          </cell>
          <cell r="AD3704">
            <v>36.640075680000002</v>
          </cell>
        </row>
        <row r="3705">
          <cell r="L3705" t="str">
            <v>تل باز</v>
          </cell>
          <cell r="M3705" t="str">
            <v>C4404</v>
          </cell>
          <cell r="AC3705">
            <v>40.469116210000003</v>
          </cell>
          <cell r="AD3705">
            <v>36.576904300000002</v>
          </cell>
        </row>
        <row r="3706">
          <cell r="L3706" t="str">
            <v>الغرة</v>
          </cell>
          <cell r="M3706" t="str">
            <v>C4405</v>
          </cell>
          <cell r="AC3706">
            <v>40.298095699999998</v>
          </cell>
          <cell r="AD3706">
            <v>36.451477050000001</v>
          </cell>
        </row>
        <row r="3707">
          <cell r="L3707" t="str">
            <v>البيضة</v>
          </cell>
          <cell r="M3707" t="str">
            <v>C4406</v>
          </cell>
          <cell r="AC3707">
            <v>40.367919919999999</v>
          </cell>
          <cell r="AD3707">
            <v>36.476074220000001</v>
          </cell>
        </row>
        <row r="3708">
          <cell r="L3708" t="str">
            <v>سكر الأحيمر</v>
          </cell>
          <cell r="M3708" t="str">
            <v>C4407</v>
          </cell>
          <cell r="AC3708">
            <v>40.311279300000002</v>
          </cell>
          <cell r="AD3708">
            <v>36.666687009999997</v>
          </cell>
        </row>
        <row r="3709">
          <cell r="L3709" t="str">
            <v>تل طلعة</v>
          </cell>
          <cell r="M3709" t="str">
            <v>C4408</v>
          </cell>
          <cell r="AC3709">
            <v>40.371887209999997</v>
          </cell>
          <cell r="AD3709">
            <v>36.620727539999997</v>
          </cell>
        </row>
        <row r="3710">
          <cell r="L3710" t="str">
            <v>تل تمر</v>
          </cell>
          <cell r="M3710" t="str">
            <v>C4409</v>
          </cell>
          <cell r="AC3710">
            <v>40.371887209999997</v>
          </cell>
          <cell r="AD3710">
            <v>36.65350342</v>
          </cell>
        </row>
        <row r="3711">
          <cell r="L3711" t="str">
            <v>أبو تينة</v>
          </cell>
          <cell r="M3711" t="str">
            <v>C4410</v>
          </cell>
          <cell r="AC3711">
            <v>40.393676759999998</v>
          </cell>
          <cell r="AD3711">
            <v>36.604675290000003</v>
          </cell>
        </row>
        <row r="3712">
          <cell r="L3712" t="str">
            <v>الهامانية_خربة التمر</v>
          </cell>
          <cell r="M3712" t="str">
            <v>C4411</v>
          </cell>
          <cell r="AC3712">
            <v>40.451110839999998</v>
          </cell>
          <cell r="AD3712">
            <v>36.485107419999999</v>
          </cell>
        </row>
        <row r="3713">
          <cell r="L3713" t="str">
            <v>تل كيفجي</v>
          </cell>
          <cell r="M3713" t="str">
            <v>C4412</v>
          </cell>
          <cell r="AC3713">
            <v>40.335327149999998</v>
          </cell>
          <cell r="AD3713">
            <v>36.669921879999997</v>
          </cell>
        </row>
        <row r="3714">
          <cell r="L3714" t="str">
            <v>تل المغر</v>
          </cell>
          <cell r="M3714" t="str">
            <v>C4413</v>
          </cell>
          <cell r="AC3714">
            <v>40.244873050000002</v>
          </cell>
          <cell r="AD3714">
            <v>36.47747803</v>
          </cell>
        </row>
        <row r="3715">
          <cell r="L3715" t="str">
            <v>باب الفرج</v>
          </cell>
          <cell r="M3715" t="str">
            <v>C4414</v>
          </cell>
          <cell r="AC3715">
            <v>40.506530759999997</v>
          </cell>
          <cell r="AD3715">
            <v>36.543090820000003</v>
          </cell>
        </row>
        <row r="3716">
          <cell r="L3716" t="str">
            <v>النايفة</v>
          </cell>
          <cell r="M3716" t="str">
            <v>C4415</v>
          </cell>
          <cell r="AC3716">
            <v>40.552307130000003</v>
          </cell>
          <cell r="AD3716">
            <v>36.51928711</v>
          </cell>
        </row>
        <row r="3717">
          <cell r="L3717" t="str">
            <v>الفكه</v>
          </cell>
          <cell r="M3717" t="str">
            <v>C4416</v>
          </cell>
          <cell r="AC3717">
            <v>40.399291990000002</v>
          </cell>
          <cell r="AD3717">
            <v>36.727294919999999</v>
          </cell>
        </row>
        <row r="3718">
          <cell r="L3718" t="str">
            <v>شموكة</v>
          </cell>
          <cell r="M3718" t="str">
            <v>C4417</v>
          </cell>
          <cell r="AC3718">
            <v>40.567687990000003</v>
          </cell>
          <cell r="AD3718">
            <v>36.582885740000002</v>
          </cell>
        </row>
        <row r="3719">
          <cell r="L3719" t="str">
            <v>الخزنة تل تمر</v>
          </cell>
          <cell r="M3719" t="str">
            <v>C4418</v>
          </cell>
          <cell r="AC3719">
            <v>40.336486819999998</v>
          </cell>
          <cell r="AD3719">
            <v>36.452087400000003</v>
          </cell>
        </row>
        <row r="3720">
          <cell r="L3720" t="str">
            <v>تل فويضات شامية</v>
          </cell>
          <cell r="M3720" t="str">
            <v>C4419</v>
          </cell>
          <cell r="AC3720">
            <v>40.421325680000002</v>
          </cell>
          <cell r="AD3720">
            <v>36.594116210000003</v>
          </cell>
        </row>
        <row r="3721">
          <cell r="L3721" t="str">
            <v>تل عربوش</v>
          </cell>
          <cell r="M3721" t="str">
            <v>C4420</v>
          </cell>
          <cell r="AC3721">
            <v>40.552124020000001</v>
          </cell>
          <cell r="AD3721">
            <v>36.57629395</v>
          </cell>
        </row>
        <row r="3722">
          <cell r="L3722" t="str">
            <v>تل طويل</v>
          </cell>
          <cell r="M3722" t="str">
            <v>C4421</v>
          </cell>
          <cell r="AC3722">
            <v>40.287109379999997</v>
          </cell>
          <cell r="AD3722">
            <v>36.663513180000002</v>
          </cell>
        </row>
        <row r="3723">
          <cell r="L3723" t="str">
            <v>تل رمان</v>
          </cell>
          <cell r="M3723" t="str">
            <v>C4422</v>
          </cell>
          <cell r="AC3723">
            <v>40.47930908</v>
          </cell>
          <cell r="AD3723">
            <v>36.577697749999999</v>
          </cell>
        </row>
        <row r="3724">
          <cell r="L3724" t="str">
            <v>تل مســــاس</v>
          </cell>
          <cell r="M3724" t="str">
            <v>C4423</v>
          </cell>
          <cell r="AC3724">
            <v>40.399719240000003</v>
          </cell>
          <cell r="AD3724">
            <v>36.608520509999998</v>
          </cell>
        </row>
        <row r="3725">
          <cell r="L3725" t="str">
            <v>الدردارة تل تمر</v>
          </cell>
          <cell r="M3725" t="str">
            <v>C4424</v>
          </cell>
          <cell r="AC3725">
            <v>40.401123050000002</v>
          </cell>
          <cell r="AD3725">
            <v>36.703308110000002</v>
          </cell>
        </row>
        <row r="3726">
          <cell r="L3726" t="str">
            <v>تل مخاضة</v>
          </cell>
          <cell r="M3726" t="str">
            <v>C4425</v>
          </cell>
          <cell r="AC3726">
            <v>40.50689697</v>
          </cell>
          <cell r="AD3726">
            <v>36.568115229999997</v>
          </cell>
        </row>
        <row r="3727">
          <cell r="L3727" t="str">
            <v>أبو كبرة تل تمر</v>
          </cell>
          <cell r="M3727" t="str">
            <v>C4426</v>
          </cell>
          <cell r="AC3727">
            <v>40.232910160000003</v>
          </cell>
          <cell r="AD3727">
            <v>36.463073729999998</v>
          </cell>
        </row>
        <row r="3728">
          <cell r="L3728" t="str">
            <v>تل حفيان</v>
          </cell>
          <cell r="M3728" t="str">
            <v>C4427</v>
          </cell>
          <cell r="AC3728">
            <v>40.370910649999999</v>
          </cell>
          <cell r="AD3728">
            <v>36.629699709999997</v>
          </cell>
        </row>
        <row r="3729">
          <cell r="L3729" t="str">
            <v>تل جدايا</v>
          </cell>
          <cell r="M3729" t="str">
            <v>C4428</v>
          </cell>
          <cell r="AC3729">
            <v>40.415283199999998</v>
          </cell>
          <cell r="AD3729">
            <v>36.598327640000001</v>
          </cell>
        </row>
        <row r="3730">
          <cell r="L3730" t="str">
            <v>تل الجميلية</v>
          </cell>
          <cell r="M3730" t="str">
            <v>C4429</v>
          </cell>
          <cell r="AC3730">
            <v>40.276489259999998</v>
          </cell>
          <cell r="AD3730">
            <v>36.720275880000003</v>
          </cell>
        </row>
        <row r="3731">
          <cell r="L3731" t="str">
            <v>تل شمران</v>
          </cell>
          <cell r="M3731" t="str">
            <v>C4430</v>
          </cell>
          <cell r="AC3731">
            <v>40.357482910000002</v>
          </cell>
          <cell r="AD3731">
            <v>36.638671879999997</v>
          </cell>
        </row>
        <row r="3732">
          <cell r="L3732" t="str">
            <v>تل جمعة</v>
          </cell>
          <cell r="M3732" t="str">
            <v>C4431</v>
          </cell>
          <cell r="AC3732">
            <v>40.343322749999999</v>
          </cell>
          <cell r="AD3732">
            <v>36.666076660000002</v>
          </cell>
        </row>
        <row r="3733">
          <cell r="L3733" t="str">
            <v>الخريطة</v>
          </cell>
          <cell r="M3733" t="str">
            <v>C4432</v>
          </cell>
          <cell r="AC3733">
            <v>40.490112310000001</v>
          </cell>
          <cell r="AD3733">
            <v>36.567077640000001</v>
          </cell>
        </row>
        <row r="3734">
          <cell r="L3734" t="str">
            <v>وادي النجمة</v>
          </cell>
          <cell r="M3734" t="str">
            <v>C4433</v>
          </cell>
          <cell r="AC3734">
            <v>40.456481930000002</v>
          </cell>
          <cell r="AD3734">
            <v>36.617919919999999</v>
          </cell>
        </row>
        <row r="3735">
          <cell r="L3735" t="str">
            <v>كون عطار</v>
          </cell>
          <cell r="M3735" t="str">
            <v>C4434</v>
          </cell>
          <cell r="AC3735">
            <v>40.520874020000001</v>
          </cell>
          <cell r="AD3735">
            <v>36.613708500000001</v>
          </cell>
        </row>
        <row r="3736">
          <cell r="L3736" t="str">
            <v>مجيبرة زركان</v>
          </cell>
          <cell r="M3736" t="str">
            <v>C4435</v>
          </cell>
          <cell r="AC3736">
            <v>40.409301759999998</v>
          </cell>
          <cell r="AD3736">
            <v>36.705322270000003</v>
          </cell>
        </row>
        <row r="3737">
          <cell r="L3737" t="str">
            <v>قبر صغير</v>
          </cell>
          <cell r="M3737" t="str">
            <v>C4436</v>
          </cell>
          <cell r="AC3737">
            <v>40.383300779999999</v>
          </cell>
          <cell r="AD3737">
            <v>36.748474119999997</v>
          </cell>
        </row>
        <row r="3738">
          <cell r="L3738" t="str">
            <v>مدينة قبلية</v>
          </cell>
          <cell r="M3738" t="str">
            <v>C4437</v>
          </cell>
          <cell r="AC3738">
            <v>40.380310059999999</v>
          </cell>
          <cell r="AD3738">
            <v>36.453308110000002</v>
          </cell>
        </row>
        <row r="3739">
          <cell r="L3739" t="str">
            <v>رشيدية شرقي</v>
          </cell>
          <cell r="M3739" t="str">
            <v>C4438</v>
          </cell>
          <cell r="AC3739">
            <v>40.712890629999997</v>
          </cell>
          <cell r="AD3739">
            <v>36.122314449999998</v>
          </cell>
        </row>
        <row r="3740">
          <cell r="L3740" t="str">
            <v>حويزية</v>
          </cell>
          <cell r="M3740" t="str">
            <v>C4439</v>
          </cell>
          <cell r="AC3740">
            <v>41.007324220000001</v>
          </cell>
          <cell r="AD3740">
            <v>36.163879399999999</v>
          </cell>
        </row>
        <row r="3741">
          <cell r="L3741" t="str">
            <v>العلوة الشرقية</v>
          </cell>
          <cell r="M3741" t="str">
            <v>C4440</v>
          </cell>
          <cell r="AC3741">
            <v>40.867919919999999</v>
          </cell>
          <cell r="AD3741">
            <v>35.95587158</v>
          </cell>
        </row>
        <row r="3742">
          <cell r="L3742" t="str">
            <v>السبعة وأربعين</v>
          </cell>
          <cell r="M3742" t="str">
            <v>C4441</v>
          </cell>
          <cell r="AC3742">
            <v>40.65649414</v>
          </cell>
          <cell r="AD3742">
            <v>36.08111572</v>
          </cell>
        </row>
        <row r="3743">
          <cell r="L3743" t="str">
            <v>عدلة</v>
          </cell>
          <cell r="M3743" t="str">
            <v>C4442</v>
          </cell>
          <cell r="AC3743">
            <v>40.7598877</v>
          </cell>
          <cell r="AD3743">
            <v>36.006286619999997</v>
          </cell>
        </row>
        <row r="3744">
          <cell r="L3744" t="str">
            <v>جرمز غربي</v>
          </cell>
          <cell r="M3744" t="str">
            <v>C4443</v>
          </cell>
          <cell r="AC3744">
            <v>40.814514160000002</v>
          </cell>
          <cell r="AD3744">
            <v>35.994323729999998</v>
          </cell>
        </row>
        <row r="3745">
          <cell r="L3745" t="str">
            <v>طرنبة الرفيع</v>
          </cell>
          <cell r="M3745" t="str">
            <v>C4444</v>
          </cell>
          <cell r="AC3745">
            <v>40.49768066</v>
          </cell>
          <cell r="AD3745">
            <v>36.09008789</v>
          </cell>
        </row>
        <row r="3746">
          <cell r="L3746" t="str">
            <v>الحنة الشرقية</v>
          </cell>
          <cell r="M3746" t="str">
            <v>C4445</v>
          </cell>
          <cell r="AC3746">
            <v>40.717102050000001</v>
          </cell>
          <cell r="AD3746">
            <v>36.099487310000001</v>
          </cell>
        </row>
        <row r="3747">
          <cell r="L3747" t="str">
            <v>الشدادة</v>
          </cell>
          <cell r="M3747" t="str">
            <v>C4446</v>
          </cell>
          <cell r="AC3747">
            <v>40.738891600000002</v>
          </cell>
          <cell r="AD3747">
            <v>36.050720220000002</v>
          </cell>
        </row>
        <row r="3748">
          <cell r="L3748" t="str">
            <v>كشكش جبور</v>
          </cell>
          <cell r="M3748" t="str">
            <v>C4447</v>
          </cell>
          <cell r="AC3748">
            <v>40.845886229999998</v>
          </cell>
          <cell r="AD3748">
            <v>35.915283199999998</v>
          </cell>
        </row>
        <row r="3749">
          <cell r="L3749" t="str">
            <v>علوة الدشيشة</v>
          </cell>
          <cell r="M3749" t="str">
            <v>C4448</v>
          </cell>
          <cell r="AC3749">
            <v>40.880920410000002</v>
          </cell>
          <cell r="AD3749">
            <v>35.816894529999999</v>
          </cell>
        </row>
        <row r="3750">
          <cell r="L3750" t="str">
            <v>الفدغمي</v>
          </cell>
          <cell r="M3750" t="str">
            <v>C4449</v>
          </cell>
          <cell r="AC3750">
            <v>40.887329100000002</v>
          </cell>
          <cell r="AD3750">
            <v>35.901916499999999</v>
          </cell>
        </row>
        <row r="3751">
          <cell r="L3751" t="str">
            <v>تل صفوك</v>
          </cell>
          <cell r="M3751" t="str">
            <v>C4450</v>
          </cell>
          <cell r="AC3751">
            <v>41.255920410000002</v>
          </cell>
          <cell r="AD3751">
            <v>36.060485839999998</v>
          </cell>
        </row>
        <row r="3752">
          <cell r="L3752" t="str">
            <v>الشمساني</v>
          </cell>
          <cell r="M3752" t="str">
            <v>C4451</v>
          </cell>
          <cell r="AC3752">
            <v>40.882507320000002</v>
          </cell>
          <cell r="AD3752">
            <v>35.854675290000003</v>
          </cell>
        </row>
        <row r="3753">
          <cell r="L3753" t="str">
            <v>الثلجة</v>
          </cell>
          <cell r="M3753" t="str">
            <v>C4452</v>
          </cell>
          <cell r="AC3753">
            <v>40.927673339999998</v>
          </cell>
          <cell r="AD3753">
            <v>35.842712400000003</v>
          </cell>
        </row>
        <row r="3754">
          <cell r="L3754" t="str">
            <v>كشكش زيانات</v>
          </cell>
          <cell r="M3754" t="str">
            <v>C4453</v>
          </cell>
          <cell r="AC3754">
            <v>40.848693849999997</v>
          </cell>
          <cell r="AD3754">
            <v>35.862304690000002</v>
          </cell>
        </row>
        <row r="3755">
          <cell r="L3755" t="str">
            <v>مركدة</v>
          </cell>
          <cell r="M3755" t="str">
            <v>C4454</v>
          </cell>
          <cell r="AC3755">
            <v>40.767883300000001</v>
          </cell>
          <cell r="AD3755">
            <v>35.759094240000003</v>
          </cell>
        </row>
        <row r="3756">
          <cell r="L3756" t="str">
            <v>خربة السويفات</v>
          </cell>
          <cell r="M3756" t="str">
            <v>C4455</v>
          </cell>
          <cell r="AC3756">
            <v>41.161682130000003</v>
          </cell>
          <cell r="AD3756">
            <v>36.776916499999999</v>
          </cell>
        </row>
        <row r="3757">
          <cell r="L3757" t="str">
            <v>الأصيبخ</v>
          </cell>
          <cell r="M3757" t="str">
            <v>C4456</v>
          </cell>
          <cell r="AC3757">
            <v>41.103698729999998</v>
          </cell>
          <cell r="AD3757">
            <v>36.662109379999997</v>
          </cell>
        </row>
        <row r="3758">
          <cell r="L3758" t="str">
            <v>البواب</v>
          </cell>
          <cell r="M3758" t="str">
            <v>C4457</v>
          </cell>
          <cell r="AC3758">
            <v>40.925720220000002</v>
          </cell>
          <cell r="AD3758">
            <v>36.592285160000003</v>
          </cell>
        </row>
        <row r="3759">
          <cell r="L3759" t="str">
            <v>تل السمن</v>
          </cell>
          <cell r="M3759" t="str">
            <v>C4458</v>
          </cell>
          <cell r="AC3759">
            <v>41.073913570000002</v>
          </cell>
          <cell r="AD3759">
            <v>36.550292970000001</v>
          </cell>
        </row>
        <row r="3760">
          <cell r="L3760" t="str">
            <v>دفــــة</v>
          </cell>
          <cell r="M3760" t="str">
            <v>C4459</v>
          </cell>
          <cell r="AC3760">
            <v>41.052307130000003</v>
          </cell>
          <cell r="AD3760">
            <v>36.757080080000001</v>
          </cell>
        </row>
        <row r="3761">
          <cell r="L3761" t="str">
            <v>سعيد بئر الحلو</v>
          </cell>
          <cell r="M3761" t="str">
            <v>C4460</v>
          </cell>
          <cell r="AC3761">
            <v>41.032470699999998</v>
          </cell>
          <cell r="AD3761">
            <v>36.631530759999997</v>
          </cell>
        </row>
        <row r="3762">
          <cell r="L3762" t="str">
            <v>تل الفرس</v>
          </cell>
          <cell r="M3762" t="str">
            <v>C4461</v>
          </cell>
          <cell r="AC3762">
            <v>41.0625</v>
          </cell>
          <cell r="AD3762">
            <v>36.742309570000003</v>
          </cell>
        </row>
        <row r="3763">
          <cell r="L3763" t="str">
            <v>تل العبد</v>
          </cell>
          <cell r="M3763" t="str">
            <v>C4462</v>
          </cell>
          <cell r="AC3763">
            <v>41.219299319999998</v>
          </cell>
          <cell r="AD3763">
            <v>36.615722660000003</v>
          </cell>
        </row>
        <row r="3764">
          <cell r="L3764" t="str">
            <v>أم الروس شمالي</v>
          </cell>
          <cell r="M3764" t="str">
            <v>C4463</v>
          </cell>
          <cell r="AC3764">
            <v>41.161682130000003</v>
          </cell>
          <cell r="AD3764">
            <v>36.643310550000002</v>
          </cell>
        </row>
        <row r="3765">
          <cell r="L3765" t="str">
            <v>أم الطواريج</v>
          </cell>
          <cell r="M3765" t="str">
            <v>C4464</v>
          </cell>
          <cell r="AC3765">
            <v>41.192077640000001</v>
          </cell>
          <cell r="AD3765">
            <v>36.808471679999997</v>
          </cell>
        </row>
        <row r="3766">
          <cell r="L3766" t="str">
            <v>العطشانة</v>
          </cell>
          <cell r="M3766" t="str">
            <v>C4465</v>
          </cell>
          <cell r="AC3766">
            <v>41.168701169999999</v>
          </cell>
          <cell r="AD3766">
            <v>36.701477050000001</v>
          </cell>
        </row>
        <row r="3767">
          <cell r="L3767" t="str">
            <v>البوير بئر الحلو</v>
          </cell>
          <cell r="M3767" t="str">
            <v>C4466</v>
          </cell>
          <cell r="AC3767">
            <v>41.08868408</v>
          </cell>
          <cell r="AD3767">
            <v>36.792907720000002</v>
          </cell>
        </row>
        <row r="3768">
          <cell r="L3768" t="str">
            <v>السيباط</v>
          </cell>
          <cell r="M3768" t="str">
            <v>C4467</v>
          </cell>
          <cell r="AC3768">
            <v>40.98828125</v>
          </cell>
          <cell r="AD3768">
            <v>36.628478999999999</v>
          </cell>
        </row>
        <row r="3769">
          <cell r="L3769" t="str">
            <v>خويلد فوقاني</v>
          </cell>
          <cell r="M3769" t="str">
            <v>C4468</v>
          </cell>
          <cell r="AC3769">
            <v>40.931884770000003</v>
          </cell>
          <cell r="AD3769">
            <v>36.620910649999999</v>
          </cell>
        </row>
        <row r="3770">
          <cell r="L3770" t="str">
            <v>خراب غزال</v>
          </cell>
          <cell r="M3770" t="str">
            <v>C4469</v>
          </cell>
          <cell r="AC3770">
            <v>40.886291499999999</v>
          </cell>
          <cell r="AD3770">
            <v>36.599487310000001</v>
          </cell>
        </row>
        <row r="3771">
          <cell r="L3771" t="str">
            <v>البصيرية</v>
          </cell>
          <cell r="M3771" t="str">
            <v>C4470</v>
          </cell>
          <cell r="AC3771">
            <v>40.986511229999998</v>
          </cell>
          <cell r="AD3771">
            <v>36.536926270000002</v>
          </cell>
        </row>
        <row r="3772">
          <cell r="L3772" t="str">
            <v>بئر الحلو</v>
          </cell>
          <cell r="M3772" t="str">
            <v>C4471</v>
          </cell>
          <cell r="AC3772">
            <v>41.035095220000002</v>
          </cell>
          <cell r="AD3772">
            <v>36.697082520000002</v>
          </cell>
        </row>
        <row r="3773">
          <cell r="L3773" t="str">
            <v>العادلة</v>
          </cell>
          <cell r="M3773" t="str">
            <v>C4472</v>
          </cell>
          <cell r="AC3773">
            <v>41.152526860000002</v>
          </cell>
          <cell r="AD3773">
            <v>36.59350586</v>
          </cell>
        </row>
        <row r="3774">
          <cell r="L3774" t="str">
            <v>الشكر</v>
          </cell>
          <cell r="M3774" t="str">
            <v>C4473</v>
          </cell>
          <cell r="AC3774">
            <v>41.10913086</v>
          </cell>
          <cell r="AD3774">
            <v>36.638671879999997</v>
          </cell>
        </row>
        <row r="3775">
          <cell r="L3775" t="str">
            <v>خربة الريس</v>
          </cell>
          <cell r="M3775" t="str">
            <v>C4474</v>
          </cell>
          <cell r="AC3775">
            <v>40.997497559999999</v>
          </cell>
          <cell r="AD3775">
            <v>36.59008789</v>
          </cell>
        </row>
        <row r="3776">
          <cell r="L3776" t="str">
            <v>السكمان</v>
          </cell>
          <cell r="M3776" t="str">
            <v>C4475</v>
          </cell>
          <cell r="AC3776">
            <v>41.095520020000002</v>
          </cell>
          <cell r="AD3776">
            <v>36.63970947</v>
          </cell>
        </row>
        <row r="3777">
          <cell r="L3777" t="str">
            <v>رجم الطفيحي</v>
          </cell>
          <cell r="M3777" t="str">
            <v>C4476</v>
          </cell>
          <cell r="AC3777">
            <v>41.072326660000002</v>
          </cell>
          <cell r="AD3777">
            <v>36.587890629999997</v>
          </cell>
        </row>
        <row r="3778">
          <cell r="L3778" t="str">
            <v>تل براك</v>
          </cell>
          <cell r="M3778" t="str">
            <v>C4477</v>
          </cell>
          <cell r="AC3778">
            <v>41.053710940000002</v>
          </cell>
          <cell r="AD3778">
            <v>36.682495119999999</v>
          </cell>
        </row>
        <row r="3779">
          <cell r="L3779" t="str">
            <v>الجسعة</v>
          </cell>
          <cell r="M3779" t="str">
            <v>C4478</v>
          </cell>
          <cell r="AC3779">
            <v>41.088073729999998</v>
          </cell>
          <cell r="AD3779">
            <v>36.762084960000003</v>
          </cell>
        </row>
        <row r="3780">
          <cell r="L3780" t="str">
            <v>سميحان غربي</v>
          </cell>
          <cell r="M3780" t="str">
            <v>C4479</v>
          </cell>
          <cell r="AC3780">
            <v>41.102294919999999</v>
          </cell>
          <cell r="AD3780">
            <v>36.707092289999999</v>
          </cell>
        </row>
        <row r="3781">
          <cell r="L3781" t="str">
            <v>تل مسطي</v>
          </cell>
          <cell r="M3781" t="str">
            <v>C4480</v>
          </cell>
          <cell r="AC3781">
            <v>41.20611572</v>
          </cell>
          <cell r="AD3781">
            <v>36.79528809</v>
          </cell>
        </row>
        <row r="3782">
          <cell r="L3782" t="str">
            <v>درجة</v>
          </cell>
          <cell r="M3782" t="str">
            <v>C4481</v>
          </cell>
          <cell r="AC3782">
            <v>41.189514160000002</v>
          </cell>
          <cell r="AD3782">
            <v>36.593322749999999</v>
          </cell>
        </row>
        <row r="3783">
          <cell r="L3783" t="str">
            <v>خراب عبد السيد</v>
          </cell>
          <cell r="M3783" t="str">
            <v>C4482</v>
          </cell>
          <cell r="AC3783">
            <v>41.167297359999999</v>
          </cell>
          <cell r="AD3783">
            <v>36.754699709999997</v>
          </cell>
        </row>
        <row r="3784">
          <cell r="L3784" t="str">
            <v>أم حجرة قولو</v>
          </cell>
          <cell r="M3784" t="str">
            <v>C4483</v>
          </cell>
          <cell r="AC3784">
            <v>41.010925290000003</v>
          </cell>
          <cell r="AD3784">
            <v>36.68127441</v>
          </cell>
        </row>
        <row r="3785">
          <cell r="L3785" t="str">
            <v>بئر الحلو العطشانة</v>
          </cell>
          <cell r="M3785" t="str">
            <v>C4484</v>
          </cell>
          <cell r="AC3785">
            <v>41.166503910000003</v>
          </cell>
          <cell r="AD3785">
            <v>36.68450928</v>
          </cell>
        </row>
        <row r="3786">
          <cell r="L3786" t="str">
            <v>خربة حواس</v>
          </cell>
          <cell r="M3786" t="str">
            <v>C4485</v>
          </cell>
          <cell r="AC3786">
            <v>40.926513669999999</v>
          </cell>
          <cell r="AD3786">
            <v>36.714477539999997</v>
          </cell>
        </row>
        <row r="3787">
          <cell r="L3787" t="str">
            <v>تل شعبان</v>
          </cell>
          <cell r="M3787" t="str">
            <v>C4486</v>
          </cell>
          <cell r="AC3787">
            <v>40.985717770000001</v>
          </cell>
          <cell r="AD3787">
            <v>36.652893069999998</v>
          </cell>
        </row>
        <row r="3788">
          <cell r="L3788" t="str">
            <v>المعيزيلة</v>
          </cell>
          <cell r="M3788" t="str">
            <v>C4487</v>
          </cell>
          <cell r="AC3788">
            <v>41.214477539999997</v>
          </cell>
          <cell r="AD3788">
            <v>36.811279300000002</v>
          </cell>
        </row>
        <row r="3789">
          <cell r="L3789" t="str">
            <v>هياهي صغير</v>
          </cell>
          <cell r="M3789" t="str">
            <v>C4488</v>
          </cell>
          <cell r="AC3789">
            <v>41.214904789999999</v>
          </cell>
          <cell r="AD3789">
            <v>36.781311039999999</v>
          </cell>
        </row>
        <row r="3790">
          <cell r="L3790" t="str">
            <v>كبيبات</v>
          </cell>
          <cell r="M3790" t="str">
            <v>C4489</v>
          </cell>
          <cell r="AC3790">
            <v>40.933471679999997</v>
          </cell>
          <cell r="AD3790">
            <v>36.629882809999998</v>
          </cell>
        </row>
        <row r="3791">
          <cell r="L3791" t="str">
            <v>هياهي كبير</v>
          </cell>
          <cell r="M3791" t="str">
            <v>C4490</v>
          </cell>
          <cell r="AC3791">
            <v>41.227111819999998</v>
          </cell>
          <cell r="AD3791">
            <v>36.786499020000001</v>
          </cell>
        </row>
        <row r="3792">
          <cell r="L3792" t="str">
            <v>قبر العبد</v>
          </cell>
          <cell r="M3792" t="str">
            <v>C4491</v>
          </cell>
          <cell r="AC3792">
            <v>41.0177002</v>
          </cell>
          <cell r="AD3792">
            <v>36.720886229999998</v>
          </cell>
        </row>
        <row r="3793">
          <cell r="L3793" t="str">
            <v>مدينة عتي</v>
          </cell>
          <cell r="M3793" t="str">
            <v>C4492</v>
          </cell>
          <cell r="AC3793">
            <v>40.980285649999999</v>
          </cell>
          <cell r="AD3793">
            <v>36.73413086</v>
          </cell>
        </row>
        <row r="3794">
          <cell r="L3794" t="str">
            <v>مثاليث</v>
          </cell>
          <cell r="M3794" t="str">
            <v>C4493</v>
          </cell>
          <cell r="AC3794">
            <v>41.02252197</v>
          </cell>
          <cell r="AD3794">
            <v>36.565307619999999</v>
          </cell>
        </row>
        <row r="3795">
          <cell r="L3795" t="str">
            <v>قائمقام كبير</v>
          </cell>
          <cell r="M3795" t="str">
            <v>C4494</v>
          </cell>
          <cell r="AC3795">
            <v>41.123901369999999</v>
          </cell>
          <cell r="AD3795">
            <v>36.684692380000001</v>
          </cell>
        </row>
        <row r="3796">
          <cell r="L3796" t="str">
            <v>غزالان</v>
          </cell>
          <cell r="M3796" t="str">
            <v>C4495</v>
          </cell>
          <cell r="AC3796">
            <v>40.221923830000001</v>
          </cell>
          <cell r="AD3796">
            <v>36.224121089999997</v>
          </cell>
        </row>
        <row r="3797">
          <cell r="L3797" t="str">
            <v>الغرب</v>
          </cell>
          <cell r="M3797" t="str">
            <v>C4496</v>
          </cell>
          <cell r="AC3797">
            <v>40.688293459999997</v>
          </cell>
          <cell r="AD3797">
            <v>36.15991211</v>
          </cell>
        </row>
        <row r="3798">
          <cell r="L3798" t="str">
            <v>العريشة</v>
          </cell>
          <cell r="M3798" t="str">
            <v>C4497</v>
          </cell>
          <cell r="AC3798">
            <v>40.763122559999999</v>
          </cell>
          <cell r="AD3798">
            <v>36.248901369999999</v>
          </cell>
        </row>
        <row r="3799">
          <cell r="L3799" t="str">
            <v>الحدادية</v>
          </cell>
          <cell r="M3799" t="str">
            <v>C4498</v>
          </cell>
          <cell r="AC3799">
            <v>40.748718259999997</v>
          </cell>
          <cell r="AD3799">
            <v>36.199096679999997</v>
          </cell>
        </row>
        <row r="3800">
          <cell r="L3800" t="str">
            <v>زين المبرج</v>
          </cell>
          <cell r="M3800" t="str">
            <v>C4499</v>
          </cell>
          <cell r="AC3800">
            <v>40.340515140000001</v>
          </cell>
          <cell r="AD3800">
            <v>36.172302250000001</v>
          </cell>
        </row>
        <row r="3801">
          <cell r="L3801" t="str">
            <v>الحجية</v>
          </cell>
          <cell r="M3801" t="str">
            <v>C4500</v>
          </cell>
          <cell r="AC3801">
            <v>40.70910645</v>
          </cell>
          <cell r="AD3801">
            <v>36.197875979999999</v>
          </cell>
        </row>
        <row r="3802">
          <cell r="L3802" t="str">
            <v>الحمدانية</v>
          </cell>
          <cell r="M3802" t="str">
            <v>C4501</v>
          </cell>
          <cell r="AC3802">
            <v>40.709472660000003</v>
          </cell>
          <cell r="AD3802">
            <v>36.217529300000002</v>
          </cell>
        </row>
        <row r="3803">
          <cell r="L3803" t="str">
            <v>أم مدفع</v>
          </cell>
          <cell r="M3803" t="str">
            <v>C4502</v>
          </cell>
          <cell r="AC3803">
            <v>40.275695800000001</v>
          </cell>
          <cell r="AD3803">
            <v>36.158081060000001</v>
          </cell>
        </row>
        <row r="3804">
          <cell r="L3804" t="str">
            <v>أم كهيف</v>
          </cell>
          <cell r="M3804" t="str">
            <v>C4503</v>
          </cell>
          <cell r="AC3804">
            <v>40.446289059999998</v>
          </cell>
          <cell r="AD3804">
            <v>36.108276369999999</v>
          </cell>
        </row>
        <row r="3805">
          <cell r="L3805" t="str">
            <v>متياها</v>
          </cell>
          <cell r="M3805" t="str">
            <v>C4504</v>
          </cell>
          <cell r="AC3805">
            <v>40.458312990000003</v>
          </cell>
          <cell r="AD3805">
            <v>36.191101070000002</v>
          </cell>
        </row>
        <row r="3806">
          <cell r="L3806" t="str">
            <v>مناجيد فوقاني</v>
          </cell>
          <cell r="M3806" t="str">
            <v>C4505</v>
          </cell>
          <cell r="AC3806">
            <v>40.393493650000003</v>
          </cell>
          <cell r="AD3806">
            <v>36.232116699999999</v>
          </cell>
        </row>
        <row r="3807">
          <cell r="L3807" t="str">
            <v>الخان</v>
          </cell>
          <cell r="M3807" t="str">
            <v>C4506</v>
          </cell>
          <cell r="AC3807">
            <v>41.096130369999997</v>
          </cell>
          <cell r="AD3807">
            <v>36.292480470000001</v>
          </cell>
        </row>
        <row r="3808">
          <cell r="L3808" t="str">
            <v>جنبة شرقي</v>
          </cell>
          <cell r="M3808" t="str">
            <v>C4507</v>
          </cell>
          <cell r="AC3808">
            <v>41.171875</v>
          </cell>
          <cell r="AD3808">
            <v>36.282287599999997</v>
          </cell>
        </row>
        <row r="3809">
          <cell r="L3809" t="str">
            <v>جنبه وسطى</v>
          </cell>
          <cell r="M3809" t="str">
            <v>C4508</v>
          </cell>
          <cell r="AC3809">
            <v>41.15350342</v>
          </cell>
          <cell r="AD3809">
            <v>36.2833252</v>
          </cell>
        </row>
        <row r="3810">
          <cell r="L3810" t="str">
            <v>غزالة الهول</v>
          </cell>
          <cell r="M3810" t="str">
            <v>C4509</v>
          </cell>
          <cell r="AC3810">
            <v>41.283081060000001</v>
          </cell>
          <cell r="AD3810">
            <v>36.514892580000001</v>
          </cell>
        </row>
        <row r="3811">
          <cell r="L3811" t="str">
            <v>أم فكيك</v>
          </cell>
          <cell r="M3811" t="str">
            <v>C4510</v>
          </cell>
          <cell r="AC3811">
            <v>41.27850342</v>
          </cell>
          <cell r="AD3811">
            <v>36.539672850000002</v>
          </cell>
        </row>
        <row r="3812">
          <cell r="L3812" t="str">
            <v>المتصرفية</v>
          </cell>
          <cell r="M3812" t="str">
            <v>C4511</v>
          </cell>
          <cell r="AC3812">
            <v>40.941101070000002</v>
          </cell>
          <cell r="AD3812">
            <v>36.359497070000003</v>
          </cell>
        </row>
        <row r="3813">
          <cell r="L3813" t="str">
            <v>أبو وشاش</v>
          </cell>
          <cell r="M3813" t="str">
            <v>C4512</v>
          </cell>
          <cell r="AC3813">
            <v>40.933471679999997</v>
          </cell>
          <cell r="AD3813">
            <v>36.337280270000001</v>
          </cell>
        </row>
        <row r="3814">
          <cell r="L3814" t="str">
            <v>خاتونية بحرة</v>
          </cell>
          <cell r="M3814" t="str">
            <v>C4513</v>
          </cell>
          <cell r="AC3814">
            <v>41.223327640000001</v>
          </cell>
          <cell r="AD3814">
            <v>36.422485350000002</v>
          </cell>
        </row>
        <row r="3815">
          <cell r="L3815" t="str">
            <v>أبو حجيرة خواتنة</v>
          </cell>
          <cell r="M3815" t="str">
            <v>C4514</v>
          </cell>
          <cell r="AC3815">
            <v>41.103698729999998</v>
          </cell>
          <cell r="AD3815">
            <v>36.40991211</v>
          </cell>
        </row>
        <row r="3816">
          <cell r="L3816" t="str">
            <v>خويتلة حمود</v>
          </cell>
          <cell r="M3816" t="str">
            <v>C4515</v>
          </cell>
          <cell r="AC3816">
            <v>41.151916499999999</v>
          </cell>
          <cell r="AD3816">
            <v>36.532104490000002</v>
          </cell>
        </row>
        <row r="3817">
          <cell r="L3817" t="str">
            <v>شلالة</v>
          </cell>
          <cell r="M3817" t="str">
            <v>C4516</v>
          </cell>
          <cell r="AC3817">
            <v>41.003112790000003</v>
          </cell>
          <cell r="AD3817">
            <v>36.368896479999997</v>
          </cell>
        </row>
        <row r="3818">
          <cell r="L3818" t="str">
            <v>النفايل</v>
          </cell>
          <cell r="M3818" t="str">
            <v>C4517</v>
          </cell>
          <cell r="AC3818">
            <v>41.271484379999997</v>
          </cell>
          <cell r="AD3818">
            <v>36.552124020000001</v>
          </cell>
        </row>
        <row r="3819">
          <cell r="L3819" t="str">
            <v>عطشانة</v>
          </cell>
          <cell r="M3819" t="str">
            <v>C4518</v>
          </cell>
          <cell r="AC3819">
            <v>41.084716800000002</v>
          </cell>
          <cell r="AD3819">
            <v>36.509277339999997</v>
          </cell>
        </row>
        <row r="3820">
          <cell r="L3820" t="str">
            <v>الهول</v>
          </cell>
          <cell r="M3820" t="str">
            <v>C4519</v>
          </cell>
          <cell r="AC3820">
            <v>41.150695800000001</v>
          </cell>
          <cell r="AD3820">
            <v>36.390502929999997</v>
          </cell>
        </row>
        <row r="3821">
          <cell r="L3821" t="str">
            <v>بوثة شرقية</v>
          </cell>
          <cell r="M3821" t="str">
            <v>C4520</v>
          </cell>
          <cell r="AC3821">
            <v>41.148315429999997</v>
          </cell>
          <cell r="AD3821">
            <v>36.486511229999998</v>
          </cell>
        </row>
        <row r="3822">
          <cell r="L3822" t="str">
            <v>نزيله</v>
          </cell>
          <cell r="M3822" t="str">
            <v>C4521</v>
          </cell>
          <cell r="AC3822">
            <v>41.01147461</v>
          </cell>
          <cell r="AD3822">
            <v>36.428710940000002</v>
          </cell>
        </row>
        <row r="3823">
          <cell r="L3823" t="str">
            <v>مزرعة الهول الغربية</v>
          </cell>
          <cell r="M3823" t="str">
            <v>C4522</v>
          </cell>
          <cell r="AC3823">
            <v>41.05627441</v>
          </cell>
          <cell r="AD3823">
            <v>36.38647461</v>
          </cell>
        </row>
        <row r="3824">
          <cell r="L3824" t="str">
            <v>قطارة</v>
          </cell>
          <cell r="M3824" t="str">
            <v>C4523</v>
          </cell>
          <cell r="AC3824">
            <v>40.981872559999999</v>
          </cell>
          <cell r="AD3824">
            <v>36.29388428</v>
          </cell>
        </row>
        <row r="3825">
          <cell r="L3825" t="str">
            <v>التفاحية</v>
          </cell>
          <cell r="M3825" t="str">
            <v>C4524</v>
          </cell>
          <cell r="AC3825">
            <v>41.205688479999999</v>
          </cell>
          <cell r="AD3825">
            <v>36.876281740000003</v>
          </cell>
        </row>
        <row r="3826">
          <cell r="L3826" t="str">
            <v>شماسية</v>
          </cell>
          <cell r="M3826" t="str">
            <v>C4525</v>
          </cell>
          <cell r="AC3826">
            <v>41.195678710000003</v>
          </cell>
          <cell r="AD3826">
            <v>36.902282720000002</v>
          </cell>
        </row>
        <row r="3827">
          <cell r="L3827" t="str">
            <v>الحاتمية</v>
          </cell>
          <cell r="M3827" t="str">
            <v>C4526</v>
          </cell>
          <cell r="AC3827">
            <v>41.078491210000003</v>
          </cell>
          <cell r="AD3827">
            <v>37.046691899999999</v>
          </cell>
        </row>
        <row r="3828">
          <cell r="L3828" t="str">
            <v>سويدية كبيرة</v>
          </cell>
          <cell r="M3828" t="str">
            <v>C4527</v>
          </cell>
          <cell r="AC3828">
            <v>41.309692380000001</v>
          </cell>
          <cell r="AD3828">
            <v>36.919494630000003</v>
          </cell>
        </row>
        <row r="3829">
          <cell r="L3829" t="str">
            <v>الثورة</v>
          </cell>
          <cell r="M3829" t="str">
            <v>C4528</v>
          </cell>
          <cell r="AC3829">
            <v>41.130676270000002</v>
          </cell>
          <cell r="AD3829">
            <v>37.040893560000001</v>
          </cell>
        </row>
        <row r="3830">
          <cell r="L3830" t="str">
            <v>سويدية صغيرة</v>
          </cell>
          <cell r="M3830" t="str">
            <v>C4529</v>
          </cell>
          <cell r="AC3830">
            <v>41.308288570000002</v>
          </cell>
          <cell r="AD3830">
            <v>36.934326169999999</v>
          </cell>
        </row>
        <row r="3831">
          <cell r="L3831" t="str">
            <v>دودان</v>
          </cell>
          <cell r="M3831" t="str">
            <v>C4530</v>
          </cell>
          <cell r="AC3831">
            <v>41.090881349999997</v>
          </cell>
          <cell r="AD3831">
            <v>37.090271000000001</v>
          </cell>
        </row>
        <row r="3832">
          <cell r="L3832" t="str">
            <v>تل الذهب قامشلي</v>
          </cell>
          <cell r="M3832" t="str">
            <v>C4531</v>
          </cell>
          <cell r="AC3832">
            <v>41.180114750000001</v>
          </cell>
          <cell r="AD3832">
            <v>36.867919919999999</v>
          </cell>
        </row>
        <row r="3833">
          <cell r="L3833" t="str">
            <v>الرشوانية</v>
          </cell>
          <cell r="M3833" t="str">
            <v>C4532</v>
          </cell>
          <cell r="AC3833">
            <v>41.282897949999999</v>
          </cell>
          <cell r="AD3833">
            <v>37.015502929999997</v>
          </cell>
        </row>
        <row r="3834">
          <cell r="L3834" t="str">
            <v>تل طير</v>
          </cell>
          <cell r="M3834" t="str">
            <v>C4533</v>
          </cell>
          <cell r="AC3834">
            <v>41.145324709999997</v>
          </cell>
          <cell r="AD3834">
            <v>36.876708979999997</v>
          </cell>
        </row>
        <row r="3835">
          <cell r="L3835" t="str">
            <v>تل فارس</v>
          </cell>
          <cell r="M3835" t="str">
            <v>C4534</v>
          </cell>
          <cell r="AC3835">
            <v>41.159301759999998</v>
          </cell>
          <cell r="AD3835">
            <v>37.012329100000002</v>
          </cell>
        </row>
        <row r="3836">
          <cell r="L3836" t="str">
            <v>خربة القاضي</v>
          </cell>
          <cell r="M3836" t="str">
            <v>C4535</v>
          </cell>
          <cell r="AC3836">
            <v>41.114501949999998</v>
          </cell>
          <cell r="AD3836">
            <v>36.850891109999999</v>
          </cell>
        </row>
        <row r="3837">
          <cell r="L3837" t="str">
            <v>الكيطة</v>
          </cell>
          <cell r="M3837" t="str">
            <v>C4536</v>
          </cell>
          <cell r="AC3837">
            <v>41.179077149999998</v>
          </cell>
          <cell r="AD3837">
            <v>36.928710940000002</v>
          </cell>
        </row>
        <row r="3838">
          <cell r="L3838" t="str">
            <v>النجم</v>
          </cell>
          <cell r="M3838" t="str">
            <v>C4537</v>
          </cell>
          <cell r="AC3838">
            <v>41.118286130000001</v>
          </cell>
          <cell r="AD3838">
            <v>37.038879399999999</v>
          </cell>
        </row>
        <row r="3839">
          <cell r="L3839" t="str">
            <v>الركابية</v>
          </cell>
          <cell r="M3839" t="str">
            <v>C4538</v>
          </cell>
          <cell r="AC3839">
            <v>41.323913570000002</v>
          </cell>
          <cell r="AD3839">
            <v>36.969116210000003</v>
          </cell>
        </row>
        <row r="3840">
          <cell r="L3840" t="str">
            <v>دمخية كبيرة</v>
          </cell>
          <cell r="M3840" t="str">
            <v>C4539</v>
          </cell>
          <cell r="AC3840">
            <v>41.184082029999999</v>
          </cell>
          <cell r="AD3840">
            <v>36.988891600000002</v>
          </cell>
        </row>
        <row r="3841">
          <cell r="L3841" t="str">
            <v>تل كيف عنز</v>
          </cell>
          <cell r="M3841" t="str">
            <v>C4540</v>
          </cell>
          <cell r="AC3841">
            <v>41.080505369999997</v>
          </cell>
          <cell r="AD3841">
            <v>36.884277339999997</v>
          </cell>
        </row>
        <row r="3842">
          <cell r="L3842" t="str">
            <v>صالحية</v>
          </cell>
          <cell r="M3842" t="str">
            <v>C4541</v>
          </cell>
          <cell r="AC3842">
            <v>41.25390625</v>
          </cell>
          <cell r="AD3842">
            <v>36.826110839999998</v>
          </cell>
        </row>
        <row r="3843">
          <cell r="L3843" t="str">
            <v>أبو ذويل</v>
          </cell>
          <cell r="M3843" t="str">
            <v>C4542</v>
          </cell>
          <cell r="AC3843">
            <v>41.196289059999998</v>
          </cell>
          <cell r="AD3843">
            <v>36.943298339999998</v>
          </cell>
        </row>
        <row r="3844">
          <cell r="L3844" t="str">
            <v>أبو راسين قامشلي</v>
          </cell>
          <cell r="M3844" t="str">
            <v>C4543</v>
          </cell>
          <cell r="AC3844">
            <v>41.140502929999997</v>
          </cell>
          <cell r="AD3844">
            <v>36.953308110000002</v>
          </cell>
        </row>
        <row r="3845">
          <cell r="L3845" t="str">
            <v>دلاوية كبيرة</v>
          </cell>
          <cell r="M3845" t="str">
            <v>C4544</v>
          </cell>
          <cell r="AC3845">
            <v>41.192077640000001</v>
          </cell>
          <cell r="AD3845">
            <v>36.92669678</v>
          </cell>
        </row>
        <row r="3846">
          <cell r="L3846" t="str">
            <v>خربة تمو</v>
          </cell>
          <cell r="M3846" t="str">
            <v>C4545</v>
          </cell>
          <cell r="AC3846">
            <v>41.094116210000003</v>
          </cell>
          <cell r="AD3846">
            <v>36.934082029999999</v>
          </cell>
        </row>
        <row r="3847">
          <cell r="L3847" t="str">
            <v>تخت الشماسية</v>
          </cell>
          <cell r="M3847" t="str">
            <v>C4546</v>
          </cell>
          <cell r="AC3847">
            <v>41.193115229999997</v>
          </cell>
          <cell r="AD3847">
            <v>36.871704100000002</v>
          </cell>
        </row>
        <row r="3848">
          <cell r="L3848" t="str">
            <v>أم جفار فوقاني كبير</v>
          </cell>
          <cell r="M3848" t="str">
            <v>C4547</v>
          </cell>
          <cell r="AC3848">
            <v>41.254516600000002</v>
          </cell>
          <cell r="AD3848">
            <v>36.912719729999999</v>
          </cell>
        </row>
        <row r="3849">
          <cell r="L3849" t="str">
            <v>جوخة</v>
          </cell>
          <cell r="M3849" t="str">
            <v>C4548</v>
          </cell>
          <cell r="AC3849">
            <v>41.27893066</v>
          </cell>
          <cell r="AD3849">
            <v>37.007507320000002</v>
          </cell>
        </row>
        <row r="3850">
          <cell r="L3850" t="str">
            <v>دلالي</v>
          </cell>
          <cell r="M3850" t="str">
            <v>C4549</v>
          </cell>
          <cell r="AC3850">
            <v>41.11328125</v>
          </cell>
          <cell r="AD3850">
            <v>36.839294430000002</v>
          </cell>
        </row>
        <row r="3851">
          <cell r="L3851" t="str">
            <v>تل شعير قامشلي</v>
          </cell>
          <cell r="M3851" t="str">
            <v>C4550</v>
          </cell>
          <cell r="AC3851">
            <v>41.118713380000003</v>
          </cell>
          <cell r="AD3851">
            <v>37.06549072</v>
          </cell>
        </row>
        <row r="3852">
          <cell r="L3852" t="str">
            <v>عاكولة قامشلي</v>
          </cell>
          <cell r="M3852" t="str">
            <v>C4551</v>
          </cell>
          <cell r="AC3852">
            <v>41.144714360000002</v>
          </cell>
          <cell r="AD3852">
            <v>36.908508300000001</v>
          </cell>
        </row>
        <row r="3853">
          <cell r="L3853" t="str">
            <v>أبو جلال</v>
          </cell>
          <cell r="M3853" t="str">
            <v>C4552</v>
          </cell>
          <cell r="AC3853">
            <v>41.235717770000001</v>
          </cell>
          <cell r="AD3853">
            <v>36.957702640000001</v>
          </cell>
        </row>
        <row r="3854">
          <cell r="L3854" t="str">
            <v>الرجم</v>
          </cell>
          <cell r="M3854" t="str">
            <v>C4553</v>
          </cell>
          <cell r="AC3854">
            <v>41.130920410000002</v>
          </cell>
          <cell r="AD3854">
            <v>36.840881349999997</v>
          </cell>
        </row>
        <row r="3855">
          <cell r="L3855" t="str">
            <v>جدوع</v>
          </cell>
          <cell r="M3855" t="str">
            <v>C4554</v>
          </cell>
          <cell r="AC3855">
            <v>41.263488770000002</v>
          </cell>
          <cell r="AD3855">
            <v>36.9005127</v>
          </cell>
        </row>
        <row r="3856">
          <cell r="L3856" t="str">
            <v>طرطب</v>
          </cell>
          <cell r="M3856" t="str">
            <v>C4555</v>
          </cell>
          <cell r="AC3856">
            <v>41.232910160000003</v>
          </cell>
          <cell r="AD3856">
            <v>37.01147461</v>
          </cell>
        </row>
        <row r="3857">
          <cell r="L3857" t="str">
            <v>تل التبن</v>
          </cell>
          <cell r="M3857" t="str">
            <v>C4556</v>
          </cell>
          <cell r="AC3857">
            <v>41.240295410000002</v>
          </cell>
          <cell r="AD3857">
            <v>36.890502929999997</v>
          </cell>
        </row>
        <row r="3858">
          <cell r="L3858" t="str">
            <v>البولادية</v>
          </cell>
          <cell r="M3858" t="str">
            <v>C4557</v>
          </cell>
          <cell r="AC3858">
            <v>41.314270020000002</v>
          </cell>
          <cell r="AD3858">
            <v>36.9453125</v>
          </cell>
        </row>
        <row r="3859">
          <cell r="L3859" t="str">
            <v>خربة ضاهر</v>
          </cell>
          <cell r="M3859" t="str">
            <v>C4558</v>
          </cell>
          <cell r="AC3859">
            <v>41.165100099999997</v>
          </cell>
          <cell r="AD3859">
            <v>36.843078609999999</v>
          </cell>
        </row>
        <row r="3860">
          <cell r="L3860" t="str">
            <v>تل الثوم</v>
          </cell>
          <cell r="M3860" t="str">
            <v>C4559</v>
          </cell>
          <cell r="AC3860">
            <v>41.247924810000001</v>
          </cell>
          <cell r="AD3860">
            <v>36.973876949999998</v>
          </cell>
        </row>
        <row r="3861">
          <cell r="L3861" t="str">
            <v>رحية</v>
          </cell>
          <cell r="M3861" t="str">
            <v>C4560</v>
          </cell>
          <cell r="AC3861">
            <v>41.360107419999999</v>
          </cell>
          <cell r="AD3861">
            <v>36.93591309</v>
          </cell>
        </row>
        <row r="3862">
          <cell r="L3862" t="str">
            <v>تل عيد</v>
          </cell>
          <cell r="M3862" t="str">
            <v>C4561</v>
          </cell>
          <cell r="AC3862">
            <v>41.336914059999998</v>
          </cell>
          <cell r="AD3862">
            <v>36.947692869999997</v>
          </cell>
        </row>
        <row r="3863">
          <cell r="L3863" t="str">
            <v>بركو فوقاني</v>
          </cell>
          <cell r="M3863" t="str">
            <v>C4562</v>
          </cell>
          <cell r="AC3863">
            <v>41.119323729999998</v>
          </cell>
          <cell r="AD3863">
            <v>36.898071289999997</v>
          </cell>
        </row>
        <row r="3864">
          <cell r="L3864" t="str">
            <v>خربة عنتر</v>
          </cell>
          <cell r="M3864" t="str">
            <v>C4563</v>
          </cell>
          <cell r="AC3864">
            <v>41.093078609999999</v>
          </cell>
          <cell r="AD3864">
            <v>36.873718259999997</v>
          </cell>
        </row>
        <row r="3865">
          <cell r="L3865" t="str">
            <v>القامشلي</v>
          </cell>
          <cell r="M3865" t="str">
            <v>C4564</v>
          </cell>
          <cell r="AC3865">
            <v>41.22631836</v>
          </cell>
          <cell r="AD3865">
            <v>37.044677729999997</v>
          </cell>
        </row>
        <row r="3866">
          <cell r="L3866" t="str">
            <v>رزازة</v>
          </cell>
          <cell r="M3866" t="str">
            <v>C4565</v>
          </cell>
          <cell r="AC3866">
            <v>41.214111330000001</v>
          </cell>
          <cell r="AD3866">
            <v>36.905883789999997</v>
          </cell>
        </row>
        <row r="3867">
          <cell r="L3867" t="str">
            <v>جرمز</v>
          </cell>
          <cell r="M3867" t="str">
            <v>C4566</v>
          </cell>
          <cell r="AC3867">
            <v>41.293518069999998</v>
          </cell>
          <cell r="AD3867">
            <v>36.944885249999999</v>
          </cell>
        </row>
        <row r="3868">
          <cell r="L3868" t="str">
            <v>خربة عمو</v>
          </cell>
          <cell r="M3868" t="str">
            <v>C4567</v>
          </cell>
          <cell r="AC3868">
            <v>41.280700680000002</v>
          </cell>
          <cell r="AD3868">
            <v>37.03790283</v>
          </cell>
        </row>
        <row r="3869">
          <cell r="L3869" t="str">
            <v>الشرك</v>
          </cell>
          <cell r="M3869" t="str">
            <v>C4568</v>
          </cell>
          <cell r="AC3869">
            <v>41.294677729999997</v>
          </cell>
          <cell r="AD3869">
            <v>37.03607178</v>
          </cell>
        </row>
        <row r="3870">
          <cell r="L3870" t="str">
            <v>حامـــو</v>
          </cell>
          <cell r="M3870" t="str">
            <v>C4569</v>
          </cell>
          <cell r="AC3870">
            <v>41.338073729999998</v>
          </cell>
          <cell r="AD3870">
            <v>37.00872803</v>
          </cell>
        </row>
        <row r="3871">
          <cell r="L3871" t="str">
            <v>صافية قامشلي</v>
          </cell>
          <cell r="M3871" t="str">
            <v>C4570</v>
          </cell>
          <cell r="AC3871">
            <v>41.209472660000003</v>
          </cell>
          <cell r="AD3871">
            <v>36.967285160000003</v>
          </cell>
        </row>
        <row r="3872">
          <cell r="L3872" t="str">
            <v>تل سطيح غربي</v>
          </cell>
          <cell r="M3872" t="str">
            <v>C4571</v>
          </cell>
          <cell r="AC3872">
            <v>41.270324709999997</v>
          </cell>
          <cell r="AD3872">
            <v>36.850097660000003</v>
          </cell>
        </row>
        <row r="3873">
          <cell r="L3873" t="str">
            <v>القصير</v>
          </cell>
          <cell r="M3873" t="str">
            <v>C4572</v>
          </cell>
          <cell r="AC3873">
            <v>41.32971191</v>
          </cell>
          <cell r="AD3873">
            <v>37.018493650000003</v>
          </cell>
        </row>
        <row r="3874">
          <cell r="L3874" t="str">
            <v>تل عودة قامشلي</v>
          </cell>
          <cell r="M3874" t="str">
            <v>C4573</v>
          </cell>
          <cell r="AC3874">
            <v>41.262084960000003</v>
          </cell>
          <cell r="AD3874">
            <v>36.94372559</v>
          </cell>
        </row>
        <row r="3875">
          <cell r="L3875" t="str">
            <v>باوع كبير</v>
          </cell>
          <cell r="M3875" t="str">
            <v>C4574</v>
          </cell>
          <cell r="AC3875">
            <v>41.19689941</v>
          </cell>
          <cell r="AD3875">
            <v>36.838073729999998</v>
          </cell>
        </row>
        <row r="3876">
          <cell r="L3876" t="str">
            <v>أم الفرسان</v>
          </cell>
          <cell r="M3876" t="str">
            <v>C4575</v>
          </cell>
          <cell r="AC3876">
            <v>41.285278320000003</v>
          </cell>
          <cell r="AD3876">
            <v>37.053283690000001</v>
          </cell>
        </row>
        <row r="3877">
          <cell r="L3877" t="str">
            <v>ملوك سراي</v>
          </cell>
          <cell r="M3877" t="str">
            <v>C4576</v>
          </cell>
          <cell r="AC3877">
            <v>41.220275880000003</v>
          </cell>
          <cell r="AD3877">
            <v>36.942077640000001</v>
          </cell>
        </row>
        <row r="3878">
          <cell r="L3878" t="str">
            <v>هرم شيخو</v>
          </cell>
          <cell r="M3878" t="str">
            <v>C4577</v>
          </cell>
          <cell r="AC3878">
            <v>41.092102050000001</v>
          </cell>
          <cell r="AD3878">
            <v>37.046691899999999</v>
          </cell>
        </row>
        <row r="3879">
          <cell r="L3879" t="str">
            <v>هرم حسن</v>
          </cell>
          <cell r="M3879" t="str">
            <v>C4578</v>
          </cell>
          <cell r="AC3879">
            <v>41.094299319999998</v>
          </cell>
          <cell r="AD3879">
            <v>36.89727783</v>
          </cell>
        </row>
        <row r="3880">
          <cell r="L3880" t="str">
            <v>مريوزة</v>
          </cell>
          <cell r="M3880" t="str">
            <v>C4579</v>
          </cell>
          <cell r="AC3880">
            <v>41.13647461</v>
          </cell>
          <cell r="AD3880">
            <v>36.833312990000003</v>
          </cell>
        </row>
        <row r="3881">
          <cell r="L3881" t="str">
            <v>وطوطية</v>
          </cell>
          <cell r="M3881" t="str">
            <v>C4580</v>
          </cell>
          <cell r="AC3881">
            <v>41.199707029999999</v>
          </cell>
          <cell r="AD3881">
            <v>36.969726559999998</v>
          </cell>
        </row>
        <row r="3882">
          <cell r="L3882" t="str">
            <v>نقارة</v>
          </cell>
          <cell r="M3882" t="str">
            <v>C4581</v>
          </cell>
          <cell r="AC3882">
            <v>41.121276860000002</v>
          </cell>
          <cell r="AD3882">
            <v>37.003295899999998</v>
          </cell>
        </row>
        <row r="3883">
          <cell r="L3883" t="str">
            <v>هياهي</v>
          </cell>
          <cell r="M3883" t="str">
            <v>C4582</v>
          </cell>
          <cell r="AC3883">
            <v>41.294921879999997</v>
          </cell>
          <cell r="AD3883">
            <v>36.973693849999997</v>
          </cell>
        </row>
        <row r="3884">
          <cell r="L3884" t="str">
            <v>غيبي</v>
          </cell>
          <cell r="M3884" t="str">
            <v>C4583</v>
          </cell>
          <cell r="AC3884">
            <v>41.33752441</v>
          </cell>
          <cell r="AD3884">
            <v>37.0546875</v>
          </cell>
        </row>
        <row r="3885">
          <cell r="L3885" t="str">
            <v>تل بستان صغير</v>
          </cell>
          <cell r="M3885" t="str">
            <v>C4584</v>
          </cell>
          <cell r="AC3885">
            <v>41.257080080000001</v>
          </cell>
          <cell r="AD3885">
            <v>36.777282720000002</v>
          </cell>
        </row>
        <row r="3886">
          <cell r="L3886" t="str">
            <v>تل عيس</v>
          </cell>
          <cell r="M3886" t="str">
            <v>C4585</v>
          </cell>
          <cell r="AC3886">
            <v>41.28607178</v>
          </cell>
          <cell r="AD3886">
            <v>36.595703129999997</v>
          </cell>
        </row>
        <row r="3887">
          <cell r="L3887" t="str">
            <v>تل احيمر</v>
          </cell>
          <cell r="M3887" t="str">
            <v>C4586</v>
          </cell>
          <cell r="AC3887">
            <v>41.646911619999997</v>
          </cell>
          <cell r="AD3887">
            <v>36.72747803</v>
          </cell>
        </row>
        <row r="3888">
          <cell r="L3888" t="str">
            <v>زبيدة</v>
          </cell>
          <cell r="M3888" t="str">
            <v>C4587</v>
          </cell>
          <cell r="AC3888">
            <v>41.650085449999999</v>
          </cell>
          <cell r="AD3888">
            <v>36.701721190000001</v>
          </cell>
        </row>
        <row r="3889">
          <cell r="L3889" t="str">
            <v>زوما الصغرى</v>
          </cell>
          <cell r="M3889" t="str">
            <v>C4588</v>
          </cell>
          <cell r="AC3889">
            <v>41.350891109999999</v>
          </cell>
          <cell r="AD3889">
            <v>36.703125</v>
          </cell>
        </row>
        <row r="3890">
          <cell r="L3890" t="str">
            <v>خزاعة</v>
          </cell>
          <cell r="M3890" t="str">
            <v>C4589</v>
          </cell>
          <cell r="AC3890">
            <v>41.674072270000003</v>
          </cell>
          <cell r="AD3890">
            <v>36.580688479999999</v>
          </cell>
        </row>
        <row r="3891">
          <cell r="L3891" t="str">
            <v>خراب المهار</v>
          </cell>
          <cell r="M3891" t="str">
            <v>C4590</v>
          </cell>
          <cell r="AC3891">
            <v>41.367126470000002</v>
          </cell>
          <cell r="AD3891">
            <v>36.78930664</v>
          </cell>
        </row>
        <row r="3892">
          <cell r="L3892" t="str">
            <v>طواريج الغرقانة</v>
          </cell>
          <cell r="M3892" t="str">
            <v>C4591</v>
          </cell>
          <cell r="AC3892">
            <v>41.301513669999999</v>
          </cell>
          <cell r="AD3892">
            <v>36.861511229999998</v>
          </cell>
        </row>
        <row r="3893">
          <cell r="L3893" t="str">
            <v>تفاحية تل حميس</v>
          </cell>
          <cell r="M3893" t="str">
            <v>C4592</v>
          </cell>
          <cell r="AC3893">
            <v>41.266723630000001</v>
          </cell>
          <cell r="AD3893">
            <v>36.652526860000002</v>
          </cell>
        </row>
        <row r="3894">
          <cell r="L3894" t="str">
            <v>خريجة تل حميس</v>
          </cell>
          <cell r="M3894" t="str">
            <v>C4593</v>
          </cell>
          <cell r="AC3894">
            <v>41.269897460000003</v>
          </cell>
          <cell r="AD3894">
            <v>36.77893066</v>
          </cell>
        </row>
        <row r="3895">
          <cell r="L3895" t="str">
            <v>تغلب</v>
          </cell>
          <cell r="M3895" t="str">
            <v>C4594</v>
          </cell>
          <cell r="AC3895">
            <v>41.524719240000003</v>
          </cell>
          <cell r="AD3895">
            <v>36.561706540000003</v>
          </cell>
        </row>
        <row r="3896">
          <cell r="L3896" t="str">
            <v>عكاظ</v>
          </cell>
          <cell r="M3896" t="str">
            <v>C4595</v>
          </cell>
          <cell r="AC3896">
            <v>41.42669678</v>
          </cell>
          <cell r="AD3896">
            <v>36.6270752</v>
          </cell>
        </row>
        <row r="3897">
          <cell r="L3897" t="str">
            <v>الحديبية</v>
          </cell>
          <cell r="M3897" t="str">
            <v>C4596</v>
          </cell>
          <cell r="AC3897">
            <v>41.475708009999998</v>
          </cell>
          <cell r="AD3897">
            <v>36.630920410000002</v>
          </cell>
        </row>
        <row r="3898">
          <cell r="L3898" t="str">
            <v>تل غزال</v>
          </cell>
          <cell r="M3898" t="str">
            <v>C4597</v>
          </cell>
          <cell r="AC3898">
            <v>41.341491699999999</v>
          </cell>
          <cell r="AD3898">
            <v>36.879272460000003</v>
          </cell>
        </row>
        <row r="3899">
          <cell r="L3899" t="str">
            <v>تل عنبر</v>
          </cell>
          <cell r="M3899" t="str">
            <v>C4598</v>
          </cell>
          <cell r="AC3899">
            <v>41.324279789999999</v>
          </cell>
          <cell r="AD3899">
            <v>36.851684570000003</v>
          </cell>
        </row>
        <row r="3900">
          <cell r="L3900" t="str">
            <v>الراشدية</v>
          </cell>
          <cell r="M3900" t="str">
            <v>C4599</v>
          </cell>
          <cell r="AC3900">
            <v>41.267272949999999</v>
          </cell>
          <cell r="AD3900">
            <v>36.878478999999999</v>
          </cell>
        </row>
        <row r="3901">
          <cell r="L3901" t="str">
            <v>غرناطة شرقية</v>
          </cell>
          <cell r="M3901" t="str">
            <v>C4600</v>
          </cell>
          <cell r="AC3901">
            <v>41.546691899999999</v>
          </cell>
          <cell r="AD3901">
            <v>36.609313970000002</v>
          </cell>
        </row>
        <row r="3902">
          <cell r="L3902" t="str">
            <v>طراحية_شيخ سالم</v>
          </cell>
          <cell r="M3902" t="str">
            <v>C4601</v>
          </cell>
          <cell r="AC3902">
            <v>41.370300290000003</v>
          </cell>
          <cell r="AD3902">
            <v>36.713317869999997</v>
          </cell>
        </row>
        <row r="3903">
          <cell r="L3903" t="str">
            <v>الحدادية تل حميس</v>
          </cell>
          <cell r="M3903" t="str">
            <v>C4602</v>
          </cell>
          <cell r="AC3903">
            <v>41.279479979999998</v>
          </cell>
          <cell r="AD3903">
            <v>36.842529300000002</v>
          </cell>
        </row>
        <row r="3904">
          <cell r="L3904" t="str">
            <v>حصوية فوقاني صغير</v>
          </cell>
          <cell r="M3904" t="str">
            <v>C4603</v>
          </cell>
          <cell r="AC3904">
            <v>41.450927729999997</v>
          </cell>
          <cell r="AD3904">
            <v>36.800476070000002</v>
          </cell>
        </row>
        <row r="3905">
          <cell r="L3905" t="str">
            <v>الزرقاء</v>
          </cell>
          <cell r="M3905" t="str">
            <v>C4604</v>
          </cell>
          <cell r="AC3905">
            <v>41.700927729999997</v>
          </cell>
          <cell r="AD3905">
            <v>36.714111330000001</v>
          </cell>
        </row>
        <row r="3906">
          <cell r="L3906" t="str">
            <v>طامنة البرية</v>
          </cell>
          <cell r="M3906" t="str">
            <v>C4605</v>
          </cell>
          <cell r="AC3906">
            <v>41.283508300000001</v>
          </cell>
          <cell r="AD3906">
            <v>36.81549072</v>
          </cell>
        </row>
        <row r="3907">
          <cell r="L3907" t="str">
            <v>سفانة وعكرشة</v>
          </cell>
          <cell r="M3907" t="str">
            <v>C4606</v>
          </cell>
          <cell r="AC3907">
            <v>41.736511229999998</v>
          </cell>
          <cell r="AD3907">
            <v>36.705078129999997</v>
          </cell>
        </row>
        <row r="3908">
          <cell r="L3908" t="str">
            <v>أبو توينة</v>
          </cell>
          <cell r="M3908" t="str">
            <v>C4607</v>
          </cell>
          <cell r="AC3908">
            <v>41.380126949999998</v>
          </cell>
          <cell r="AD3908">
            <v>36.830322270000003</v>
          </cell>
        </row>
        <row r="3909">
          <cell r="L3909" t="str">
            <v>حصوية تحتاني كبير</v>
          </cell>
          <cell r="M3909" t="str">
            <v>C4608</v>
          </cell>
          <cell r="AC3909">
            <v>41.433471679999997</v>
          </cell>
          <cell r="AD3909">
            <v>36.78491211</v>
          </cell>
        </row>
        <row r="3910">
          <cell r="L3910" t="str">
            <v>القادسية</v>
          </cell>
          <cell r="M3910" t="str">
            <v>C4609</v>
          </cell>
          <cell r="AC3910">
            <v>41.71508789</v>
          </cell>
          <cell r="AD3910">
            <v>36.685485839999998</v>
          </cell>
        </row>
        <row r="3911">
          <cell r="L3911" t="str">
            <v>الفخارية</v>
          </cell>
          <cell r="M3911" t="str">
            <v>C4610</v>
          </cell>
          <cell r="AC3911">
            <v>41.313293459999997</v>
          </cell>
          <cell r="AD3911">
            <v>36.775878910000003</v>
          </cell>
        </row>
        <row r="3912">
          <cell r="L3912" t="str">
            <v>تل أحمد</v>
          </cell>
          <cell r="M3912" t="str">
            <v>C4611</v>
          </cell>
          <cell r="AC3912">
            <v>41.351074220000001</v>
          </cell>
          <cell r="AD3912">
            <v>36.850708009999998</v>
          </cell>
        </row>
        <row r="3913">
          <cell r="L3913" t="str">
            <v>خربة الأحيمر</v>
          </cell>
          <cell r="M3913" t="str">
            <v>C4612</v>
          </cell>
          <cell r="AC3913">
            <v>41.670104979999998</v>
          </cell>
          <cell r="AD3913">
            <v>36.726684570000003</v>
          </cell>
        </row>
        <row r="3914">
          <cell r="L3914" t="str">
            <v>الفسطاط</v>
          </cell>
          <cell r="M3914" t="str">
            <v>C4613</v>
          </cell>
          <cell r="AC3914">
            <v>41.33752441</v>
          </cell>
          <cell r="AD3914">
            <v>36.569274900000003</v>
          </cell>
        </row>
        <row r="3915">
          <cell r="L3915" t="str">
            <v>الخنساء</v>
          </cell>
          <cell r="M3915" t="str">
            <v>C4614</v>
          </cell>
          <cell r="AC3915">
            <v>41.417907720000002</v>
          </cell>
          <cell r="AD3915">
            <v>36.649108890000001</v>
          </cell>
        </row>
        <row r="3916">
          <cell r="L3916" t="str">
            <v>غسان</v>
          </cell>
          <cell r="M3916" t="str">
            <v>C4615</v>
          </cell>
          <cell r="AC3916">
            <v>41.420898440000002</v>
          </cell>
          <cell r="AD3916">
            <v>36.549682619999999</v>
          </cell>
        </row>
        <row r="3917">
          <cell r="L3917" t="str">
            <v>خربة نورا</v>
          </cell>
          <cell r="M3917" t="str">
            <v>C4616</v>
          </cell>
          <cell r="AC3917">
            <v>41.322509770000003</v>
          </cell>
          <cell r="AD3917">
            <v>36.865722660000003</v>
          </cell>
        </row>
        <row r="3918">
          <cell r="L3918" t="str">
            <v>أبو خزف</v>
          </cell>
          <cell r="M3918" t="str">
            <v>C4617</v>
          </cell>
          <cell r="AC3918">
            <v>41.424682619999999</v>
          </cell>
          <cell r="AD3918">
            <v>36.870117190000002</v>
          </cell>
        </row>
        <row r="3919">
          <cell r="L3919" t="str">
            <v>الشمدينية</v>
          </cell>
          <cell r="M3919" t="str">
            <v>C4618</v>
          </cell>
          <cell r="AC3919">
            <v>41.298278809999999</v>
          </cell>
          <cell r="AD3919">
            <v>36.638916020000003</v>
          </cell>
        </row>
        <row r="3920">
          <cell r="L3920" t="str">
            <v>اللد تل حميس</v>
          </cell>
          <cell r="M3920" t="str">
            <v>C4619</v>
          </cell>
          <cell r="AC3920">
            <v>41.73413086</v>
          </cell>
          <cell r="AD3920">
            <v>36.614318849999997</v>
          </cell>
        </row>
        <row r="3921">
          <cell r="L3921" t="str">
            <v>الزباء</v>
          </cell>
          <cell r="M3921" t="str">
            <v>C4620</v>
          </cell>
          <cell r="AC3921">
            <v>41.369689940000001</v>
          </cell>
          <cell r="AD3921">
            <v>36.655883789999997</v>
          </cell>
        </row>
        <row r="3922">
          <cell r="L3922" t="str">
            <v>بلقيس كبيرة</v>
          </cell>
          <cell r="M3922" t="str">
            <v>C4621</v>
          </cell>
          <cell r="AC3922">
            <v>41.31732178</v>
          </cell>
          <cell r="AD3922">
            <v>36.654479979999998</v>
          </cell>
        </row>
        <row r="3923">
          <cell r="L3923" t="str">
            <v>أبو خشب</v>
          </cell>
          <cell r="M3923" t="str">
            <v>C4622</v>
          </cell>
          <cell r="AC3923">
            <v>41.274291990000002</v>
          </cell>
          <cell r="AD3923">
            <v>36.63049316</v>
          </cell>
        </row>
        <row r="3924">
          <cell r="L3924" t="str">
            <v>ربيعة تل حميس</v>
          </cell>
          <cell r="M3924" t="str">
            <v>C4623</v>
          </cell>
          <cell r="AC3924">
            <v>41.453308110000002</v>
          </cell>
          <cell r="AD3924">
            <v>36.55352783</v>
          </cell>
        </row>
        <row r="3925">
          <cell r="L3925" t="str">
            <v>سكيرية</v>
          </cell>
          <cell r="M3925" t="str">
            <v>C4624</v>
          </cell>
          <cell r="AC3925">
            <v>41.326721190000001</v>
          </cell>
          <cell r="AD3925">
            <v>36.724304199999999</v>
          </cell>
        </row>
        <row r="3926">
          <cell r="L3926" t="str">
            <v>خراب عسكر</v>
          </cell>
          <cell r="M3926" t="str">
            <v>C4625</v>
          </cell>
          <cell r="AC3926">
            <v>41.325317380000001</v>
          </cell>
          <cell r="AD3926">
            <v>36.907104490000002</v>
          </cell>
        </row>
        <row r="3927">
          <cell r="L3927" t="str">
            <v>الوهابية</v>
          </cell>
          <cell r="M3927" t="str">
            <v>C4626</v>
          </cell>
          <cell r="AC3927">
            <v>41.331298830000001</v>
          </cell>
          <cell r="AD3927">
            <v>36.885314940000001</v>
          </cell>
        </row>
        <row r="3928">
          <cell r="L3928" t="str">
            <v>تهامة غربية</v>
          </cell>
          <cell r="M3928" t="str">
            <v>C4627</v>
          </cell>
          <cell r="AC3928">
            <v>41.601684570000003</v>
          </cell>
          <cell r="AD3928">
            <v>36.644897460000003</v>
          </cell>
        </row>
        <row r="3929">
          <cell r="L3929" t="str">
            <v>السعدية</v>
          </cell>
          <cell r="M3929" t="str">
            <v>C4628</v>
          </cell>
          <cell r="AC3929">
            <v>41.404296879999997</v>
          </cell>
          <cell r="AD3929">
            <v>36.794494630000003</v>
          </cell>
        </row>
        <row r="3930">
          <cell r="L3930" t="str">
            <v>خويتلة رعيدات</v>
          </cell>
          <cell r="M3930" t="str">
            <v>C4629</v>
          </cell>
          <cell r="AC3930">
            <v>41.363891600000002</v>
          </cell>
          <cell r="AD3930">
            <v>36.815307619999999</v>
          </cell>
        </row>
        <row r="3931">
          <cell r="L3931" t="str">
            <v>أم غدير</v>
          </cell>
          <cell r="M3931" t="str">
            <v>C4630</v>
          </cell>
          <cell r="AC3931">
            <v>41.293273929999998</v>
          </cell>
          <cell r="AD3931">
            <v>36.802490229999997</v>
          </cell>
        </row>
        <row r="3932">
          <cell r="L3932" t="str">
            <v>بلقيس صغيرة شرقية</v>
          </cell>
          <cell r="M3932" t="str">
            <v>C4631</v>
          </cell>
          <cell r="AC3932">
            <v>41.33227539</v>
          </cell>
          <cell r="AD3932">
            <v>36.644897460000003</v>
          </cell>
        </row>
        <row r="3933">
          <cell r="L3933" t="str">
            <v>تل معروف</v>
          </cell>
          <cell r="M3933" t="str">
            <v>C4632</v>
          </cell>
          <cell r="AC3933">
            <v>41.419494630000003</v>
          </cell>
          <cell r="AD3933">
            <v>36.908081060000001</v>
          </cell>
        </row>
        <row r="3934">
          <cell r="L3934" t="str">
            <v>تل سطيح شرقي</v>
          </cell>
          <cell r="M3934" t="str">
            <v>C4633</v>
          </cell>
          <cell r="AC3934">
            <v>41.286682130000003</v>
          </cell>
          <cell r="AD3934">
            <v>36.875671390000001</v>
          </cell>
        </row>
        <row r="3935">
          <cell r="L3935" t="str">
            <v>عمارة الطويل</v>
          </cell>
          <cell r="M3935" t="str">
            <v>C4634</v>
          </cell>
          <cell r="AC3935">
            <v>41.317504880000001</v>
          </cell>
          <cell r="AD3935">
            <v>36.88830566</v>
          </cell>
        </row>
        <row r="3936">
          <cell r="L3936" t="str">
            <v>رحية السودا</v>
          </cell>
          <cell r="M3936" t="str">
            <v>C4635</v>
          </cell>
          <cell r="AC3936">
            <v>41.296691899999999</v>
          </cell>
          <cell r="AD3936">
            <v>36.827270509999998</v>
          </cell>
        </row>
        <row r="3937">
          <cell r="L3937" t="str">
            <v>رشيدية تل حميس</v>
          </cell>
          <cell r="M3937" t="str">
            <v>C4636</v>
          </cell>
          <cell r="AC3937">
            <v>41.299926759999998</v>
          </cell>
          <cell r="AD3937">
            <v>36.760498050000002</v>
          </cell>
        </row>
        <row r="3938">
          <cell r="L3938" t="str">
            <v>الجميلية</v>
          </cell>
          <cell r="M3938" t="str">
            <v>C4637</v>
          </cell>
          <cell r="AC3938">
            <v>41.292297359999999</v>
          </cell>
          <cell r="AD3938">
            <v>36.582519529999999</v>
          </cell>
        </row>
        <row r="3939">
          <cell r="L3939" t="str">
            <v>رحية مدينة</v>
          </cell>
          <cell r="M3939" t="str">
            <v>C4638</v>
          </cell>
          <cell r="AC3939">
            <v>41.326477050000001</v>
          </cell>
          <cell r="AD3939">
            <v>36.804077149999998</v>
          </cell>
        </row>
        <row r="3940">
          <cell r="L3940" t="str">
            <v>تل حميس</v>
          </cell>
          <cell r="M3940" t="str">
            <v>C4639</v>
          </cell>
          <cell r="AC3940">
            <v>41.39752197</v>
          </cell>
          <cell r="AD3940">
            <v>36.756103520000003</v>
          </cell>
        </row>
        <row r="3941">
          <cell r="L3941" t="str">
            <v>تل مها</v>
          </cell>
          <cell r="M3941" t="str">
            <v>C4640</v>
          </cell>
          <cell r="AC3941">
            <v>41.343078609999999</v>
          </cell>
          <cell r="AD3941">
            <v>36.824279789999999</v>
          </cell>
        </row>
        <row r="3942">
          <cell r="L3942" t="str">
            <v>الحسينية تل حميس</v>
          </cell>
          <cell r="M3942" t="str">
            <v>C4641</v>
          </cell>
          <cell r="AC3942">
            <v>41.359497070000003</v>
          </cell>
          <cell r="AD3942">
            <v>36.772888180000002</v>
          </cell>
        </row>
        <row r="3943">
          <cell r="L3943" t="str">
            <v>الباردة</v>
          </cell>
          <cell r="M3943" t="str">
            <v>C4642</v>
          </cell>
          <cell r="AC3943">
            <v>41.268676759999998</v>
          </cell>
          <cell r="AD3943">
            <v>36.765930179999998</v>
          </cell>
        </row>
        <row r="3944">
          <cell r="L3944" t="str">
            <v>الشورى</v>
          </cell>
          <cell r="M3944" t="str">
            <v>C4643</v>
          </cell>
          <cell r="AC3944">
            <v>41.394470220000002</v>
          </cell>
          <cell r="AD3944">
            <v>36.812072749999999</v>
          </cell>
        </row>
        <row r="3945">
          <cell r="L3945" t="str">
            <v>رسم الدروع</v>
          </cell>
          <cell r="M3945" t="str">
            <v>C4644</v>
          </cell>
          <cell r="AC3945">
            <v>41.233276369999999</v>
          </cell>
          <cell r="AD3945">
            <v>36.717529300000002</v>
          </cell>
        </row>
        <row r="3946">
          <cell r="L3946" t="str">
            <v>الظهران</v>
          </cell>
          <cell r="M3946" t="str">
            <v>C4645</v>
          </cell>
          <cell r="AC3946">
            <v>41.57971191</v>
          </cell>
          <cell r="AD3946">
            <v>36.641113279999999</v>
          </cell>
        </row>
        <row r="3947">
          <cell r="L3947" t="str">
            <v>خرنوبي حسو</v>
          </cell>
          <cell r="M3947" t="str">
            <v>C4646</v>
          </cell>
          <cell r="AC3947">
            <v>41.356506349999997</v>
          </cell>
          <cell r="AD3947">
            <v>36.561279300000002</v>
          </cell>
        </row>
        <row r="3948">
          <cell r="L3948" t="str">
            <v>الطائف</v>
          </cell>
          <cell r="M3948" t="str">
            <v>C4647</v>
          </cell>
          <cell r="AC3948">
            <v>41.373474119999997</v>
          </cell>
          <cell r="AD3948">
            <v>36.617675779999999</v>
          </cell>
        </row>
        <row r="3949">
          <cell r="L3949" t="str">
            <v>دمدم</v>
          </cell>
          <cell r="M3949" t="str">
            <v>C4648</v>
          </cell>
          <cell r="AC3949">
            <v>41.308898929999998</v>
          </cell>
          <cell r="AD3949">
            <v>36.60247803</v>
          </cell>
        </row>
        <row r="3950">
          <cell r="L3950" t="str">
            <v>عشوان</v>
          </cell>
          <cell r="M3950" t="str">
            <v>C4649</v>
          </cell>
          <cell r="AC3950">
            <v>41.259277339999997</v>
          </cell>
          <cell r="AD3950">
            <v>36.729919430000002</v>
          </cell>
        </row>
        <row r="3951">
          <cell r="L3951" t="str">
            <v>سليمى</v>
          </cell>
          <cell r="M3951" t="str">
            <v>C4650</v>
          </cell>
          <cell r="AC3951">
            <v>41.649902339999997</v>
          </cell>
          <cell r="AD3951">
            <v>36.584289550000001</v>
          </cell>
        </row>
        <row r="3952">
          <cell r="L3952" t="str">
            <v>الزهراء</v>
          </cell>
          <cell r="M3952" t="str">
            <v>C4651</v>
          </cell>
          <cell r="AC3952">
            <v>41.43450928</v>
          </cell>
          <cell r="AD3952">
            <v>36.583679199999999</v>
          </cell>
        </row>
        <row r="3953">
          <cell r="L3953" t="str">
            <v>حاجية كبيرة</v>
          </cell>
          <cell r="M3953" t="str">
            <v>C4652</v>
          </cell>
          <cell r="AC3953">
            <v>41.371276860000002</v>
          </cell>
          <cell r="AD3953">
            <v>36.922302250000001</v>
          </cell>
        </row>
        <row r="3954">
          <cell r="L3954" t="str">
            <v>حارسة الرد الشرقية</v>
          </cell>
          <cell r="M3954" t="str">
            <v>C4653</v>
          </cell>
          <cell r="AC3954">
            <v>41.606323240000002</v>
          </cell>
          <cell r="AD3954">
            <v>36.720092770000001</v>
          </cell>
        </row>
        <row r="3955">
          <cell r="L3955" t="str">
            <v>شرموخ وسطاني</v>
          </cell>
          <cell r="M3955" t="str">
            <v>C4654</v>
          </cell>
          <cell r="AC3955">
            <v>41.38647461</v>
          </cell>
          <cell r="AD3955">
            <v>36.878478999999999</v>
          </cell>
        </row>
        <row r="3956">
          <cell r="L3956" t="str">
            <v>حنوة كبيرة</v>
          </cell>
          <cell r="M3956" t="str">
            <v>C4655</v>
          </cell>
          <cell r="AC3956">
            <v>41.408874509999997</v>
          </cell>
          <cell r="AD3956">
            <v>36.727905270000001</v>
          </cell>
        </row>
        <row r="3957">
          <cell r="L3957" t="str">
            <v>حارسة الرد الغربية</v>
          </cell>
          <cell r="M3957" t="str">
            <v>C4656</v>
          </cell>
          <cell r="AC3957">
            <v>41.562683110000002</v>
          </cell>
          <cell r="AD3957">
            <v>36.739685059999999</v>
          </cell>
        </row>
        <row r="3958">
          <cell r="L3958" t="str">
            <v>حاجية صغيرة</v>
          </cell>
          <cell r="M3958" t="str">
            <v>C4657</v>
          </cell>
          <cell r="AC3958">
            <v>41.350280759999997</v>
          </cell>
          <cell r="AD3958">
            <v>36.906311039999999</v>
          </cell>
        </row>
        <row r="3959">
          <cell r="L3959" t="str">
            <v>تميم</v>
          </cell>
          <cell r="M3959" t="str">
            <v>C4658</v>
          </cell>
          <cell r="AC3959">
            <v>41.622924810000001</v>
          </cell>
          <cell r="AD3959">
            <v>36.578125</v>
          </cell>
        </row>
        <row r="3960">
          <cell r="L3960" t="str">
            <v>خولة الأزور</v>
          </cell>
          <cell r="M3960" t="str">
            <v>C4659</v>
          </cell>
          <cell r="AC3960">
            <v>41.467895509999998</v>
          </cell>
          <cell r="AD3960">
            <v>36.660888669999999</v>
          </cell>
        </row>
        <row r="3961">
          <cell r="L3961" t="str">
            <v>شرموخ كبير</v>
          </cell>
          <cell r="M3961" t="str">
            <v>C4660</v>
          </cell>
          <cell r="AC3961">
            <v>41.375671390000001</v>
          </cell>
          <cell r="AD3961">
            <v>36.899719240000003</v>
          </cell>
        </row>
        <row r="3962">
          <cell r="L3962" t="str">
            <v>خرنوبية نايف</v>
          </cell>
          <cell r="M3962" t="str">
            <v>C4661</v>
          </cell>
          <cell r="AC3962">
            <v>41.334899900000003</v>
          </cell>
          <cell r="AD3962">
            <v>36.755920410000002</v>
          </cell>
        </row>
        <row r="3963">
          <cell r="L3963" t="str">
            <v>شرموخ صغير</v>
          </cell>
          <cell r="M3963" t="str">
            <v>C4662</v>
          </cell>
          <cell r="AC3963">
            <v>41.393676759999998</v>
          </cell>
          <cell r="AD3963">
            <v>36.870727539999997</v>
          </cell>
        </row>
        <row r="3964">
          <cell r="L3964" t="str">
            <v>عاكولة تل حميس</v>
          </cell>
          <cell r="M3964" t="str">
            <v>C4663</v>
          </cell>
          <cell r="AC3964">
            <v>41.364074709999997</v>
          </cell>
          <cell r="AD3964">
            <v>36.726501470000002</v>
          </cell>
        </row>
        <row r="3965">
          <cell r="L3965" t="str">
            <v>بكارة الهلالية</v>
          </cell>
          <cell r="M3965" t="str">
            <v>C4664</v>
          </cell>
          <cell r="AC3965">
            <v>41.68267822</v>
          </cell>
          <cell r="AD3965">
            <v>36.693115229999997</v>
          </cell>
        </row>
        <row r="3966">
          <cell r="L3966" t="str">
            <v>اسكندرون</v>
          </cell>
          <cell r="M3966" t="str">
            <v>C4665</v>
          </cell>
          <cell r="AC3966">
            <v>41.347717289999999</v>
          </cell>
          <cell r="AD3966">
            <v>36.548522949999999</v>
          </cell>
        </row>
        <row r="3967">
          <cell r="L3967" t="str">
            <v>أمية</v>
          </cell>
          <cell r="M3967" t="str">
            <v>C4666</v>
          </cell>
          <cell r="AC3967">
            <v>41.577087400000003</v>
          </cell>
          <cell r="AD3967">
            <v>36.573913570000002</v>
          </cell>
        </row>
        <row r="3968">
          <cell r="L3968" t="str">
            <v>مثلوثة حمزة</v>
          </cell>
          <cell r="M3968" t="str">
            <v>C4667</v>
          </cell>
          <cell r="AC3968">
            <v>41.397888180000002</v>
          </cell>
          <cell r="AD3968">
            <v>36.851928710000003</v>
          </cell>
        </row>
        <row r="3969">
          <cell r="L3969" t="str">
            <v>كديميات</v>
          </cell>
          <cell r="M3969" t="str">
            <v>C4668</v>
          </cell>
          <cell r="AC3969">
            <v>41.278076169999999</v>
          </cell>
          <cell r="AD3969">
            <v>36.745117190000002</v>
          </cell>
        </row>
        <row r="3970">
          <cell r="L3970" t="str">
            <v>فرفرة تل حميس</v>
          </cell>
          <cell r="M3970" t="str">
            <v>C4669</v>
          </cell>
          <cell r="AC3970">
            <v>41.33111572</v>
          </cell>
          <cell r="AD3970">
            <v>36.821105959999997</v>
          </cell>
        </row>
        <row r="3971">
          <cell r="L3971" t="str">
            <v>مدينة رحية</v>
          </cell>
          <cell r="M3971" t="str">
            <v>C4670</v>
          </cell>
          <cell r="AC3971">
            <v>41.345275880000003</v>
          </cell>
          <cell r="AD3971">
            <v>36.802673339999998</v>
          </cell>
        </row>
        <row r="3972">
          <cell r="L3972" t="str">
            <v>مجيرينات محل</v>
          </cell>
          <cell r="M3972" t="str">
            <v>C4671</v>
          </cell>
          <cell r="AC3972">
            <v>41.413330080000001</v>
          </cell>
          <cell r="AD3972">
            <v>36.768676759999998</v>
          </cell>
        </row>
        <row r="3973">
          <cell r="L3973" t="str">
            <v>ناعم الهيار</v>
          </cell>
          <cell r="M3973" t="str">
            <v>C4672</v>
          </cell>
          <cell r="AC3973">
            <v>41.470092770000001</v>
          </cell>
          <cell r="AD3973">
            <v>36.775329589999998</v>
          </cell>
        </row>
        <row r="3974">
          <cell r="L3974" t="str">
            <v>نسيبة المازنية</v>
          </cell>
          <cell r="M3974" t="str">
            <v>C4673</v>
          </cell>
          <cell r="AC3974">
            <v>41.515502929999997</v>
          </cell>
          <cell r="AD3974">
            <v>36.671875</v>
          </cell>
        </row>
        <row r="3975">
          <cell r="L3975" t="str">
            <v>فلسطين الشرقية</v>
          </cell>
          <cell r="M3975" t="str">
            <v>C4674</v>
          </cell>
          <cell r="AC3975">
            <v>41.683288570000002</v>
          </cell>
          <cell r="AD3975">
            <v>36.617126470000002</v>
          </cell>
        </row>
        <row r="3976">
          <cell r="L3976" t="str">
            <v>قرطبة شرقية</v>
          </cell>
          <cell r="M3976" t="str">
            <v>C4675</v>
          </cell>
          <cell r="AC3976">
            <v>41.607116699999999</v>
          </cell>
          <cell r="AD3976">
            <v>36.596923830000001</v>
          </cell>
        </row>
        <row r="3977">
          <cell r="L3977" t="str">
            <v>كنانة</v>
          </cell>
          <cell r="M3977" t="str">
            <v>C4676</v>
          </cell>
          <cell r="AC3977">
            <v>41.751708979999997</v>
          </cell>
          <cell r="AD3977">
            <v>36.592529300000002</v>
          </cell>
        </row>
        <row r="3978">
          <cell r="L3978" t="str">
            <v>يثرب</v>
          </cell>
          <cell r="M3978" t="str">
            <v>C4677</v>
          </cell>
          <cell r="AC3978">
            <v>41.527282720000002</v>
          </cell>
          <cell r="AD3978">
            <v>36.637695309999998</v>
          </cell>
        </row>
        <row r="3979">
          <cell r="L3979" t="str">
            <v>قيروان تل حميس</v>
          </cell>
          <cell r="M3979" t="str">
            <v>C4678</v>
          </cell>
          <cell r="AC3979">
            <v>41.385681150000003</v>
          </cell>
          <cell r="AD3979">
            <v>36.576721190000001</v>
          </cell>
        </row>
        <row r="3980">
          <cell r="L3980" t="str">
            <v>همدان</v>
          </cell>
          <cell r="M3980" t="str">
            <v>C4679</v>
          </cell>
          <cell r="AC3980">
            <v>41.720886229999998</v>
          </cell>
          <cell r="AD3980">
            <v>36.59008789</v>
          </cell>
        </row>
        <row r="3981">
          <cell r="L3981" t="str">
            <v>وائل</v>
          </cell>
          <cell r="M3981" t="str">
            <v>C4680</v>
          </cell>
          <cell r="AC3981">
            <v>41.542114259999998</v>
          </cell>
          <cell r="AD3981">
            <v>36.568115229999997</v>
          </cell>
        </row>
        <row r="3982">
          <cell r="L3982" t="str">
            <v>مشيرفة الحمر</v>
          </cell>
          <cell r="M3982" t="str">
            <v>C4681</v>
          </cell>
          <cell r="AC3982">
            <v>41.50689697</v>
          </cell>
          <cell r="AD3982">
            <v>36.702697749999999</v>
          </cell>
        </row>
        <row r="3983">
          <cell r="L3983" t="str">
            <v>حاج ناصر</v>
          </cell>
          <cell r="M3983" t="str">
            <v>C4682</v>
          </cell>
          <cell r="AC3983">
            <v>41.024108890000001</v>
          </cell>
          <cell r="AD3983">
            <v>37.025878910000003</v>
          </cell>
        </row>
        <row r="3984">
          <cell r="L3984" t="str">
            <v>جوهرية</v>
          </cell>
          <cell r="M3984" t="str">
            <v>C4683</v>
          </cell>
          <cell r="AC3984">
            <v>40.890319820000002</v>
          </cell>
          <cell r="AD3984">
            <v>37.107482910000002</v>
          </cell>
        </row>
        <row r="3985">
          <cell r="L3985" t="str">
            <v>تل خنزير</v>
          </cell>
          <cell r="M3985" t="str">
            <v>C4684</v>
          </cell>
          <cell r="AC3985">
            <v>40.894103999999999</v>
          </cell>
          <cell r="AD3985">
            <v>36.836730959999997</v>
          </cell>
        </row>
        <row r="3986">
          <cell r="L3986" t="str">
            <v>الحصبة</v>
          </cell>
          <cell r="M3986" t="str">
            <v>C4685</v>
          </cell>
          <cell r="AC3986">
            <v>41.000671390000001</v>
          </cell>
          <cell r="AD3986">
            <v>37.093078609999999</v>
          </cell>
        </row>
        <row r="3987">
          <cell r="L3987" t="str">
            <v>تل خالد</v>
          </cell>
          <cell r="M3987" t="str">
            <v>C4686</v>
          </cell>
          <cell r="AC3987">
            <v>40.928283690000001</v>
          </cell>
          <cell r="AD3987">
            <v>36.997314449999998</v>
          </cell>
        </row>
        <row r="3988">
          <cell r="L3988" t="str">
            <v>أبو خنجر</v>
          </cell>
          <cell r="M3988" t="str">
            <v>C4687</v>
          </cell>
          <cell r="AC3988">
            <v>41.015930179999998</v>
          </cell>
          <cell r="AD3988">
            <v>36.903320309999998</v>
          </cell>
        </row>
        <row r="3989">
          <cell r="L3989" t="str">
            <v>عامودا</v>
          </cell>
          <cell r="M3989" t="str">
            <v>C4688</v>
          </cell>
          <cell r="AC3989">
            <v>40.93127441</v>
          </cell>
          <cell r="AD3989">
            <v>37.10272217</v>
          </cell>
        </row>
        <row r="3990">
          <cell r="L3990" t="str">
            <v>حطين عامودا</v>
          </cell>
          <cell r="M3990" t="str">
            <v>C4689</v>
          </cell>
          <cell r="AC3990">
            <v>40.897094729999999</v>
          </cell>
          <cell r="AD3990">
            <v>36.873718259999997</v>
          </cell>
        </row>
        <row r="3991">
          <cell r="L3991" t="str">
            <v>الفارس</v>
          </cell>
          <cell r="M3991" t="str">
            <v>C4690</v>
          </cell>
          <cell r="AC3991">
            <v>40.930725099999997</v>
          </cell>
          <cell r="AD3991">
            <v>36.961120610000002</v>
          </cell>
        </row>
        <row r="3992">
          <cell r="L3992" t="str">
            <v>حاج بكاري</v>
          </cell>
          <cell r="M3992" t="str">
            <v>C4691</v>
          </cell>
          <cell r="AC3992">
            <v>41.000488279999999</v>
          </cell>
          <cell r="AD3992">
            <v>36.800720220000002</v>
          </cell>
        </row>
        <row r="3993">
          <cell r="L3993" t="str">
            <v>الحلابة</v>
          </cell>
          <cell r="M3993" t="str">
            <v>C4692</v>
          </cell>
          <cell r="AC3993">
            <v>41.081298830000001</v>
          </cell>
          <cell r="AD3993">
            <v>37.012329100000002</v>
          </cell>
        </row>
        <row r="3994">
          <cell r="L3994" t="str">
            <v>تل حبش</v>
          </cell>
          <cell r="M3994" t="str">
            <v>C4693</v>
          </cell>
          <cell r="AC3994">
            <v>40.907287599999997</v>
          </cell>
          <cell r="AD3994">
            <v>37.078125</v>
          </cell>
        </row>
        <row r="3995">
          <cell r="L3995" t="str">
            <v>طور الياس</v>
          </cell>
          <cell r="M3995" t="str">
            <v>C4694</v>
          </cell>
          <cell r="AC3995">
            <v>40.8046875</v>
          </cell>
          <cell r="AD3995">
            <v>37.02368164</v>
          </cell>
        </row>
        <row r="3996">
          <cell r="L3996" t="str">
            <v>تل عربيد</v>
          </cell>
          <cell r="M3996" t="str">
            <v>C4695</v>
          </cell>
          <cell r="AC3996">
            <v>41.020507809999998</v>
          </cell>
          <cell r="AD3996">
            <v>36.872924810000001</v>
          </cell>
        </row>
        <row r="3997">
          <cell r="L3997" t="str">
            <v>تل عروس تحتاني</v>
          </cell>
          <cell r="M3997" t="str">
            <v>C4696</v>
          </cell>
          <cell r="AC3997">
            <v>40.900085449999999</v>
          </cell>
          <cell r="AD3997">
            <v>36.922302250000001</v>
          </cell>
        </row>
        <row r="3998">
          <cell r="L3998" t="str">
            <v>دار</v>
          </cell>
          <cell r="M3998" t="str">
            <v>C4697</v>
          </cell>
          <cell r="AC3998">
            <v>40.772705080000001</v>
          </cell>
          <cell r="AD3998">
            <v>37.120910649999999</v>
          </cell>
        </row>
        <row r="3999">
          <cell r="L3999" t="str">
            <v>حاصدة تحتاني</v>
          </cell>
          <cell r="M3999" t="str">
            <v>C4698</v>
          </cell>
          <cell r="AC3999">
            <v>40.989501949999998</v>
          </cell>
          <cell r="AD3999">
            <v>37.09649658</v>
          </cell>
        </row>
        <row r="4000">
          <cell r="L4000" t="str">
            <v>تليل</v>
          </cell>
          <cell r="M4000" t="str">
            <v>C4699</v>
          </cell>
          <cell r="AC4000">
            <v>40.845275880000003</v>
          </cell>
          <cell r="AD4000">
            <v>37.015075680000002</v>
          </cell>
        </row>
        <row r="4001">
          <cell r="L4001" t="str">
            <v>تل عشق</v>
          </cell>
          <cell r="M4001" t="str">
            <v>C4700</v>
          </cell>
          <cell r="AC4001">
            <v>40.921691899999999</v>
          </cell>
          <cell r="AD4001">
            <v>36.871887209999997</v>
          </cell>
        </row>
        <row r="4002">
          <cell r="L4002" t="str">
            <v>عمارة</v>
          </cell>
          <cell r="M4002" t="str">
            <v>C4701</v>
          </cell>
          <cell r="AC4002">
            <v>40.958923339999998</v>
          </cell>
          <cell r="AD4002">
            <v>37.036926270000002</v>
          </cell>
        </row>
        <row r="4003">
          <cell r="L4003" t="str">
            <v>بستان تحتاني</v>
          </cell>
          <cell r="M4003" t="str">
            <v>C4702</v>
          </cell>
          <cell r="AC4003">
            <v>40.949279789999999</v>
          </cell>
          <cell r="AD4003">
            <v>36.83087158</v>
          </cell>
        </row>
        <row r="4004">
          <cell r="L4004" t="str">
            <v>بلة بكارة</v>
          </cell>
          <cell r="M4004" t="str">
            <v>C4703</v>
          </cell>
          <cell r="AC4004">
            <v>40.773315429999997</v>
          </cell>
          <cell r="AD4004">
            <v>36.810485839999998</v>
          </cell>
        </row>
        <row r="4005">
          <cell r="L4005" t="str">
            <v>تل أسود عاموده</v>
          </cell>
          <cell r="M4005" t="str">
            <v>C4704</v>
          </cell>
          <cell r="AC4005">
            <v>40.957519529999999</v>
          </cell>
          <cell r="AD4005">
            <v>36.978271479999997</v>
          </cell>
        </row>
        <row r="4006">
          <cell r="L4006" t="str">
            <v>باردة</v>
          </cell>
          <cell r="M4006" t="str">
            <v>C4705</v>
          </cell>
          <cell r="AC4006">
            <v>40.978698729999998</v>
          </cell>
          <cell r="AD4006">
            <v>37.077514649999998</v>
          </cell>
        </row>
        <row r="4007">
          <cell r="L4007" t="str">
            <v>تل أحمر</v>
          </cell>
          <cell r="M4007" t="str">
            <v>C4706</v>
          </cell>
          <cell r="AC4007">
            <v>41.061889649999998</v>
          </cell>
          <cell r="AD4007">
            <v>36.96368408</v>
          </cell>
        </row>
        <row r="4008">
          <cell r="L4008" t="str">
            <v>سرادق</v>
          </cell>
          <cell r="M4008" t="str">
            <v>C4707</v>
          </cell>
          <cell r="AC4008">
            <v>40.910278320000003</v>
          </cell>
          <cell r="AD4008">
            <v>37.028076169999999</v>
          </cell>
        </row>
        <row r="4009">
          <cell r="L4009" t="str">
            <v>أم الأسود تحتاني</v>
          </cell>
          <cell r="M4009" t="str">
            <v>C4708</v>
          </cell>
          <cell r="AC4009">
            <v>40.974487310000001</v>
          </cell>
          <cell r="AD4009">
            <v>37.053894040000003</v>
          </cell>
        </row>
        <row r="4010">
          <cell r="L4010" t="str">
            <v>خربة غزال فوقاني</v>
          </cell>
          <cell r="M4010" t="str">
            <v>C4709</v>
          </cell>
          <cell r="AC4010">
            <v>40.981689449999998</v>
          </cell>
          <cell r="AD4010">
            <v>36.851074220000001</v>
          </cell>
        </row>
        <row r="4011">
          <cell r="L4011" t="str">
            <v>الكروان</v>
          </cell>
          <cell r="M4011" t="str">
            <v>C4710</v>
          </cell>
          <cell r="AC4011">
            <v>41.012512209999997</v>
          </cell>
          <cell r="AD4011">
            <v>37.017517089999998</v>
          </cell>
        </row>
        <row r="4012">
          <cell r="L4012" t="str">
            <v>صفيرة عاموده</v>
          </cell>
          <cell r="M4012" t="str">
            <v>C4711</v>
          </cell>
          <cell r="AC4012">
            <v>40.917297359999999</v>
          </cell>
          <cell r="AD4012">
            <v>36.811706540000003</v>
          </cell>
        </row>
        <row r="4013">
          <cell r="L4013" t="str">
            <v>ديكية</v>
          </cell>
          <cell r="M4013" t="str">
            <v>C4712</v>
          </cell>
          <cell r="AC4013">
            <v>40.8770752</v>
          </cell>
          <cell r="AD4013">
            <v>37.083496089999997</v>
          </cell>
        </row>
        <row r="4014">
          <cell r="L4014" t="str">
            <v>بستان فوقاني</v>
          </cell>
          <cell r="M4014" t="str">
            <v>C4713</v>
          </cell>
          <cell r="AC4014">
            <v>40.961303710000003</v>
          </cell>
          <cell r="AD4014">
            <v>36.857482910000002</v>
          </cell>
        </row>
        <row r="4015">
          <cell r="L4015" t="str">
            <v>خالد</v>
          </cell>
          <cell r="M4015" t="str">
            <v>C4714</v>
          </cell>
          <cell r="AC4015">
            <v>40.981323240000002</v>
          </cell>
          <cell r="AD4015">
            <v>36.993896479999997</v>
          </cell>
        </row>
        <row r="4016">
          <cell r="L4016" t="str">
            <v>خربة شعيب عامودا</v>
          </cell>
          <cell r="M4016" t="str">
            <v>C4715</v>
          </cell>
          <cell r="AC4016">
            <v>40.763671879999997</v>
          </cell>
          <cell r="AD4016">
            <v>36.826110839999998</v>
          </cell>
        </row>
        <row r="4017">
          <cell r="L4017" t="str">
            <v>ام العنب</v>
          </cell>
          <cell r="M4017" t="str">
            <v>C4716</v>
          </cell>
          <cell r="AC4017">
            <v>40.932495119999999</v>
          </cell>
          <cell r="AD4017">
            <v>36.902282720000002</v>
          </cell>
        </row>
        <row r="4018">
          <cell r="L4018" t="str">
            <v>ام الربيع</v>
          </cell>
          <cell r="M4018" t="str">
            <v>C4717</v>
          </cell>
          <cell r="AC4018">
            <v>41.010498050000002</v>
          </cell>
          <cell r="AD4018">
            <v>37.064880369999997</v>
          </cell>
        </row>
        <row r="4019">
          <cell r="L4019" t="str">
            <v>صباحية</v>
          </cell>
          <cell r="M4019" t="str">
            <v>C4718</v>
          </cell>
          <cell r="AC4019">
            <v>40.998107910000002</v>
          </cell>
          <cell r="AD4019">
            <v>37.007324220000001</v>
          </cell>
        </row>
        <row r="4020">
          <cell r="L4020" t="str">
            <v>جلق</v>
          </cell>
          <cell r="M4020" t="str">
            <v>C4719</v>
          </cell>
          <cell r="AC4020">
            <v>40.825317380000001</v>
          </cell>
          <cell r="AD4020">
            <v>37.056884770000003</v>
          </cell>
        </row>
        <row r="4021">
          <cell r="L4021" t="str">
            <v>خرزة</v>
          </cell>
          <cell r="M4021" t="str">
            <v>C4720</v>
          </cell>
          <cell r="AC4021">
            <v>40.809875490000003</v>
          </cell>
          <cell r="AD4021">
            <v>37.116088869999999</v>
          </cell>
        </row>
        <row r="4022">
          <cell r="L4022" t="str">
            <v>راية خليل</v>
          </cell>
          <cell r="M4022" t="str">
            <v>C4721</v>
          </cell>
          <cell r="AC4022">
            <v>40.929077149999998</v>
          </cell>
          <cell r="AD4022">
            <v>37.036682130000003</v>
          </cell>
        </row>
        <row r="4023">
          <cell r="L4023" t="str">
            <v>راية غربي</v>
          </cell>
          <cell r="M4023" t="str">
            <v>C4722</v>
          </cell>
          <cell r="AC4023">
            <v>40.934875490000003</v>
          </cell>
          <cell r="AD4023">
            <v>37.017517089999998</v>
          </cell>
        </row>
        <row r="4024">
          <cell r="L4024" t="str">
            <v>الوردية عاموده</v>
          </cell>
          <cell r="M4024" t="str">
            <v>C4723</v>
          </cell>
          <cell r="AC4024">
            <v>40.779296879999997</v>
          </cell>
          <cell r="AD4024">
            <v>36.839111330000001</v>
          </cell>
        </row>
        <row r="4025">
          <cell r="L4025" t="str">
            <v>راية قبلي</v>
          </cell>
          <cell r="M4025" t="str">
            <v>C4724</v>
          </cell>
          <cell r="AC4025">
            <v>40.929870610000002</v>
          </cell>
          <cell r="AD4025">
            <v>36.985473630000001</v>
          </cell>
        </row>
        <row r="4026">
          <cell r="L4026" t="str">
            <v>خربة السودة</v>
          </cell>
          <cell r="M4026" t="str">
            <v>C4725</v>
          </cell>
          <cell r="AC4026">
            <v>40.858093259999997</v>
          </cell>
          <cell r="AD4026">
            <v>36.91772461</v>
          </cell>
        </row>
        <row r="4027">
          <cell r="L4027" t="str">
            <v>ريحانية عامودا</v>
          </cell>
          <cell r="M4027" t="str">
            <v>C4726</v>
          </cell>
          <cell r="AC4027">
            <v>40.757507320000002</v>
          </cell>
          <cell r="AD4027">
            <v>36.837707520000002</v>
          </cell>
        </row>
        <row r="4028">
          <cell r="L4028" t="str">
            <v>شجرة</v>
          </cell>
          <cell r="M4028" t="str">
            <v>C4727</v>
          </cell>
          <cell r="AC4028">
            <v>41.054321289999997</v>
          </cell>
          <cell r="AD4028">
            <v>37.073730470000001</v>
          </cell>
        </row>
        <row r="4029">
          <cell r="L4029" t="str">
            <v>دير ماري</v>
          </cell>
          <cell r="M4029" t="str">
            <v>C4728</v>
          </cell>
          <cell r="AC4029">
            <v>40.863098149999999</v>
          </cell>
          <cell r="AD4029">
            <v>37.028686520000001</v>
          </cell>
        </row>
        <row r="4030">
          <cell r="L4030" t="str">
            <v>الجابرية عاموده</v>
          </cell>
          <cell r="M4030" t="str">
            <v>C4729</v>
          </cell>
          <cell r="AC4030">
            <v>40.820495610000002</v>
          </cell>
          <cell r="AD4030">
            <v>37.093322749999999</v>
          </cell>
        </row>
        <row r="4031">
          <cell r="L4031" t="str">
            <v>باب الخير</v>
          </cell>
          <cell r="M4031" t="str">
            <v>C4730</v>
          </cell>
          <cell r="AC4031">
            <v>41.028320309999998</v>
          </cell>
          <cell r="AD4031">
            <v>37.058898929999998</v>
          </cell>
        </row>
        <row r="4032">
          <cell r="L4032" t="str">
            <v>مركب</v>
          </cell>
          <cell r="M4032" t="str">
            <v>C4731</v>
          </cell>
          <cell r="AC4032">
            <v>40.91107178</v>
          </cell>
          <cell r="AD4032">
            <v>37.010070800000001</v>
          </cell>
        </row>
        <row r="4033">
          <cell r="L4033" t="str">
            <v>قبر علي</v>
          </cell>
          <cell r="M4033" t="str">
            <v>C4732</v>
          </cell>
          <cell r="AC4033">
            <v>40.809082029999999</v>
          </cell>
          <cell r="AD4033">
            <v>36.953674319999998</v>
          </cell>
        </row>
        <row r="4034">
          <cell r="L4034" t="str">
            <v>مصطفى</v>
          </cell>
          <cell r="M4034" t="str">
            <v>C4733</v>
          </cell>
          <cell r="AC4034">
            <v>40.79528809</v>
          </cell>
          <cell r="AD4034">
            <v>37.066284179999997</v>
          </cell>
        </row>
        <row r="4035">
          <cell r="L4035" t="str">
            <v>مشهد</v>
          </cell>
          <cell r="M4035" t="str">
            <v>C4734</v>
          </cell>
          <cell r="AC4035">
            <v>41.018310550000002</v>
          </cell>
          <cell r="AD4035">
            <v>36.97149658</v>
          </cell>
        </row>
        <row r="4036">
          <cell r="L4036" t="str">
            <v>فخار</v>
          </cell>
          <cell r="M4036" t="str">
            <v>C4735</v>
          </cell>
          <cell r="AC4036">
            <v>40.851501470000002</v>
          </cell>
          <cell r="AD4036">
            <v>36.902282720000002</v>
          </cell>
        </row>
        <row r="4037">
          <cell r="L4037" t="str">
            <v>قدح</v>
          </cell>
          <cell r="M4037" t="str">
            <v>C4736</v>
          </cell>
          <cell r="AC4037">
            <v>40.809875490000003</v>
          </cell>
          <cell r="AD4037">
            <v>37.075073240000002</v>
          </cell>
        </row>
        <row r="4038">
          <cell r="L4038" t="str">
            <v>كعوب</v>
          </cell>
          <cell r="M4038" t="str">
            <v>C4737</v>
          </cell>
          <cell r="AC4038">
            <v>40.89428711</v>
          </cell>
          <cell r="AD4038">
            <v>37.047485350000002</v>
          </cell>
        </row>
        <row r="4039">
          <cell r="L4039" t="str">
            <v>قليعة</v>
          </cell>
          <cell r="M4039" t="str">
            <v>C4738</v>
          </cell>
          <cell r="AC4039">
            <v>40.849304199999999</v>
          </cell>
          <cell r="AD4039">
            <v>37.062683110000002</v>
          </cell>
        </row>
        <row r="4040">
          <cell r="L4040" t="str">
            <v>قيروان عامودا</v>
          </cell>
          <cell r="M4040" t="str">
            <v>C4739</v>
          </cell>
          <cell r="AC4040">
            <v>40.978088380000003</v>
          </cell>
          <cell r="AD4040">
            <v>36.825927729999997</v>
          </cell>
        </row>
        <row r="4041">
          <cell r="L4041" t="str">
            <v>كنده</v>
          </cell>
          <cell r="M4041" t="str">
            <v>C4740</v>
          </cell>
          <cell r="AC4041">
            <v>40.888671879999997</v>
          </cell>
          <cell r="AD4041">
            <v>37.065307619999999</v>
          </cell>
        </row>
        <row r="4042">
          <cell r="L4042" t="str">
            <v>نيف</v>
          </cell>
          <cell r="M4042" t="str">
            <v>C4741</v>
          </cell>
          <cell r="AC4042">
            <v>41.077697749999999</v>
          </cell>
          <cell r="AD4042">
            <v>36.981079100000002</v>
          </cell>
        </row>
        <row r="4043">
          <cell r="L4043" t="str">
            <v>تل صراة</v>
          </cell>
          <cell r="M4043" t="str">
            <v>C4742</v>
          </cell>
          <cell r="AC4043">
            <v>41.56408691</v>
          </cell>
          <cell r="AD4043">
            <v>36.764282229999999</v>
          </cell>
        </row>
        <row r="4044">
          <cell r="L4044" t="str">
            <v>البوير قحطانية</v>
          </cell>
          <cell r="M4044" t="str">
            <v>C4743</v>
          </cell>
          <cell r="AC4044">
            <v>41.408508300000001</v>
          </cell>
          <cell r="AD4044">
            <v>37.018127440000001</v>
          </cell>
        </row>
        <row r="4045">
          <cell r="L4045" t="str">
            <v>الاحيمر</v>
          </cell>
          <cell r="M4045" t="str">
            <v>C4744</v>
          </cell>
          <cell r="AC4045">
            <v>41.680908199999998</v>
          </cell>
          <cell r="AD4045">
            <v>36.866516109999999</v>
          </cell>
        </row>
        <row r="4046">
          <cell r="L4046" t="str">
            <v>خزنة كبيرة</v>
          </cell>
          <cell r="M4046" t="str">
            <v>C4745</v>
          </cell>
          <cell r="AC4046">
            <v>41.400695800000001</v>
          </cell>
          <cell r="AD4046">
            <v>36.99310303</v>
          </cell>
        </row>
        <row r="4047">
          <cell r="L4047" t="str">
            <v>صوفية</v>
          </cell>
          <cell r="M4047" t="str">
            <v>C4746</v>
          </cell>
          <cell r="AC4047">
            <v>41.543518069999998</v>
          </cell>
          <cell r="AD4047">
            <v>36.915710449999999</v>
          </cell>
        </row>
        <row r="4048">
          <cell r="L4048" t="str">
            <v>خربة الذيبة قحطانية</v>
          </cell>
          <cell r="M4048" t="str">
            <v>C4747</v>
          </cell>
          <cell r="AC4048">
            <v>41.472290039999997</v>
          </cell>
          <cell r="AD4048">
            <v>36.933898929999998</v>
          </cell>
        </row>
        <row r="4049">
          <cell r="L4049" t="str">
            <v>خويتلة الجوالة</v>
          </cell>
          <cell r="M4049" t="str">
            <v>C4748</v>
          </cell>
          <cell r="AC4049">
            <v>41.601074220000001</v>
          </cell>
          <cell r="AD4049">
            <v>36.812072749999999</v>
          </cell>
        </row>
        <row r="4050">
          <cell r="L4050" t="str">
            <v>خربة خليل</v>
          </cell>
          <cell r="M4050" t="str">
            <v>C4749</v>
          </cell>
          <cell r="AC4050">
            <v>41.419921879999997</v>
          </cell>
          <cell r="AD4050">
            <v>37.010498050000002</v>
          </cell>
        </row>
        <row r="4051">
          <cell r="L4051" t="str">
            <v>الوعرة</v>
          </cell>
          <cell r="M4051" t="str">
            <v>C4750</v>
          </cell>
          <cell r="AC4051">
            <v>41.639099119999997</v>
          </cell>
          <cell r="AD4051">
            <v>36.862670899999998</v>
          </cell>
        </row>
        <row r="4052">
          <cell r="L4052" t="str">
            <v>القحطانية</v>
          </cell>
          <cell r="M4052" t="str">
            <v>C4751</v>
          </cell>
          <cell r="AC4052">
            <v>41.54711914</v>
          </cell>
          <cell r="AD4052">
            <v>37.026306150000003</v>
          </cell>
        </row>
        <row r="4053">
          <cell r="L4053" t="str">
            <v>خربة ذيابية</v>
          </cell>
          <cell r="M4053" t="str">
            <v>C4752</v>
          </cell>
          <cell r="AC4053">
            <v>41.680480959999997</v>
          </cell>
          <cell r="AD4053">
            <v>36.888488770000002</v>
          </cell>
        </row>
        <row r="4054">
          <cell r="L4054" t="str">
            <v>التنورية</v>
          </cell>
          <cell r="M4054" t="str">
            <v>C4753</v>
          </cell>
          <cell r="AC4054">
            <v>41.370117190000002</v>
          </cell>
          <cell r="AD4054">
            <v>37.025878910000003</v>
          </cell>
        </row>
        <row r="4055">
          <cell r="L4055" t="str">
            <v>أبو غدير</v>
          </cell>
          <cell r="M4055" t="str">
            <v>C4754</v>
          </cell>
          <cell r="AC4055">
            <v>41.663696289999997</v>
          </cell>
          <cell r="AD4055">
            <v>36.85272217</v>
          </cell>
        </row>
        <row r="4056">
          <cell r="L4056" t="str">
            <v>الكريمة</v>
          </cell>
          <cell r="M4056" t="str">
            <v>C4755</v>
          </cell>
          <cell r="AC4056">
            <v>41.649108890000001</v>
          </cell>
          <cell r="AD4056">
            <v>37.00231934</v>
          </cell>
        </row>
        <row r="4057">
          <cell r="L4057" t="str">
            <v>بياندور</v>
          </cell>
          <cell r="M4057" t="str">
            <v>C4756</v>
          </cell>
          <cell r="AC4057">
            <v>41.439697270000003</v>
          </cell>
          <cell r="AD4057">
            <v>37.028076169999999</v>
          </cell>
        </row>
        <row r="4058">
          <cell r="L4058" t="str">
            <v>تل السيد</v>
          </cell>
          <cell r="M4058" t="str">
            <v>C4757</v>
          </cell>
          <cell r="AC4058">
            <v>41.643310550000002</v>
          </cell>
          <cell r="AD4058">
            <v>37.100280759999997</v>
          </cell>
        </row>
        <row r="4059">
          <cell r="L4059" t="str">
            <v>خراب العبد</v>
          </cell>
          <cell r="M4059" t="str">
            <v>C4758</v>
          </cell>
          <cell r="AC4059">
            <v>41.552490229999997</v>
          </cell>
          <cell r="AD4059">
            <v>36.84350586</v>
          </cell>
        </row>
        <row r="4060">
          <cell r="L4060" t="str">
            <v>تل زيوان</v>
          </cell>
          <cell r="M4060" t="str">
            <v>C4759</v>
          </cell>
          <cell r="AC4060">
            <v>41.354919430000002</v>
          </cell>
          <cell r="AD4060">
            <v>37.058471679999997</v>
          </cell>
        </row>
        <row r="4061">
          <cell r="L4061" t="str">
            <v>سوقية</v>
          </cell>
          <cell r="M4061" t="str">
            <v>C4760</v>
          </cell>
          <cell r="AC4061">
            <v>41.500488279999999</v>
          </cell>
          <cell r="AD4061">
            <v>36.927917479999998</v>
          </cell>
        </row>
        <row r="4062">
          <cell r="L4062" t="str">
            <v>أم جفار</v>
          </cell>
          <cell r="M4062" t="str">
            <v>C4761</v>
          </cell>
          <cell r="AC4062">
            <v>41.51928711</v>
          </cell>
          <cell r="AD4062">
            <v>36.803894040000003</v>
          </cell>
        </row>
        <row r="4063">
          <cell r="L4063" t="str">
            <v>بيازة صغيرة</v>
          </cell>
          <cell r="M4063" t="str">
            <v>C4762</v>
          </cell>
          <cell r="AC4063">
            <v>41.548278809999999</v>
          </cell>
          <cell r="AD4063">
            <v>36.98828125</v>
          </cell>
        </row>
        <row r="4064">
          <cell r="L4064" t="str">
            <v>بيازة كبيرة</v>
          </cell>
          <cell r="M4064" t="str">
            <v>C4763</v>
          </cell>
          <cell r="AC4064">
            <v>41.55310059</v>
          </cell>
          <cell r="AD4064">
            <v>36.971130369999997</v>
          </cell>
        </row>
        <row r="4065">
          <cell r="L4065" t="str">
            <v>أم كرين</v>
          </cell>
          <cell r="M4065" t="str">
            <v>C4764</v>
          </cell>
          <cell r="AC4065">
            <v>41.601928710000003</v>
          </cell>
          <cell r="AD4065">
            <v>36.910095220000002</v>
          </cell>
        </row>
        <row r="4066">
          <cell r="L4066" t="str">
            <v>تل جهاد</v>
          </cell>
          <cell r="M4066" t="str">
            <v>C4765</v>
          </cell>
          <cell r="AC4066">
            <v>41.453308110000002</v>
          </cell>
          <cell r="AD4066">
            <v>37.072082520000002</v>
          </cell>
        </row>
        <row r="4067">
          <cell r="L4067" t="str">
            <v>خويتلة السفلي</v>
          </cell>
          <cell r="M4067" t="str">
            <v>C4766</v>
          </cell>
          <cell r="AC4067">
            <v>41.46508789</v>
          </cell>
          <cell r="AD4067">
            <v>37.048278809999999</v>
          </cell>
        </row>
        <row r="4068">
          <cell r="L4068" t="str">
            <v>الابيطخ</v>
          </cell>
          <cell r="M4068" t="str">
            <v>C4767</v>
          </cell>
          <cell r="AC4068">
            <v>41.6270752</v>
          </cell>
          <cell r="AD4068">
            <v>36.763488770000002</v>
          </cell>
        </row>
        <row r="4069">
          <cell r="L4069" t="str">
            <v>حلوة</v>
          </cell>
          <cell r="M4069" t="str">
            <v>C4768</v>
          </cell>
          <cell r="AC4069">
            <v>41.468872070000003</v>
          </cell>
          <cell r="AD4069">
            <v>37.024902339999997</v>
          </cell>
        </row>
        <row r="4070">
          <cell r="L4070" t="str">
            <v>المندوب</v>
          </cell>
          <cell r="M4070" t="str">
            <v>C4769</v>
          </cell>
          <cell r="AC4070">
            <v>41.650878910000003</v>
          </cell>
          <cell r="AD4070">
            <v>36.779724119999997</v>
          </cell>
        </row>
        <row r="4071">
          <cell r="L4071" t="str">
            <v>روتان</v>
          </cell>
          <cell r="M4071" t="str">
            <v>C4770</v>
          </cell>
          <cell r="AC4071">
            <v>41.503723149999999</v>
          </cell>
          <cell r="AD4071">
            <v>37.062072749999999</v>
          </cell>
        </row>
        <row r="4072">
          <cell r="L4072" t="str">
            <v>طويل</v>
          </cell>
          <cell r="M4072" t="str">
            <v>C4771</v>
          </cell>
          <cell r="AC4072">
            <v>41.574890140000001</v>
          </cell>
          <cell r="AD4072">
            <v>36.86627197</v>
          </cell>
        </row>
        <row r="4073">
          <cell r="L4073" t="str">
            <v>السيد_كندك سيد</v>
          </cell>
          <cell r="M4073" t="str">
            <v>C4772</v>
          </cell>
          <cell r="AC4073">
            <v>41.579528809999999</v>
          </cell>
          <cell r="AD4073">
            <v>36.990722660000003</v>
          </cell>
        </row>
        <row r="4074">
          <cell r="L4074" t="str">
            <v>سيحة جديدة تحتاني</v>
          </cell>
          <cell r="M4074" t="str">
            <v>C4773</v>
          </cell>
          <cell r="AC4074">
            <v>41.48071289</v>
          </cell>
          <cell r="AD4074">
            <v>36.952697749999999</v>
          </cell>
        </row>
        <row r="4075">
          <cell r="L4075" t="str">
            <v>غريقة فوقاني</v>
          </cell>
          <cell r="M4075" t="str">
            <v>C4774</v>
          </cell>
          <cell r="AC4075">
            <v>41.611328129999997</v>
          </cell>
          <cell r="AD4075">
            <v>36.851074220000001</v>
          </cell>
        </row>
        <row r="4076">
          <cell r="L4076" t="str">
            <v>سحيل</v>
          </cell>
          <cell r="M4076" t="str">
            <v>C4775</v>
          </cell>
          <cell r="AC4076">
            <v>41.41888428</v>
          </cell>
          <cell r="AD4076">
            <v>36.955078129999997</v>
          </cell>
        </row>
        <row r="4077">
          <cell r="L4077" t="str">
            <v>غريقة تحتاني</v>
          </cell>
          <cell r="M4077" t="str">
            <v>C4776</v>
          </cell>
          <cell r="AC4077">
            <v>41.594482419999999</v>
          </cell>
          <cell r="AD4077">
            <v>36.848510740000002</v>
          </cell>
        </row>
        <row r="4078">
          <cell r="L4078" t="str">
            <v>تل شعير قحطانية</v>
          </cell>
          <cell r="M4078" t="str">
            <v>C4777</v>
          </cell>
          <cell r="AC4078">
            <v>41.43591309</v>
          </cell>
          <cell r="AD4078">
            <v>37.052307130000003</v>
          </cell>
        </row>
        <row r="4079">
          <cell r="L4079" t="str">
            <v>تل خرنوب</v>
          </cell>
          <cell r="M4079" t="str">
            <v>C4778</v>
          </cell>
          <cell r="AC4079">
            <v>41.385314940000001</v>
          </cell>
          <cell r="AD4079">
            <v>37.066101070000002</v>
          </cell>
        </row>
        <row r="4080">
          <cell r="L4080" t="str">
            <v>حبيس</v>
          </cell>
          <cell r="M4080" t="str">
            <v>C4779</v>
          </cell>
          <cell r="AC4080">
            <v>41.546081540000003</v>
          </cell>
          <cell r="AD4080">
            <v>36.799926759999998</v>
          </cell>
        </row>
        <row r="4081">
          <cell r="L4081" t="str">
            <v>المناذرة</v>
          </cell>
          <cell r="M4081" t="str">
            <v>C4780</v>
          </cell>
          <cell r="AC4081">
            <v>41.62268066</v>
          </cell>
          <cell r="AD4081">
            <v>37.031921390000001</v>
          </cell>
        </row>
        <row r="4082">
          <cell r="L4082" t="str">
            <v>الشلهومية</v>
          </cell>
          <cell r="M4082" t="str">
            <v>C4781</v>
          </cell>
          <cell r="AC4082">
            <v>41.5546875</v>
          </cell>
          <cell r="AD4082">
            <v>37.063903809999999</v>
          </cell>
        </row>
        <row r="4083">
          <cell r="L4083" t="str">
            <v>تل خاتون قحطانية</v>
          </cell>
          <cell r="M4083" t="str">
            <v>C4782</v>
          </cell>
          <cell r="AC4083">
            <v>41.616699220000001</v>
          </cell>
          <cell r="AD4083">
            <v>37.09008789</v>
          </cell>
        </row>
        <row r="4084">
          <cell r="L4084" t="str">
            <v>خربة الطير قحطانية</v>
          </cell>
          <cell r="M4084" t="str">
            <v>C4783</v>
          </cell>
          <cell r="AC4084">
            <v>41.550903320000003</v>
          </cell>
          <cell r="AD4084">
            <v>36.877929690000002</v>
          </cell>
        </row>
        <row r="4085">
          <cell r="L4085" t="str">
            <v>ابطخ فوقاني حريث</v>
          </cell>
          <cell r="M4085" t="str">
            <v>C4784</v>
          </cell>
          <cell r="AC4085">
            <v>41.528686520000001</v>
          </cell>
          <cell r="AD4085">
            <v>36.815124509999997</v>
          </cell>
        </row>
        <row r="4086">
          <cell r="L4086" t="str">
            <v>بليج</v>
          </cell>
          <cell r="M4086" t="str">
            <v>C4785</v>
          </cell>
          <cell r="AC4086">
            <v>41.4375</v>
          </cell>
          <cell r="AD4086">
            <v>36.925476070000002</v>
          </cell>
        </row>
        <row r="4087">
          <cell r="L4087" t="str">
            <v>زورافــــا</v>
          </cell>
          <cell r="M4087" t="str">
            <v>C4786</v>
          </cell>
          <cell r="AC4087">
            <v>41.525695800000001</v>
          </cell>
          <cell r="AD4087">
            <v>37.072082520000002</v>
          </cell>
        </row>
        <row r="4088">
          <cell r="L4088" t="str">
            <v>سيحة فوقـاني</v>
          </cell>
          <cell r="M4088" t="str">
            <v>C4787</v>
          </cell>
          <cell r="AC4088">
            <v>41.447326660000002</v>
          </cell>
          <cell r="AD4088">
            <v>36.968688970000002</v>
          </cell>
        </row>
        <row r="4089">
          <cell r="L4089" t="str">
            <v>تل عودة قحطانية</v>
          </cell>
          <cell r="M4089" t="str">
            <v>C4788</v>
          </cell>
          <cell r="AC4089">
            <v>41.639099119999997</v>
          </cell>
          <cell r="AD4089">
            <v>36.948486330000001</v>
          </cell>
        </row>
        <row r="4090">
          <cell r="L4090" t="str">
            <v>البشيرية قحطانية</v>
          </cell>
          <cell r="M4090" t="str">
            <v>C4789</v>
          </cell>
          <cell r="AC4090">
            <v>41.599487310000001</v>
          </cell>
          <cell r="AD4090">
            <v>36.970703129999997</v>
          </cell>
        </row>
        <row r="4091">
          <cell r="L4091" t="str">
            <v>صافية قحطانية</v>
          </cell>
          <cell r="M4091" t="str">
            <v>C4790</v>
          </cell>
          <cell r="AC4091">
            <v>41.625671390000001</v>
          </cell>
          <cell r="AD4091">
            <v>36.845275880000003</v>
          </cell>
        </row>
        <row r="4092">
          <cell r="L4092" t="str">
            <v>تل برهم</v>
          </cell>
          <cell r="M4092" t="str">
            <v>C4791</v>
          </cell>
          <cell r="AC4092">
            <v>41.520874020000001</v>
          </cell>
          <cell r="AD4092">
            <v>36.982910160000003</v>
          </cell>
        </row>
        <row r="4093">
          <cell r="L4093" t="str">
            <v>تل بري_كري بري</v>
          </cell>
          <cell r="M4093" t="str">
            <v>C4792</v>
          </cell>
          <cell r="AC4093">
            <v>41.602905270000001</v>
          </cell>
          <cell r="AD4093">
            <v>37.003723149999999</v>
          </cell>
        </row>
        <row r="4094">
          <cell r="L4094" t="str">
            <v>العرجة غربية تحتاني</v>
          </cell>
          <cell r="M4094" t="str">
            <v>C4793</v>
          </cell>
          <cell r="AC4094">
            <v>41.670104979999998</v>
          </cell>
          <cell r="AD4094">
            <v>36.766296390000001</v>
          </cell>
        </row>
        <row r="4095">
          <cell r="L4095" t="str">
            <v>محركان</v>
          </cell>
          <cell r="M4095" t="str">
            <v>C4794</v>
          </cell>
          <cell r="AC4095">
            <v>41.515686039999999</v>
          </cell>
          <cell r="AD4095">
            <v>37.051330569999998</v>
          </cell>
        </row>
        <row r="4096">
          <cell r="L4096" t="str">
            <v>قطبة</v>
          </cell>
          <cell r="M4096" t="str">
            <v>C4795</v>
          </cell>
          <cell r="AC4096">
            <v>41.476501470000002</v>
          </cell>
          <cell r="AD4096">
            <v>36.992126470000002</v>
          </cell>
        </row>
        <row r="4097">
          <cell r="L4097" t="str">
            <v>ليلان كبير</v>
          </cell>
          <cell r="M4097" t="str">
            <v>C4796</v>
          </cell>
          <cell r="AC4097">
            <v>41.504882809999998</v>
          </cell>
          <cell r="AD4097">
            <v>36.957519529999999</v>
          </cell>
        </row>
        <row r="4098">
          <cell r="L4098" t="str">
            <v>مرجانة</v>
          </cell>
          <cell r="M4098" t="str">
            <v>C4797</v>
          </cell>
          <cell r="AC4098">
            <v>41.515930179999998</v>
          </cell>
          <cell r="AD4098">
            <v>36.854492190000002</v>
          </cell>
        </row>
        <row r="4099">
          <cell r="L4099" t="str">
            <v>ملاعباس</v>
          </cell>
          <cell r="M4099" t="str">
            <v>C4798</v>
          </cell>
          <cell r="AC4099">
            <v>41.583496089999997</v>
          </cell>
          <cell r="AD4099">
            <v>37.084472660000003</v>
          </cell>
        </row>
        <row r="4100">
          <cell r="L4100" t="str">
            <v>قطبة تحتاني</v>
          </cell>
          <cell r="M4100" t="str">
            <v>C4799</v>
          </cell>
          <cell r="AC4100">
            <v>41.483520509999998</v>
          </cell>
          <cell r="AD4100">
            <v>36.972473149999999</v>
          </cell>
        </row>
        <row r="4101">
          <cell r="L4101" t="str">
            <v>مشيرفة قحطانية</v>
          </cell>
          <cell r="M4101" t="str">
            <v>C4800</v>
          </cell>
          <cell r="AC4101">
            <v>41.669921879999997</v>
          </cell>
          <cell r="AD4101">
            <v>36.962707520000002</v>
          </cell>
        </row>
        <row r="4102">
          <cell r="L4102" t="str">
            <v>نبوعة</v>
          </cell>
          <cell r="M4102" t="str">
            <v>C4801</v>
          </cell>
          <cell r="AC4102">
            <v>41.594726559999998</v>
          </cell>
          <cell r="AD4102">
            <v>36.950317380000001</v>
          </cell>
        </row>
        <row r="4103">
          <cell r="L4103" t="str">
            <v>بيت حنون</v>
          </cell>
          <cell r="M4103" t="str">
            <v>C4802</v>
          </cell>
          <cell r="AC4103">
            <v>41.917907720000002</v>
          </cell>
          <cell r="AD4103">
            <v>37.026489259999998</v>
          </cell>
        </row>
        <row r="4104">
          <cell r="L4104" t="str">
            <v>المريجات</v>
          </cell>
          <cell r="M4104" t="str">
            <v>C4803</v>
          </cell>
          <cell r="AC4104">
            <v>41.908508300000001</v>
          </cell>
          <cell r="AD4104">
            <v>37.144470220000002</v>
          </cell>
        </row>
        <row r="4105">
          <cell r="L4105" t="str">
            <v>البتراء</v>
          </cell>
          <cell r="M4105" t="str">
            <v>C4804</v>
          </cell>
          <cell r="AC4105">
            <v>42.19348145</v>
          </cell>
          <cell r="AD4105">
            <v>37.05310059</v>
          </cell>
        </row>
        <row r="4106">
          <cell r="L4106" t="str">
            <v>الهامة</v>
          </cell>
          <cell r="M4106" t="str">
            <v>C4805</v>
          </cell>
          <cell r="AC4106">
            <v>42.249694820000002</v>
          </cell>
          <cell r="AD4106">
            <v>37.127685550000002</v>
          </cell>
        </row>
        <row r="4107">
          <cell r="L4107" t="str">
            <v>خربة عباس</v>
          </cell>
          <cell r="M4107" t="str">
            <v>C4806</v>
          </cell>
          <cell r="AC4107">
            <v>41.994079589999998</v>
          </cell>
          <cell r="AD4107">
            <v>37.004272460000003</v>
          </cell>
        </row>
        <row r="4108">
          <cell r="L4108" t="str">
            <v>تل خنزير فوقاني</v>
          </cell>
          <cell r="M4108" t="str">
            <v>C4807</v>
          </cell>
          <cell r="AC4108">
            <v>42.212707520000002</v>
          </cell>
          <cell r="AD4108">
            <v>36.994323729999998</v>
          </cell>
        </row>
        <row r="4109">
          <cell r="L4109" t="str">
            <v>السعيدة</v>
          </cell>
          <cell r="M4109" t="str">
            <v>C4808</v>
          </cell>
          <cell r="AC4109">
            <v>42.01171875</v>
          </cell>
          <cell r="AD4109">
            <v>36.987670899999998</v>
          </cell>
        </row>
        <row r="4110">
          <cell r="L4110" t="str">
            <v>تل خنزير تحتاني</v>
          </cell>
          <cell r="M4110" t="str">
            <v>C4809</v>
          </cell>
          <cell r="AC4110">
            <v>42.223327640000001</v>
          </cell>
          <cell r="AD4110">
            <v>36.992492679999998</v>
          </cell>
        </row>
        <row r="4111">
          <cell r="L4111" t="str">
            <v>الصحية</v>
          </cell>
          <cell r="M4111" t="str">
            <v>C4810</v>
          </cell>
          <cell r="AC4111">
            <v>42.093322749999999</v>
          </cell>
          <cell r="AD4111">
            <v>37.122314449999998</v>
          </cell>
        </row>
        <row r="4112">
          <cell r="L4112" t="str">
            <v>البستان</v>
          </cell>
          <cell r="M4112" t="str">
            <v>C4811</v>
          </cell>
          <cell r="AC4112">
            <v>41.978088380000003</v>
          </cell>
          <cell r="AD4112">
            <v>37.140319820000002</v>
          </cell>
        </row>
        <row r="4113">
          <cell r="L4113" t="str">
            <v>رغدان</v>
          </cell>
          <cell r="M4113" t="str">
            <v>C4812</v>
          </cell>
          <cell r="AC4113">
            <v>42.139282229999999</v>
          </cell>
          <cell r="AD4113">
            <v>37.072509770000003</v>
          </cell>
        </row>
        <row r="4114">
          <cell r="L4114" t="str">
            <v>رميلان فوقاني</v>
          </cell>
          <cell r="M4114" t="str">
            <v>C4813</v>
          </cell>
          <cell r="AC4114">
            <v>41.948730470000001</v>
          </cell>
          <cell r="AD4114">
            <v>37.008911130000001</v>
          </cell>
        </row>
        <row r="4115">
          <cell r="L4115" t="str">
            <v>الطويبة</v>
          </cell>
          <cell r="M4115" t="str">
            <v>C4814</v>
          </cell>
          <cell r="AC4115">
            <v>41.901306150000003</v>
          </cell>
          <cell r="AD4115">
            <v>36.988891600000002</v>
          </cell>
        </row>
        <row r="4116">
          <cell r="L4116" t="str">
            <v>الريحانية مالكية</v>
          </cell>
          <cell r="M4116" t="str">
            <v>C4815</v>
          </cell>
          <cell r="AC4116">
            <v>42.228698729999998</v>
          </cell>
          <cell r="AD4116">
            <v>37.252929690000002</v>
          </cell>
        </row>
        <row r="4117">
          <cell r="L4117" t="str">
            <v>الممدوحة</v>
          </cell>
          <cell r="M4117" t="str">
            <v>C4816</v>
          </cell>
          <cell r="AC4117">
            <v>42.060119630000003</v>
          </cell>
          <cell r="AD4117">
            <v>37.180480959999997</v>
          </cell>
        </row>
        <row r="4118">
          <cell r="L4118" t="str">
            <v>خان الجبل</v>
          </cell>
          <cell r="M4118" t="str">
            <v>C4817</v>
          </cell>
          <cell r="AC4118">
            <v>42.077697749999999</v>
          </cell>
          <cell r="AD4118">
            <v>37.083679199999999</v>
          </cell>
        </row>
        <row r="4119">
          <cell r="L4119" t="str">
            <v>تل عدس</v>
          </cell>
          <cell r="M4119" t="str">
            <v>C4818</v>
          </cell>
          <cell r="AC4119">
            <v>42.083129880000001</v>
          </cell>
          <cell r="AD4119">
            <v>37.008911130000001</v>
          </cell>
        </row>
        <row r="4120">
          <cell r="L4120" t="str">
            <v>الحمام</v>
          </cell>
          <cell r="M4120" t="str">
            <v>C4819</v>
          </cell>
          <cell r="AC4120">
            <v>42.169494630000003</v>
          </cell>
          <cell r="AD4120">
            <v>37.038513180000002</v>
          </cell>
        </row>
        <row r="4121">
          <cell r="L4121" t="str">
            <v>حــلاق</v>
          </cell>
          <cell r="M4121" t="str">
            <v>C4820</v>
          </cell>
          <cell r="AC4121">
            <v>41.89569092</v>
          </cell>
          <cell r="AD4121">
            <v>37.076904300000002</v>
          </cell>
        </row>
        <row r="4122">
          <cell r="L4122" t="str">
            <v>النجف</v>
          </cell>
          <cell r="M4122" t="str">
            <v>C4821</v>
          </cell>
          <cell r="AC4122">
            <v>42.188476559999998</v>
          </cell>
          <cell r="AD4122">
            <v>36.963317869999997</v>
          </cell>
        </row>
        <row r="4123">
          <cell r="L4123" t="str">
            <v>الطبقة</v>
          </cell>
          <cell r="M4123" t="str">
            <v>C4822</v>
          </cell>
          <cell r="AC4123">
            <v>42.131286619999997</v>
          </cell>
          <cell r="AD4123">
            <v>37.045898440000002</v>
          </cell>
        </row>
        <row r="4124">
          <cell r="L4124" t="str">
            <v>خراب أبو غالب</v>
          </cell>
          <cell r="M4124" t="str">
            <v>C4823</v>
          </cell>
          <cell r="AC4124">
            <v>42.002502440000001</v>
          </cell>
          <cell r="AD4124">
            <v>36.949523929999998</v>
          </cell>
        </row>
        <row r="4125">
          <cell r="L4125" t="str">
            <v>المنصورة</v>
          </cell>
          <cell r="M4125" t="str">
            <v>C4824</v>
          </cell>
          <cell r="AC4125">
            <v>42.177307130000003</v>
          </cell>
          <cell r="AD4125">
            <v>37.186523440000002</v>
          </cell>
        </row>
        <row r="4126">
          <cell r="L4126" t="str">
            <v>شرم الشيخ</v>
          </cell>
          <cell r="M4126" t="str">
            <v>C4825</v>
          </cell>
          <cell r="AC4126">
            <v>42.20587158</v>
          </cell>
          <cell r="AD4126">
            <v>37.103088380000003</v>
          </cell>
        </row>
        <row r="4127">
          <cell r="L4127" t="str">
            <v>الطليعة</v>
          </cell>
          <cell r="M4127" t="str">
            <v>C4826</v>
          </cell>
          <cell r="AC4127">
            <v>41.934082029999999</v>
          </cell>
          <cell r="AD4127">
            <v>37.075683589999997</v>
          </cell>
        </row>
        <row r="4128">
          <cell r="L4128" t="str">
            <v>المرجـــة</v>
          </cell>
          <cell r="M4128" t="str">
            <v>C4827</v>
          </cell>
          <cell r="AC4128">
            <v>41.991882320000002</v>
          </cell>
          <cell r="AD4128">
            <v>36.980102539999997</v>
          </cell>
        </row>
        <row r="4129">
          <cell r="L4129" t="str">
            <v>تل زيارة</v>
          </cell>
          <cell r="M4129" t="str">
            <v>C4828</v>
          </cell>
          <cell r="AC4129">
            <v>42.054077149999998</v>
          </cell>
          <cell r="AD4129">
            <v>37.05950928</v>
          </cell>
        </row>
        <row r="4130">
          <cell r="L4130" t="str">
            <v>تل الذهب الثانية مالكية</v>
          </cell>
          <cell r="M4130" t="str">
            <v>C4829</v>
          </cell>
          <cell r="AC4130">
            <v>42.110717770000001</v>
          </cell>
          <cell r="AD4130">
            <v>36.983276369999999</v>
          </cell>
        </row>
        <row r="4131">
          <cell r="L4131" t="str">
            <v>عكا</v>
          </cell>
          <cell r="M4131" t="str">
            <v>C4830</v>
          </cell>
          <cell r="AC4131">
            <v>42.077087400000003</v>
          </cell>
          <cell r="AD4131">
            <v>37.200317380000001</v>
          </cell>
        </row>
        <row r="4132">
          <cell r="L4132" t="str">
            <v>أم تلول</v>
          </cell>
          <cell r="M4132" t="str">
            <v>C4831</v>
          </cell>
          <cell r="AC4132">
            <v>42.225280759999997</v>
          </cell>
          <cell r="AD4132">
            <v>37.033081060000001</v>
          </cell>
        </row>
        <row r="4133">
          <cell r="L4133" t="str">
            <v>الحكمية</v>
          </cell>
          <cell r="M4133" t="str">
            <v>C4832</v>
          </cell>
          <cell r="AC4133">
            <v>42.220703129999997</v>
          </cell>
          <cell r="AD4133">
            <v>37.177490229999997</v>
          </cell>
        </row>
        <row r="4134">
          <cell r="L4134" t="str">
            <v>رميلان تحتاني</v>
          </cell>
          <cell r="M4134" t="str">
            <v>C4833</v>
          </cell>
          <cell r="AC4134">
            <v>41.969116210000003</v>
          </cell>
          <cell r="AD4134">
            <v>36.947326660000002</v>
          </cell>
        </row>
        <row r="4135">
          <cell r="L4135" t="str">
            <v>سويدية شرقية</v>
          </cell>
          <cell r="M4135" t="str">
            <v>C4834</v>
          </cell>
          <cell r="AC4135">
            <v>42.336486819999998</v>
          </cell>
          <cell r="AD4135">
            <v>37.141479490000002</v>
          </cell>
        </row>
        <row r="4136">
          <cell r="L4136" t="str">
            <v>سويدية تحتاني</v>
          </cell>
          <cell r="M4136" t="str">
            <v>C4835</v>
          </cell>
          <cell r="AC4136">
            <v>42.174926759999998</v>
          </cell>
          <cell r="AD4136">
            <v>36.933105470000001</v>
          </cell>
        </row>
        <row r="4137">
          <cell r="L4137" t="str">
            <v>المصطفاوية</v>
          </cell>
          <cell r="M4137" t="str">
            <v>C4836</v>
          </cell>
          <cell r="AC4137">
            <v>41.989074709999997</v>
          </cell>
          <cell r="AD4137">
            <v>37.077514649999998</v>
          </cell>
        </row>
        <row r="4138">
          <cell r="L4138" t="str">
            <v>الجسر</v>
          </cell>
          <cell r="M4138" t="str">
            <v>C4837</v>
          </cell>
          <cell r="AC4138">
            <v>42.18591309</v>
          </cell>
          <cell r="AD4138">
            <v>37.236511229999998</v>
          </cell>
        </row>
        <row r="4139">
          <cell r="L4139" t="str">
            <v>شيخ ابراهيم</v>
          </cell>
          <cell r="M4139" t="str">
            <v>C4838</v>
          </cell>
          <cell r="AC4139">
            <v>41.90209961</v>
          </cell>
          <cell r="AD4139">
            <v>37.093078609999999</v>
          </cell>
        </row>
        <row r="4140">
          <cell r="L4140" t="str">
            <v>حيفا المالكية</v>
          </cell>
          <cell r="M4140" t="str">
            <v>C4839</v>
          </cell>
          <cell r="AC4140">
            <v>42.292297359999999</v>
          </cell>
          <cell r="AD4140">
            <v>37.155883789999997</v>
          </cell>
        </row>
        <row r="4141">
          <cell r="L4141" t="str">
            <v>سويدية فوقـاني</v>
          </cell>
          <cell r="M4141" t="str">
            <v>C4840</v>
          </cell>
          <cell r="AC4141">
            <v>42.1583252</v>
          </cell>
          <cell r="AD4141">
            <v>36.95471191</v>
          </cell>
        </row>
        <row r="4142">
          <cell r="L4142" t="str">
            <v>المعبدة</v>
          </cell>
          <cell r="M4142" t="str">
            <v>C4841</v>
          </cell>
          <cell r="AC4142">
            <v>41.961486819999998</v>
          </cell>
          <cell r="AD4142">
            <v>37.018676759999998</v>
          </cell>
        </row>
        <row r="4143">
          <cell r="L4143" t="str">
            <v>عرعور تحتاني</v>
          </cell>
          <cell r="M4143" t="str">
            <v>C4842</v>
          </cell>
          <cell r="AC4143">
            <v>42.034301759999998</v>
          </cell>
          <cell r="AD4143">
            <v>37.018676759999998</v>
          </cell>
        </row>
        <row r="4144">
          <cell r="L4144" t="str">
            <v>الفردوس</v>
          </cell>
          <cell r="M4144" t="str">
            <v>C4843</v>
          </cell>
          <cell r="AC4144">
            <v>41.991699220000001</v>
          </cell>
          <cell r="AD4144">
            <v>37.17028809</v>
          </cell>
        </row>
        <row r="4145">
          <cell r="L4145" t="str">
            <v>تل الأمراء</v>
          </cell>
          <cell r="M4145" t="str">
            <v>C4844</v>
          </cell>
          <cell r="AC4145">
            <v>42.217102050000001</v>
          </cell>
          <cell r="AD4145">
            <v>37.143310550000002</v>
          </cell>
        </row>
        <row r="4146">
          <cell r="L4146" t="str">
            <v>القيصرية</v>
          </cell>
          <cell r="M4146" t="str">
            <v>C4845</v>
          </cell>
          <cell r="AC4146">
            <v>42.189697270000003</v>
          </cell>
          <cell r="AD4146">
            <v>37.14727783</v>
          </cell>
        </row>
        <row r="4147">
          <cell r="L4147" t="str">
            <v>تل حديد</v>
          </cell>
          <cell r="M4147" t="str">
            <v>C4846</v>
          </cell>
          <cell r="AC4147">
            <v>41.913513180000002</v>
          </cell>
          <cell r="AD4147">
            <v>37.011108399999998</v>
          </cell>
        </row>
        <row r="4148">
          <cell r="L4148" t="str">
            <v>أبو قير</v>
          </cell>
          <cell r="M4148" t="str">
            <v>C4847</v>
          </cell>
          <cell r="AC4148">
            <v>42.1505127</v>
          </cell>
          <cell r="AD4148">
            <v>37.086120610000002</v>
          </cell>
        </row>
        <row r="4149">
          <cell r="L4149" t="str">
            <v>تل الفخار</v>
          </cell>
          <cell r="M4149" t="str">
            <v>C4848</v>
          </cell>
          <cell r="AC4149">
            <v>42.021484379999997</v>
          </cell>
          <cell r="AD4149">
            <v>37.044494630000003</v>
          </cell>
        </row>
        <row r="4150">
          <cell r="L4150" t="str">
            <v>تل جمال</v>
          </cell>
          <cell r="M4150" t="str">
            <v>C4849</v>
          </cell>
          <cell r="AC4150">
            <v>41.995483399999998</v>
          </cell>
          <cell r="AD4150">
            <v>37.048095699999998</v>
          </cell>
        </row>
        <row r="4151">
          <cell r="L4151" t="str">
            <v>تل الأصفر</v>
          </cell>
          <cell r="M4151" t="str">
            <v>C4850</v>
          </cell>
          <cell r="AC4151">
            <v>42.032714839999997</v>
          </cell>
          <cell r="AD4151">
            <v>37.075927729999997</v>
          </cell>
        </row>
        <row r="4152">
          <cell r="L4152" t="str">
            <v>تل الأحمر</v>
          </cell>
          <cell r="M4152" t="str">
            <v>C4851</v>
          </cell>
          <cell r="AC4152">
            <v>42.304504399999999</v>
          </cell>
          <cell r="AD4152">
            <v>37.021484379999997</v>
          </cell>
        </row>
        <row r="4153">
          <cell r="L4153" t="str">
            <v>تل أمية</v>
          </cell>
          <cell r="M4153" t="str">
            <v>C4852</v>
          </cell>
          <cell r="AC4153">
            <v>41.917114259999998</v>
          </cell>
          <cell r="AD4153">
            <v>37.080688479999999</v>
          </cell>
        </row>
        <row r="4154">
          <cell r="L4154" t="str">
            <v>الكسوة</v>
          </cell>
          <cell r="M4154" t="str">
            <v>C4853</v>
          </cell>
          <cell r="AC4154">
            <v>42.260681150000003</v>
          </cell>
          <cell r="AD4154">
            <v>37.240295410000002</v>
          </cell>
        </row>
        <row r="4155">
          <cell r="L4155" t="str">
            <v>تل أسود مالكية</v>
          </cell>
          <cell r="M4155" t="str">
            <v>C4854</v>
          </cell>
          <cell r="AC4155">
            <v>42.087707520000002</v>
          </cell>
          <cell r="AD4155">
            <v>37.05627441</v>
          </cell>
        </row>
        <row r="4156">
          <cell r="L4156" t="str">
            <v>دير ياسين</v>
          </cell>
          <cell r="M4156" t="str">
            <v>C4855</v>
          </cell>
          <cell r="AC4156">
            <v>42.195922850000002</v>
          </cell>
          <cell r="AD4156">
            <v>37.256713869999999</v>
          </cell>
        </row>
        <row r="4157">
          <cell r="L4157" t="str">
            <v>الشمسية</v>
          </cell>
          <cell r="M4157" t="str">
            <v>C4856</v>
          </cell>
          <cell r="AC4157">
            <v>42.109313970000002</v>
          </cell>
          <cell r="AD4157">
            <v>37.214111330000001</v>
          </cell>
        </row>
        <row r="4158">
          <cell r="L4158" t="str">
            <v>دير دجلة</v>
          </cell>
          <cell r="M4158" t="str">
            <v>C4857</v>
          </cell>
          <cell r="AC4158">
            <v>42.285278320000003</v>
          </cell>
          <cell r="AD4158">
            <v>37.26928711</v>
          </cell>
        </row>
        <row r="4159">
          <cell r="L4159" t="str">
            <v>الزهراء مالكية</v>
          </cell>
          <cell r="M4159" t="str">
            <v>C4858</v>
          </cell>
          <cell r="AC4159">
            <v>42.27893066</v>
          </cell>
          <cell r="AD4159">
            <v>37.110473630000001</v>
          </cell>
        </row>
        <row r="4160">
          <cell r="L4160" t="str">
            <v>الغسانية</v>
          </cell>
          <cell r="M4160" t="str">
            <v>C4859</v>
          </cell>
          <cell r="AC4160">
            <v>41.903686520000001</v>
          </cell>
          <cell r="AD4160">
            <v>37.109497070000003</v>
          </cell>
        </row>
        <row r="4161">
          <cell r="L4161" t="str">
            <v>التلين</v>
          </cell>
          <cell r="M4161" t="str">
            <v>C4860</v>
          </cell>
          <cell r="AC4161">
            <v>41.996887209999997</v>
          </cell>
          <cell r="AD4161">
            <v>37.028686520000001</v>
          </cell>
        </row>
        <row r="4162">
          <cell r="L4162" t="str">
            <v>الفداء</v>
          </cell>
          <cell r="M4162" t="str">
            <v>C4861</v>
          </cell>
          <cell r="AC4162">
            <v>41.94689941</v>
          </cell>
          <cell r="AD4162">
            <v>37.106689449999998</v>
          </cell>
        </row>
        <row r="4163">
          <cell r="L4163" t="str">
            <v>حناوية</v>
          </cell>
          <cell r="M4163" t="str">
            <v>C4862</v>
          </cell>
          <cell r="AC4163">
            <v>42.121887209999997</v>
          </cell>
          <cell r="AD4163">
            <v>37.100280759999997</v>
          </cell>
        </row>
        <row r="4164">
          <cell r="L4164" t="str">
            <v>السفح مالكية</v>
          </cell>
          <cell r="M4164" t="str">
            <v>C4863</v>
          </cell>
          <cell r="AC4164">
            <v>42.06091309</v>
          </cell>
          <cell r="AD4164">
            <v>37.14727783</v>
          </cell>
        </row>
        <row r="4165">
          <cell r="L4165" t="str">
            <v>عين الخضراء</v>
          </cell>
          <cell r="M4165" t="str">
            <v>C4864</v>
          </cell>
          <cell r="AC4165">
            <v>42.16430664</v>
          </cell>
          <cell r="AD4165">
            <v>37.210510249999999</v>
          </cell>
        </row>
        <row r="4166">
          <cell r="L4166" t="str">
            <v>الينبوع</v>
          </cell>
          <cell r="M4166" t="str">
            <v>C4865</v>
          </cell>
          <cell r="AC4166">
            <v>42.267272949999999</v>
          </cell>
          <cell r="AD4166">
            <v>37.176879880000001</v>
          </cell>
        </row>
        <row r="4167">
          <cell r="L4167" t="str">
            <v>اليوسفية</v>
          </cell>
          <cell r="M4167" t="str">
            <v>C4866</v>
          </cell>
          <cell r="AC4167">
            <v>41.955688479999999</v>
          </cell>
          <cell r="AD4167">
            <v>36.930480959999997</v>
          </cell>
        </row>
        <row r="4168">
          <cell r="L4168" t="str">
            <v>الرشيدية مالكية</v>
          </cell>
          <cell r="M4168" t="str">
            <v>C4867</v>
          </cell>
          <cell r="AC4168">
            <v>42.219482419999999</v>
          </cell>
          <cell r="AD4168">
            <v>37.120483399999998</v>
          </cell>
        </row>
        <row r="4169">
          <cell r="L4169" t="str">
            <v>سبع جفار</v>
          </cell>
          <cell r="M4169" t="str">
            <v>C4868</v>
          </cell>
          <cell r="AC4169">
            <v>42.078308110000002</v>
          </cell>
          <cell r="AD4169">
            <v>36.958923339999998</v>
          </cell>
        </row>
        <row r="4170">
          <cell r="L4170" t="str">
            <v>تل الهوى مالكية</v>
          </cell>
          <cell r="M4170" t="str">
            <v>C4869</v>
          </cell>
          <cell r="AC4170">
            <v>42.308715820000003</v>
          </cell>
          <cell r="AD4170">
            <v>37.059875490000003</v>
          </cell>
        </row>
        <row r="4171">
          <cell r="L4171" t="str">
            <v>خربة عدنان</v>
          </cell>
          <cell r="M4171" t="str">
            <v>C4870</v>
          </cell>
          <cell r="AC4171">
            <v>42.155700680000002</v>
          </cell>
          <cell r="AD4171">
            <v>37.15649414</v>
          </cell>
        </row>
        <row r="4172">
          <cell r="L4172" t="str">
            <v>تل الدرة</v>
          </cell>
          <cell r="M4172" t="str">
            <v>C4871</v>
          </cell>
          <cell r="AC4172">
            <v>41.89752197</v>
          </cell>
          <cell r="AD4172">
            <v>37.057495119999999</v>
          </cell>
        </row>
        <row r="4173">
          <cell r="L4173" t="str">
            <v>تل حمدان</v>
          </cell>
          <cell r="M4173" t="str">
            <v>C4872</v>
          </cell>
          <cell r="AC4173">
            <v>42.071105959999997</v>
          </cell>
          <cell r="AD4173">
            <v>37.022888180000002</v>
          </cell>
        </row>
        <row r="4174">
          <cell r="L4174" t="str">
            <v>حياكة</v>
          </cell>
          <cell r="M4174" t="str">
            <v>C4873</v>
          </cell>
          <cell r="AC4174">
            <v>42.016906740000003</v>
          </cell>
          <cell r="AD4174">
            <v>37.149475099999997</v>
          </cell>
        </row>
        <row r="4175">
          <cell r="L4175" t="str">
            <v>تل الأعور</v>
          </cell>
          <cell r="M4175" t="str">
            <v>C4874</v>
          </cell>
          <cell r="AC4175">
            <v>41.948730470000001</v>
          </cell>
          <cell r="AD4175">
            <v>37.069885249999999</v>
          </cell>
        </row>
        <row r="4176">
          <cell r="L4176" t="str">
            <v>سنجار مالكية</v>
          </cell>
          <cell r="M4176" t="str">
            <v>C4875</v>
          </cell>
          <cell r="AC4176">
            <v>41.924072270000003</v>
          </cell>
          <cell r="AD4176">
            <v>37.113891600000002</v>
          </cell>
        </row>
        <row r="4177">
          <cell r="L4177" t="str">
            <v>تل الذهب الأولى مالكية</v>
          </cell>
          <cell r="M4177" t="str">
            <v>C4876</v>
          </cell>
          <cell r="AC4177">
            <v>42.2598877</v>
          </cell>
          <cell r="AD4177">
            <v>37.211914059999998</v>
          </cell>
        </row>
        <row r="4178">
          <cell r="L4178" t="str">
            <v>الرحيبة</v>
          </cell>
          <cell r="M4178" t="str">
            <v>C4877</v>
          </cell>
          <cell r="AC4178">
            <v>42.057312009999997</v>
          </cell>
          <cell r="AD4178">
            <v>37.115112310000001</v>
          </cell>
        </row>
        <row r="4179">
          <cell r="L4179" t="str">
            <v>زهيرية</v>
          </cell>
          <cell r="M4179" t="str">
            <v>C4878</v>
          </cell>
          <cell r="AC4179">
            <v>42.319702149999998</v>
          </cell>
          <cell r="AD4179">
            <v>37.175476070000002</v>
          </cell>
        </row>
        <row r="4180">
          <cell r="L4180" t="str">
            <v>خراب بنيان</v>
          </cell>
          <cell r="M4180" t="str">
            <v>C4879</v>
          </cell>
          <cell r="AC4180">
            <v>42.00872803</v>
          </cell>
          <cell r="AD4180">
            <v>36.970886229999998</v>
          </cell>
        </row>
        <row r="4181">
          <cell r="L4181" t="str">
            <v>تل الشمس</v>
          </cell>
          <cell r="M4181" t="str">
            <v>C4880</v>
          </cell>
          <cell r="AC4181">
            <v>42.285522460000003</v>
          </cell>
          <cell r="AD4181">
            <v>37.138122559999999</v>
          </cell>
        </row>
        <row r="4182">
          <cell r="L4182" t="str">
            <v>المالكية</v>
          </cell>
          <cell r="M4182" t="str">
            <v>C4881</v>
          </cell>
          <cell r="AC4182">
            <v>42.140319820000002</v>
          </cell>
          <cell r="AD4182">
            <v>37.174499509999997</v>
          </cell>
        </row>
        <row r="4183">
          <cell r="L4183" t="str">
            <v>تل الصدق</v>
          </cell>
          <cell r="M4183" t="str">
            <v>C4882</v>
          </cell>
          <cell r="AC4183">
            <v>42.108886720000001</v>
          </cell>
          <cell r="AD4183">
            <v>37.145874020000001</v>
          </cell>
        </row>
        <row r="4184">
          <cell r="L4184" t="str">
            <v>الاسماعيلية</v>
          </cell>
          <cell r="M4184" t="str">
            <v>C4883</v>
          </cell>
          <cell r="AC4184">
            <v>42.045898440000002</v>
          </cell>
          <cell r="AD4184">
            <v>37.162292479999998</v>
          </cell>
        </row>
        <row r="4185">
          <cell r="L4185" t="str">
            <v>باب الهوا</v>
          </cell>
          <cell r="M4185" t="str">
            <v>C4884</v>
          </cell>
          <cell r="AC4185">
            <v>42.118896479999997</v>
          </cell>
          <cell r="AD4185">
            <v>37.19830322</v>
          </cell>
        </row>
        <row r="4186">
          <cell r="L4186" t="str">
            <v>الكوفة</v>
          </cell>
          <cell r="M4186" t="str">
            <v>C4885</v>
          </cell>
          <cell r="AC4186">
            <v>42.236877440000001</v>
          </cell>
          <cell r="AD4186">
            <v>37.00549316</v>
          </cell>
        </row>
        <row r="4187">
          <cell r="L4187" t="str">
            <v>تل الضيق</v>
          </cell>
          <cell r="M4187" t="str">
            <v>C4886</v>
          </cell>
          <cell r="AC4187">
            <v>42.067077640000001</v>
          </cell>
          <cell r="AD4187">
            <v>36.984313970000002</v>
          </cell>
        </row>
        <row r="4188">
          <cell r="L4188" t="str">
            <v>التونسية</v>
          </cell>
          <cell r="M4188" t="str">
            <v>C4887</v>
          </cell>
          <cell r="AC4188">
            <v>42.090271000000001</v>
          </cell>
          <cell r="AD4188">
            <v>37.175476070000002</v>
          </cell>
        </row>
        <row r="4189">
          <cell r="L4189" t="str">
            <v>عين ديوار</v>
          </cell>
          <cell r="M4189" t="str">
            <v>C4888</v>
          </cell>
          <cell r="AC4189">
            <v>42.191894529999999</v>
          </cell>
          <cell r="AD4189">
            <v>37.279907229999999</v>
          </cell>
        </row>
        <row r="4190">
          <cell r="L4190" t="str">
            <v>المرتفعة</v>
          </cell>
          <cell r="M4190" t="str">
            <v>C4889</v>
          </cell>
          <cell r="AC4190">
            <v>41.996704100000002</v>
          </cell>
          <cell r="AD4190">
            <v>37.099487310000001</v>
          </cell>
        </row>
        <row r="4191">
          <cell r="L4191" t="str">
            <v>الحسانية</v>
          </cell>
          <cell r="M4191" t="str">
            <v>C4890</v>
          </cell>
          <cell r="AC4191">
            <v>42.189697270000003</v>
          </cell>
          <cell r="AD4191">
            <v>37.171081540000003</v>
          </cell>
        </row>
        <row r="4192">
          <cell r="L4192" t="str">
            <v>مرج الأخضر</v>
          </cell>
          <cell r="M4192" t="str">
            <v>C4891</v>
          </cell>
          <cell r="AC4192">
            <v>42.30950928</v>
          </cell>
          <cell r="AD4192">
            <v>37.081298830000001</v>
          </cell>
        </row>
        <row r="4193">
          <cell r="L4193" t="str">
            <v>قلقيلية</v>
          </cell>
          <cell r="M4193" t="str">
            <v>C4892</v>
          </cell>
          <cell r="AC4193">
            <v>42.0020752</v>
          </cell>
          <cell r="AD4193">
            <v>37.132080080000001</v>
          </cell>
        </row>
        <row r="4194">
          <cell r="L4194" t="str">
            <v>مزيريب</v>
          </cell>
          <cell r="M4194" t="str">
            <v>C4893</v>
          </cell>
          <cell r="AC4194">
            <v>42.255676270000002</v>
          </cell>
          <cell r="AD4194">
            <v>37.062072749999999</v>
          </cell>
        </row>
        <row r="4195">
          <cell r="L4195" t="str">
            <v>ملا مرز كبير</v>
          </cell>
          <cell r="M4195" t="str">
            <v>C4894</v>
          </cell>
          <cell r="AC4195">
            <v>42.232116699999999</v>
          </cell>
          <cell r="AD4195">
            <v>37.091125490000003</v>
          </cell>
        </row>
        <row r="4196">
          <cell r="L4196" t="str">
            <v>مزرعة مسلم</v>
          </cell>
          <cell r="M4196" t="str">
            <v>C4895</v>
          </cell>
          <cell r="AC4196">
            <v>42.242919919999999</v>
          </cell>
          <cell r="AD4196">
            <v>37.27709961</v>
          </cell>
        </row>
        <row r="4197">
          <cell r="L4197" t="str">
            <v>قصر الذيب</v>
          </cell>
          <cell r="M4197" t="str">
            <v>C4896</v>
          </cell>
          <cell r="AC4197">
            <v>42.140319820000002</v>
          </cell>
          <cell r="AD4197">
            <v>37.229675290000003</v>
          </cell>
        </row>
        <row r="4198">
          <cell r="L4198" t="str">
            <v>كربلاء</v>
          </cell>
          <cell r="M4198" t="str">
            <v>C4897</v>
          </cell>
          <cell r="AC4198">
            <v>42.313903809999999</v>
          </cell>
          <cell r="AD4198">
            <v>37.120483399999998</v>
          </cell>
        </row>
        <row r="4199">
          <cell r="L4199" t="str">
            <v>مزرعة الجاموس</v>
          </cell>
          <cell r="M4199" t="str">
            <v>C4898</v>
          </cell>
          <cell r="AC4199">
            <v>42.26171875</v>
          </cell>
          <cell r="AD4199">
            <v>37.078491210000003</v>
          </cell>
        </row>
        <row r="4200">
          <cell r="L4200" t="str">
            <v>قلعة الحصن</v>
          </cell>
          <cell r="M4200" t="str">
            <v>C4899</v>
          </cell>
          <cell r="AC4200">
            <v>42.246704100000002</v>
          </cell>
          <cell r="AD4200">
            <v>36.976928710000003</v>
          </cell>
        </row>
        <row r="4201">
          <cell r="L4201" t="str">
            <v>أبو عجيلة</v>
          </cell>
          <cell r="M4201" t="str">
            <v>C4900</v>
          </cell>
          <cell r="AC4201">
            <v>41.85247803</v>
          </cell>
          <cell r="AD4201">
            <v>37.103088380000003</v>
          </cell>
        </row>
        <row r="4202">
          <cell r="L4202" t="str">
            <v>الجابرية جوادية</v>
          </cell>
          <cell r="M4202" t="str">
            <v>C4901</v>
          </cell>
          <cell r="AC4202">
            <v>41.810119630000003</v>
          </cell>
          <cell r="AD4202">
            <v>37.043701169999999</v>
          </cell>
        </row>
        <row r="4203">
          <cell r="L4203" t="str">
            <v>دير حافر</v>
          </cell>
          <cell r="M4203" t="str">
            <v>C4902</v>
          </cell>
          <cell r="AC4203">
            <v>41.760925290000003</v>
          </cell>
          <cell r="AD4203">
            <v>37.087707520000002</v>
          </cell>
        </row>
        <row r="4204">
          <cell r="L4204" t="str">
            <v>شبك</v>
          </cell>
          <cell r="M4204" t="str">
            <v>C4903</v>
          </cell>
          <cell r="AC4204">
            <v>41.786682130000003</v>
          </cell>
          <cell r="AD4204">
            <v>36.995727539999997</v>
          </cell>
        </row>
        <row r="4205">
          <cell r="L4205" t="str">
            <v>تل الحسنات</v>
          </cell>
          <cell r="M4205" t="str">
            <v>C4904</v>
          </cell>
          <cell r="AC4205">
            <v>41.679321289999997</v>
          </cell>
          <cell r="AD4205">
            <v>37.108886720000001</v>
          </cell>
        </row>
        <row r="4206">
          <cell r="L4206" t="str">
            <v>باب الحديد</v>
          </cell>
          <cell r="M4206" t="str">
            <v>C4905</v>
          </cell>
          <cell r="AC4206">
            <v>41.859680179999998</v>
          </cell>
          <cell r="AD4206">
            <v>36.980896000000001</v>
          </cell>
        </row>
        <row r="4207">
          <cell r="L4207" t="str">
            <v>عسيلة</v>
          </cell>
          <cell r="M4207" t="str">
            <v>C4906</v>
          </cell>
          <cell r="AC4207">
            <v>41.694274900000003</v>
          </cell>
          <cell r="AD4207">
            <v>36.965515140000001</v>
          </cell>
        </row>
        <row r="4208">
          <cell r="L4208" t="str">
            <v>خشينية</v>
          </cell>
          <cell r="M4208" t="str">
            <v>C4907</v>
          </cell>
          <cell r="AC4208">
            <v>41.732116699999999</v>
          </cell>
          <cell r="AD4208">
            <v>37.065673830000001</v>
          </cell>
        </row>
        <row r="4209">
          <cell r="L4209" t="str">
            <v>الحمراء</v>
          </cell>
          <cell r="M4209" t="str">
            <v>C4908</v>
          </cell>
          <cell r="AC4209">
            <v>41.860107419999999</v>
          </cell>
          <cell r="AD4209">
            <v>37.07147217</v>
          </cell>
        </row>
        <row r="4210">
          <cell r="L4210" t="str">
            <v>أبو عبيدة</v>
          </cell>
          <cell r="M4210" t="str">
            <v>C4909</v>
          </cell>
          <cell r="AC4210">
            <v>41.851074220000001</v>
          </cell>
          <cell r="AD4210">
            <v>37.052917479999998</v>
          </cell>
        </row>
        <row r="4211">
          <cell r="L4211" t="str">
            <v>عمارات فوقاني</v>
          </cell>
          <cell r="M4211" t="str">
            <v>C4910</v>
          </cell>
          <cell r="AC4211">
            <v>41.71850586</v>
          </cell>
          <cell r="AD4211">
            <v>36.94232178</v>
          </cell>
        </row>
        <row r="4212">
          <cell r="L4212" t="str">
            <v>تل العطشان</v>
          </cell>
          <cell r="M4212" t="str">
            <v>C4911</v>
          </cell>
          <cell r="AC4212">
            <v>41.70727539</v>
          </cell>
          <cell r="AD4212">
            <v>37.003295899999998</v>
          </cell>
        </row>
        <row r="4213">
          <cell r="L4213" t="str">
            <v>أم الرمان</v>
          </cell>
          <cell r="M4213" t="str">
            <v>C4912</v>
          </cell>
          <cell r="AC4213">
            <v>41.831909179999997</v>
          </cell>
          <cell r="AD4213">
            <v>37.066894529999999</v>
          </cell>
        </row>
        <row r="4214">
          <cell r="L4214" t="str">
            <v>الغافقية</v>
          </cell>
          <cell r="M4214" t="str">
            <v>C4913</v>
          </cell>
          <cell r="AC4214">
            <v>41.841308589999997</v>
          </cell>
          <cell r="AD4214">
            <v>37.094726559999998</v>
          </cell>
        </row>
        <row r="4215">
          <cell r="L4215" t="str">
            <v>الحسينية جوادية</v>
          </cell>
          <cell r="M4215" t="str">
            <v>C4914</v>
          </cell>
          <cell r="AC4215">
            <v>41.835083009999998</v>
          </cell>
          <cell r="AD4215">
            <v>37.089904789999999</v>
          </cell>
        </row>
        <row r="4216">
          <cell r="L4216" t="str">
            <v>عتبة</v>
          </cell>
          <cell r="M4216" t="str">
            <v>C4915</v>
          </cell>
          <cell r="AC4216">
            <v>41.76330566</v>
          </cell>
          <cell r="AD4216">
            <v>37.108886720000001</v>
          </cell>
        </row>
        <row r="4217">
          <cell r="L4217" t="str">
            <v>أم رجيم</v>
          </cell>
          <cell r="M4217" t="str">
            <v>C4916</v>
          </cell>
          <cell r="AC4217">
            <v>41.710876470000002</v>
          </cell>
          <cell r="AD4217">
            <v>36.982116699999999</v>
          </cell>
        </row>
        <row r="4218">
          <cell r="L4218" t="str">
            <v>أبو بكر</v>
          </cell>
          <cell r="M4218" t="str">
            <v>C4917</v>
          </cell>
          <cell r="AC4218">
            <v>41.813476559999998</v>
          </cell>
          <cell r="AD4218">
            <v>37.074890140000001</v>
          </cell>
        </row>
        <row r="4219">
          <cell r="L4219" t="str">
            <v>الرهاء</v>
          </cell>
          <cell r="M4219" t="str">
            <v>C4918</v>
          </cell>
          <cell r="AC4219">
            <v>41.886901860000002</v>
          </cell>
          <cell r="AD4219">
            <v>37.115112310000001</v>
          </cell>
        </row>
        <row r="4220">
          <cell r="L4220" t="str">
            <v>الجوادية</v>
          </cell>
          <cell r="M4220" t="str">
            <v>C4919</v>
          </cell>
          <cell r="AC4220">
            <v>41.8203125</v>
          </cell>
          <cell r="AD4220">
            <v>36.987304690000002</v>
          </cell>
        </row>
        <row r="4221">
          <cell r="L4221" t="str">
            <v>تل خليل جوادية</v>
          </cell>
          <cell r="M4221" t="str">
            <v>C4920</v>
          </cell>
          <cell r="AC4221">
            <v>41.723876949999998</v>
          </cell>
          <cell r="AD4221">
            <v>37.0255127</v>
          </cell>
        </row>
        <row r="4222">
          <cell r="L4222" t="str">
            <v>ربيعة الجوادية</v>
          </cell>
          <cell r="M4222" t="str">
            <v>C4921</v>
          </cell>
          <cell r="AC4222">
            <v>41.707885740000002</v>
          </cell>
          <cell r="AD4222">
            <v>36.965698240000002</v>
          </cell>
        </row>
        <row r="4223">
          <cell r="L4223" t="str">
            <v>دير أيوب</v>
          </cell>
          <cell r="M4223" t="str">
            <v>C4922</v>
          </cell>
          <cell r="AC4223">
            <v>41.709472660000003</v>
          </cell>
          <cell r="AD4223">
            <v>37.095703129999997</v>
          </cell>
        </row>
        <row r="4224">
          <cell r="L4224" t="str">
            <v>العباسية</v>
          </cell>
          <cell r="M4224" t="str">
            <v>C4923</v>
          </cell>
          <cell r="AC4224">
            <v>41.826477050000001</v>
          </cell>
          <cell r="AD4224">
            <v>37.038513180000002</v>
          </cell>
        </row>
        <row r="4225">
          <cell r="L4225" t="str">
            <v>التوكل</v>
          </cell>
          <cell r="M4225" t="str">
            <v>C4924</v>
          </cell>
          <cell r="AC4225">
            <v>41.74908447</v>
          </cell>
          <cell r="AD4225">
            <v>37.044494630000003</v>
          </cell>
        </row>
        <row r="4226">
          <cell r="L4226" t="str">
            <v>الدير القديم</v>
          </cell>
          <cell r="M4226" t="str">
            <v>C4925</v>
          </cell>
          <cell r="AC4226">
            <v>41.823486330000001</v>
          </cell>
          <cell r="AD4226">
            <v>37.086914059999998</v>
          </cell>
        </row>
        <row r="4227">
          <cell r="L4227" t="str">
            <v>تل مراد</v>
          </cell>
          <cell r="M4227" t="str">
            <v>C4926</v>
          </cell>
          <cell r="AC4227">
            <v>41.84350586</v>
          </cell>
          <cell r="AD4227">
            <v>37.080688479999999</v>
          </cell>
        </row>
        <row r="4228">
          <cell r="L4228" t="str">
            <v>الحافظية</v>
          </cell>
          <cell r="M4228" t="str">
            <v>C4927</v>
          </cell>
          <cell r="AC4228">
            <v>41.856689449999998</v>
          </cell>
          <cell r="AD4228">
            <v>37.031677250000001</v>
          </cell>
        </row>
        <row r="4229">
          <cell r="L4229" t="str">
            <v>باقـــلا</v>
          </cell>
          <cell r="M4229" t="str">
            <v>C4928</v>
          </cell>
          <cell r="AC4229">
            <v>41.845520020000002</v>
          </cell>
          <cell r="AD4229">
            <v>36.957885740000002</v>
          </cell>
        </row>
        <row r="4230">
          <cell r="L4230" t="str">
            <v>خربة بلك</v>
          </cell>
          <cell r="M4230" t="str">
            <v>C4929</v>
          </cell>
          <cell r="AC4230">
            <v>41.881286619999997</v>
          </cell>
          <cell r="AD4230">
            <v>37.135681150000003</v>
          </cell>
        </row>
        <row r="4231">
          <cell r="L4231" t="str">
            <v>الظاهرية</v>
          </cell>
          <cell r="M4231" t="str">
            <v>C4930</v>
          </cell>
          <cell r="AC4231">
            <v>41.799682619999999</v>
          </cell>
          <cell r="AD4231">
            <v>36.959289550000001</v>
          </cell>
        </row>
        <row r="4232">
          <cell r="L4232" t="str">
            <v>الصالحية</v>
          </cell>
          <cell r="M4232" t="str">
            <v>C4931</v>
          </cell>
          <cell r="AC4232">
            <v>41.814697270000003</v>
          </cell>
          <cell r="AD4232">
            <v>37.096679690000002</v>
          </cell>
        </row>
        <row r="4233">
          <cell r="L4233" t="str">
            <v>المشيرفة جوادية</v>
          </cell>
          <cell r="M4233" t="str">
            <v>C4932</v>
          </cell>
          <cell r="AC4233">
            <v>41.86212158</v>
          </cell>
          <cell r="AD4233">
            <v>37.114929199999999</v>
          </cell>
        </row>
        <row r="4234">
          <cell r="L4234" t="str">
            <v>عابرة</v>
          </cell>
          <cell r="M4234" t="str">
            <v>C4933</v>
          </cell>
          <cell r="AC4234">
            <v>41.785705569999998</v>
          </cell>
          <cell r="AD4234">
            <v>37.026306150000003</v>
          </cell>
        </row>
        <row r="4235">
          <cell r="L4235" t="str">
            <v>دير الغصن</v>
          </cell>
          <cell r="M4235" t="str">
            <v>C4934</v>
          </cell>
          <cell r="AC4235">
            <v>41.802673339999998</v>
          </cell>
          <cell r="AD4235">
            <v>37.104919430000002</v>
          </cell>
        </row>
        <row r="4236">
          <cell r="L4236" t="str">
            <v>قنيطرة</v>
          </cell>
          <cell r="M4236" t="str">
            <v>C4935</v>
          </cell>
          <cell r="AC4236">
            <v>41.8848877</v>
          </cell>
          <cell r="AD4236">
            <v>37.028076169999999</v>
          </cell>
        </row>
        <row r="4237">
          <cell r="L4237" t="str">
            <v>معشوق</v>
          </cell>
          <cell r="M4237" t="str">
            <v>C4936</v>
          </cell>
          <cell r="AC4237">
            <v>41.68591309</v>
          </cell>
          <cell r="AD4237">
            <v>37.059082029999999</v>
          </cell>
        </row>
        <row r="4238">
          <cell r="L4238" t="str">
            <v>قاسمية</v>
          </cell>
          <cell r="M4238" t="str">
            <v>C4937</v>
          </cell>
          <cell r="AC4238">
            <v>41.768920899999998</v>
          </cell>
          <cell r="AD4238">
            <v>36.971679690000002</v>
          </cell>
        </row>
        <row r="4239">
          <cell r="L4239" t="str">
            <v>جدعاوي غربي</v>
          </cell>
          <cell r="M4239" t="str">
            <v>C4938</v>
          </cell>
          <cell r="AC4239">
            <v>41.773315429999997</v>
          </cell>
          <cell r="AD4239">
            <v>36.850524900000003</v>
          </cell>
        </row>
        <row r="4240">
          <cell r="L4240" t="str">
            <v>الهرمة</v>
          </cell>
          <cell r="M4240" t="str">
            <v>C4939</v>
          </cell>
          <cell r="AC4240">
            <v>41.71368408</v>
          </cell>
          <cell r="AD4240">
            <v>36.814697270000003</v>
          </cell>
        </row>
        <row r="4241">
          <cell r="L4241" t="str">
            <v>أم حبال</v>
          </cell>
          <cell r="M4241" t="str">
            <v>C4940</v>
          </cell>
          <cell r="AC4241">
            <v>42.034301759999998</v>
          </cell>
          <cell r="AD4241">
            <v>36.897094729999999</v>
          </cell>
        </row>
        <row r="4242">
          <cell r="L4242" t="str">
            <v>أم العظام</v>
          </cell>
          <cell r="M4242" t="str">
            <v>C4941</v>
          </cell>
          <cell r="AC4242">
            <v>41.965698240000002</v>
          </cell>
          <cell r="AD4242">
            <v>36.759094240000003</v>
          </cell>
        </row>
        <row r="4243">
          <cell r="L4243" t="str">
            <v>خربة العبيد</v>
          </cell>
          <cell r="M4243" t="str">
            <v>C4942</v>
          </cell>
          <cell r="AC4243">
            <v>41.802307130000003</v>
          </cell>
          <cell r="AD4243">
            <v>36.885925290000003</v>
          </cell>
        </row>
        <row r="4244">
          <cell r="L4244" t="str">
            <v>تل علو الأولى</v>
          </cell>
          <cell r="M4244" t="str">
            <v>C4943</v>
          </cell>
          <cell r="AC4244">
            <v>41.800109859999999</v>
          </cell>
          <cell r="AD4244">
            <v>36.9296875</v>
          </cell>
        </row>
        <row r="4245">
          <cell r="L4245" t="str">
            <v>تل علو الثانية</v>
          </cell>
          <cell r="M4245" t="str">
            <v>C4944</v>
          </cell>
          <cell r="AC4245">
            <v>41.800109859999999</v>
          </cell>
          <cell r="AD4245">
            <v>36.91131592</v>
          </cell>
        </row>
        <row r="4246">
          <cell r="L4246" t="str">
            <v>الهويرة</v>
          </cell>
          <cell r="M4246" t="str">
            <v>C4945</v>
          </cell>
          <cell r="AC4246">
            <v>41.830078129999997</v>
          </cell>
          <cell r="AD4246">
            <v>36.700500490000003</v>
          </cell>
        </row>
        <row r="4247">
          <cell r="L4247" t="str">
            <v>عليانة</v>
          </cell>
          <cell r="M4247" t="str">
            <v>C4946</v>
          </cell>
          <cell r="AC4247">
            <v>42.051330569999998</v>
          </cell>
          <cell r="AD4247">
            <v>36.90509033</v>
          </cell>
        </row>
        <row r="4248">
          <cell r="L4248" t="str">
            <v>خراب حسن</v>
          </cell>
          <cell r="M4248" t="str">
            <v>C4947</v>
          </cell>
          <cell r="AC4248">
            <v>41.849487310000001</v>
          </cell>
          <cell r="AD4248">
            <v>36.646911619999997</v>
          </cell>
        </row>
        <row r="4249">
          <cell r="L4249" t="str">
            <v>الشعفانية</v>
          </cell>
          <cell r="M4249" t="str">
            <v>C4948</v>
          </cell>
          <cell r="AC4249">
            <v>41.906311039999999</v>
          </cell>
          <cell r="AD4249">
            <v>36.841125490000003</v>
          </cell>
        </row>
        <row r="4250">
          <cell r="L4250" t="str">
            <v>تل علوفوقاني</v>
          </cell>
          <cell r="M4250" t="str">
            <v>C4949</v>
          </cell>
          <cell r="AC4250">
            <v>41.788330080000001</v>
          </cell>
          <cell r="AD4250">
            <v>36.9375</v>
          </cell>
        </row>
        <row r="4251">
          <cell r="L4251" t="str">
            <v>البوثة</v>
          </cell>
          <cell r="M4251" t="str">
            <v>C4950</v>
          </cell>
          <cell r="AC4251">
            <v>41.986511229999998</v>
          </cell>
          <cell r="AD4251">
            <v>36.878112790000003</v>
          </cell>
        </row>
        <row r="4252">
          <cell r="L4252" t="str">
            <v>تل مشحن</v>
          </cell>
          <cell r="M4252" t="str">
            <v>C4951</v>
          </cell>
          <cell r="AC4252">
            <v>41.912719729999999</v>
          </cell>
          <cell r="AD4252">
            <v>36.874511720000001</v>
          </cell>
        </row>
        <row r="4253">
          <cell r="L4253" t="str">
            <v>سليمان ساري</v>
          </cell>
          <cell r="M4253" t="str">
            <v>C4952</v>
          </cell>
          <cell r="AC4253">
            <v>41.85430908</v>
          </cell>
          <cell r="AD4253">
            <v>36.840515140000001</v>
          </cell>
        </row>
        <row r="4254">
          <cell r="L4254" t="str">
            <v>الشوفة الكبيرة</v>
          </cell>
          <cell r="M4254" t="str">
            <v>C4953</v>
          </cell>
          <cell r="AC4254">
            <v>41.863891600000002</v>
          </cell>
          <cell r="AD4254">
            <v>36.77709961</v>
          </cell>
        </row>
        <row r="4255">
          <cell r="L4255" t="str">
            <v>التامرية</v>
          </cell>
          <cell r="M4255" t="str">
            <v>C4954</v>
          </cell>
          <cell r="AC4255">
            <v>41.883483890000001</v>
          </cell>
          <cell r="AD4255">
            <v>36.674316410000003</v>
          </cell>
        </row>
        <row r="4256">
          <cell r="L4256" t="str">
            <v>خربة البير تحتاني</v>
          </cell>
          <cell r="M4256" t="str">
            <v>C4955</v>
          </cell>
          <cell r="AC4256">
            <v>41.706298830000001</v>
          </cell>
          <cell r="AD4256">
            <v>36.889892580000001</v>
          </cell>
        </row>
        <row r="4257">
          <cell r="L4257" t="str">
            <v>الصفا</v>
          </cell>
          <cell r="M4257" t="str">
            <v>C4956</v>
          </cell>
          <cell r="AC4257">
            <v>41.841125490000003</v>
          </cell>
          <cell r="AD4257">
            <v>36.939270020000002</v>
          </cell>
        </row>
        <row r="4258">
          <cell r="L4258" t="str">
            <v>تل عرب</v>
          </cell>
          <cell r="M4258" t="str">
            <v>C4957</v>
          </cell>
          <cell r="AC4258">
            <v>41.881713869999999</v>
          </cell>
          <cell r="AD4258">
            <v>36.925476070000002</v>
          </cell>
        </row>
        <row r="4259">
          <cell r="L4259" t="str">
            <v>خربة البير فوقاني</v>
          </cell>
          <cell r="M4259" t="str">
            <v>C4958</v>
          </cell>
          <cell r="AC4259">
            <v>41.720520020000002</v>
          </cell>
          <cell r="AD4259">
            <v>36.896484379999997</v>
          </cell>
        </row>
        <row r="4260">
          <cell r="L4260" t="str">
            <v>علي آغا</v>
          </cell>
          <cell r="M4260" t="str">
            <v>C4959</v>
          </cell>
          <cell r="AC4260">
            <v>41.898925779999999</v>
          </cell>
          <cell r="AD4260">
            <v>36.904113770000002</v>
          </cell>
        </row>
        <row r="4261">
          <cell r="L4261" t="str">
            <v>تل دويم</v>
          </cell>
          <cell r="M4261" t="str">
            <v>C4960</v>
          </cell>
          <cell r="AC4261">
            <v>41.953125</v>
          </cell>
          <cell r="AD4261">
            <v>36.84790039</v>
          </cell>
        </row>
        <row r="4262">
          <cell r="L4262" t="str">
            <v>الحرية</v>
          </cell>
          <cell r="M4262" t="str">
            <v>C4961</v>
          </cell>
          <cell r="AC4262">
            <v>41.955688479999999</v>
          </cell>
          <cell r="AD4262">
            <v>36.813293459999997</v>
          </cell>
        </row>
        <row r="4263">
          <cell r="L4263" t="str">
            <v>صهريج وسطاني</v>
          </cell>
          <cell r="M4263" t="str">
            <v>C4962</v>
          </cell>
          <cell r="AC4263">
            <v>42.101074220000001</v>
          </cell>
          <cell r="AD4263">
            <v>36.899291990000002</v>
          </cell>
        </row>
        <row r="4264">
          <cell r="L4264" t="str">
            <v>الحريشية</v>
          </cell>
          <cell r="M4264" t="str">
            <v>C4963</v>
          </cell>
          <cell r="AC4264">
            <v>41.890075680000002</v>
          </cell>
          <cell r="AD4264">
            <v>36.660095220000002</v>
          </cell>
        </row>
        <row r="4265">
          <cell r="L4265" t="str">
            <v>ثقيف</v>
          </cell>
          <cell r="M4265" t="str">
            <v>C4964</v>
          </cell>
          <cell r="AC4265">
            <v>41.839477539999997</v>
          </cell>
          <cell r="AD4265">
            <v>36.621704100000002</v>
          </cell>
        </row>
        <row r="4266">
          <cell r="L4266" t="str">
            <v>الجنيدية</v>
          </cell>
          <cell r="M4266" t="str">
            <v>C4965</v>
          </cell>
          <cell r="AC4266">
            <v>41.937072749999999</v>
          </cell>
          <cell r="AD4266">
            <v>36.909118650000003</v>
          </cell>
        </row>
        <row r="4267">
          <cell r="L4267" t="str">
            <v>الحسناء</v>
          </cell>
          <cell r="M4267" t="str">
            <v>C4966</v>
          </cell>
          <cell r="AC4267">
            <v>41.753112790000003</v>
          </cell>
          <cell r="AD4267">
            <v>36.921691899999999</v>
          </cell>
        </row>
        <row r="4268">
          <cell r="L4268" t="str">
            <v>أبو مناصب فوقاني</v>
          </cell>
          <cell r="M4268" t="str">
            <v>C4967</v>
          </cell>
          <cell r="AC4268">
            <v>41.774291990000002</v>
          </cell>
          <cell r="AD4268">
            <v>36.75231934</v>
          </cell>
        </row>
        <row r="4269">
          <cell r="L4269" t="str">
            <v>الفدغمية</v>
          </cell>
          <cell r="M4269" t="str">
            <v>C4968</v>
          </cell>
          <cell r="AC4269">
            <v>41.842102050000001</v>
          </cell>
          <cell r="AD4269">
            <v>36.739929199999999</v>
          </cell>
        </row>
        <row r="4270">
          <cell r="L4270" t="str">
            <v>اليعربية</v>
          </cell>
          <cell r="M4270" t="str">
            <v>C4969</v>
          </cell>
          <cell r="AC4270">
            <v>42.065673830000001</v>
          </cell>
          <cell r="AD4270">
            <v>36.812072749999999</v>
          </cell>
        </row>
        <row r="4271">
          <cell r="L4271" t="str">
            <v>عدنان</v>
          </cell>
          <cell r="M4271" t="str">
            <v>C4970</v>
          </cell>
          <cell r="AC4271">
            <v>41.813476559999998</v>
          </cell>
          <cell r="AD4271">
            <v>36.673522949999999</v>
          </cell>
        </row>
        <row r="4272">
          <cell r="L4272" t="str">
            <v>أم كهيف تحتاني</v>
          </cell>
          <cell r="M4272" t="str">
            <v>C4971</v>
          </cell>
          <cell r="AC4272">
            <v>41.786682130000003</v>
          </cell>
          <cell r="AD4272">
            <v>36.87109375</v>
          </cell>
        </row>
        <row r="4273">
          <cell r="L4273" t="str">
            <v>عرجة شرقية فوقاني</v>
          </cell>
          <cell r="M4273" t="str">
            <v>C4972</v>
          </cell>
          <cell r="AC4273">
            <v>41.698730470000001</v>
          </cell>
          <cell r="AD4273">
            <v>36.764526369999999</v>
          </cell>
        </row>
        <row r="4274">
          <cell r="L4274" t="str">
            <v>أم كهيف فوقاني</v>
          </cell>
          <cell r="M4274" t="str">
            <v>C4973</v>
          </cell>
          <cell r="AC4274">
            <v>41.770080569999998</v>
          </cell>
          <cell r="AD4274">
            <v>36.910888669999999</v>
          </cell>
        </row>
        <row r="4275">
          <cell r="L4275" t="str">
            <v>أخودلشة</v>
          </cell>
          <cell r="M4275" t="str">
            <v>C4974</v>
          </cell>
          <cell r="AC4275">
            <v>41.856689449999998</v>
          </cell>
          <cell r="AD4275">
            <v>36.69348145</v>
          </cell>
        </row>
        <row r="4276">
          <cell r="L4276" t="str">
            <v>تل التمر</v>
          </cell>
          <cell r="M4276" t="str">
            <v>C4975</v>
          </cell>
          <cell r="AC4276">
            <v>41.906127929999997</v>
          </cell>
          <cell r="AD4276">
            <v>36.82147217</v>
          </cell>
        </row>
        <row r="4277">
          <cell r="L4277" t="str">
            <v>حداد</v>
          </cell>
          <cell r="M4277" t="str">
            <v>C4976</v>
          </cell>
          <cell r="AC4277">
            <v>41.714294430000002</v>
          </cell>
          <cell r="AD4277">
            <v>36.861511229999998</v>
          </cell>
        </row>
        <row r="4278">
          <cell r="L4278" t="str">
            <v>خويتلة يعربية</v>
          </cell>
          <cell r="M4278" t="str">
            <v>C4977</v>
          </cell>
          <cell r="AC4278">
            <v>42.125305179999998</v>
          </cell>
          <cell r="AD4278">
            <v>36.906677250000001</v>
          </cell>
        </row>
        <row r="4279">
          <cell r="L4279" t="str">
            <v>خراب الجير</v>
          </cell>
          <cell r="M4279" t="str">
            <v>C4978</v>
          </cell>
          <cell r="AC4279">
            <v>42.00549316</v>
          </cell>
          <cell r="AD4279">
            <v>36.909728999999999</v>
          </cell>
        </row>
        <row r="4280">
          <cell r="L4280" t="str">
            <v>فطومة شرقية</v>
          </cell>
          <cell r="M4280" t="str">
            <v>C4979</v>
          </cell>
          <cell r="AC4280">
            <v>41.86029053</v>
          </cell>
          <cell r="AD4280">
            <v>36.824707029999999</v>
          </cell>
        </row>
        <row r="4281">
          <cell r="L4281" t="str">
            <v>قريش</v>
          </cell>
          <cell r="M4281" t="str">
            <v>C4980</v>
          </cell>
          <cell r="AC4281">
            <v>41.839477539999997</v>
          </cell>
          <cell r="AD4281">
            <v>36.653686520000001</v>
          </cell>
        </row>
        <row r="4282">
          <cell r="L4282" t="str">
            <v>هوازن</v>
          </cell>
          <cell r="M4282" t="str">
            <v>C4981</v>
          </cell>
          <cell r="AC4282">
            <v>41.858886720000001</v>
          </cell>
          <cell r="AD4282">
            <v>36.6348877</v>
          </cell>
        </row>
        <row r="4283">
          <cell r="L4283" t="str">
            <v>مستريحة</v>
          </cell>
          <cell r="M4283" t="str">
            <v>C4982</v>
          </cell>
          <cell r="AC4283">
            <v>41.825317380000001</v>
          </cell>
          <cell r="AD4283">
            <v>36.879516600000002</v>
          </cell>
        </row>
        <row r="4284">
          <cell r="L4284" t="str">
            <v>مسعود كبير</v>
          </cell>
          <cell r="M4284" t="str">
            <v>C4983</v>
          </cell>
          <cell r="AC4284">
            <v>42.029907229999999</v>
          </cell>
          <cell r="AD4284">
            <v>36.839294430000002</v>
          </cell>
        </row>
        <row r="4285">
          <cell r="L4285" t="str">
            <v>الصوان</v>
          </cell>
          <cell r="M4285" t="str">
            <v>C4984</v>
          </cell>
          <cell r="AC4285">
            <v>39.95727539</v>
          </cell>
          <cell r="AD4285">
            <v>36.796081540000003</v>
          </cell>
        </row>
        <row r="4286">
          <cell r="L4286" t="str">
            <v>حكيمة</v>
          </cell>
          <cell r="M4286" t="str">
            <v>C4985</v>
          </cell>
          <cell r="AC4286">
            <v>40.175903320000003</v>
          </cell>
          <cell r="AD4286">
            <v>36.782287599999997</v>
          </cell>
        </row>
        <row r="4287">
          <cell r="L4287" t="str">
            <v>الدهماء</v>
          </cell>
          <cell r="M4287" t="str">
            <v>C4986</v>
          </cell>
          <cell r="AC4287">
            <v>39.796325680000002</v>
          </cell>
          <cell r="AD4287">
            <v>36.701904300000002</v>
          </cell>
        </row>
        <row r="4288">
          <cell r="L4288" t="str">
            <v>الكبش</v>
          </cell>
          <cell r="M4288" t="str">
            <v>C4987</v>
          </cell>
          <cell r="AC4288">
            <v>40.020080569999998</v>
          </cell>
          <cell r="AD4288">
            <v>36.660522460000003</v>
          </cell>
        </row>
        <row r="4289">
          <cell r="L4289" t="str">
            <v>رأس العين</v>
          </cell>
          <cell r="M4289" t="str">
            <v>C4988</v>
          </cell>
          <cell r="AC4289">
            <v>40.074890140000001</v>
          </cell>
          <cell r="AD4289">
            <v>36.849487310000001</v>
          </cell>
        </row>
        <row r="4290">
          <cell r="L4290" t="str">
            <v>السفح راس العين</v>
          </cell>
          <cell r="M4290" t="str">
            <v>C4989</v>
          </cell>
          <cell r="AC4290">
            <v>40.156921390000001</v>
          </cell>
          <cell r="AD4290">
            <v>36.734497070000003</v>
          </cell>
        </row>
        <row r="4291">
          <cell r="L4291" t="str">
            <v>تل حرمل</v>
          </cell>
          <cell r="M4291" t="str">
            <v>C4990</v>
          </cell>
          <cell r="AC4291">
            <v>40.356872559999999</v>
          </cell>
          <cell r="AD4291">
            <v>36.907104490000002</v>
          </cell>
        </row>
        <row r="4292">
          <cell r="L4292" t="str">
            <v>عبد السلام غربي</v>
          </cell>
          <cell r="M4292" t="str">
            <v>C4991</v>
          </cell>
          <cell r="AC4292">
            <v>40.265686039999999</v>
          </cell>
          <cell r="AD4292">
            <v>36.743896479999997</v>
          </cell>
        </row>
        <row r="4293">
          <cell r="L4293" t="str">
            <v>أميرط</v>
          </cell>
          <cell r="M4293" t="str">
            <v>C4992</v>
          </cell>
          <cell r="AC4293">
            <v>40.239929199999999</v>
          </cell>
          <cell r="AD4293">
            <v>36.791687009999997</v>
          </cell>
        </row>
        <row r="4294">
          <cell r="L4294" t="str">
            <v>الزيدية رأس العين</v>
          </cell>
          <cell r="M4294" t="str">
            <v>C4993</v>
          </cell>
          <cell r="AC4294">
            <v>40.378112790000003</v>
          </cell>
          <cell r="AD4294">
            <v>36.8046875</v>
          </cell>
        </row>
        <row r="4295">
          <cell r="L4295" t="str">
            <v>أم حرملة</v>
          </cell>
          <cell r="M4295" t="str">
            <v>C4994</v>
          </cell>
          <cell r="AC4295">
            <v>40.006286619999997</v>
          </cell>
          <cell r="AD4295">
            <v>36.658874509999997</v>
          </cell>
        </row>
        <row r="4296">
          <cell r="L4296" t="str">
            <v>ثمود</v>
          </cell>
          <cell r="M4296" t="str">
            <v>C4995</v>
          </cell>
          <cell r="AC4296">
            <v>39.95910645</v>
          </cell>
          <cell r="AD4296">
            <v>36.731079100000002</v>
          </cell>
        </row>
        <row r="4297">
          <cell r="L4297" t="str">
            <v>عاجلة</v>
          </cell>
          <cell r="M4297" t="str">
            <v>C4996</v>
          </cell>
          <cell r="AC4297">
            <v>39.640075680000002</v>
          </cell>
          <cell r="AD4297">
            <v>36.588317869999997</v>
          </cell>
        </row>
        <row r="4298">
          <cell r="L4298" t="str">
            <v>الأهراس</v>
          </cell>
          <cell r="M4298" t="str">
            <v>C4997</v>
          </cell>
          <cell r="AC4298">
            <v>40.199096679999997</v>
          </cell>
          <cell r="AD4298">
            <v>36.668701169999999</v>
          </cell>
        </row>
        <row r="4299">
          <cell r="L4299" t="str">
            <v>أبو شاخات</v>
          </cell>
          <cell r="M4299" t="str">
            <v>C4998</v>
          </cell>
          <cell r="AC4299">
            <v>39.739685059999999</v>
          </cell>
          <cell r="AD4299">
            <v>36.647888180000002</v>
          </cell>
        </row>
        <row r="4300">
          <cell r="L4300" t="str">
            <v>دردارة</v>
          </cell>
          <cell r="M4300" t="str">
            <v>C4999</v>
          </cell>
          <cell r="AC4300">
            <v>40.171325680000002</v>
          </cell>
          <cell r="AD4300">
            <v>36.834472660000003</v>
          </cell>
        </row>
        <row r="4301">
          <cell r="L4301" t="str">
            <v>أبو جرادة كبير</v>
          </cell>
          <cell r="M4301" t="str">
            <v>C5000</v>
          </cell>
          <cell r="AC4301">
            <v>39.951721190000001</v>
          </cell>
          <cell r="AD4301">
            <v>36.763671879999997</v>
          </cell>
        </row>
        <row r="4302">
          <cell r="L4302" t="str">
            <v>تل بيدر راس العين</v>
          </cell>
          <cell r="M4302" t="str">
            <v>C5001</v>
          </cell>
          <cell r="AC4302">
            <v>40.21850586</v>
          </cell>
          <cell r="AD4302">
            <v>36.871276860000002</v>
          </cell>
        </row>
        <row r="4303">
          <cell r="L4303" t="str">
            <v>تل حلف</v>
          </cell>
          <cell r="M4303" t="str">
            <v>C5002</v>
          </cell>
          <cell r="AC4303">
            <v>40.039123539999999</v>
          </cell>
          <cell r="AD4303">
            <v>36.822875979999999</v>
          </cell>
        </row>
        <row r="4304">
          <cell r="L4304" t="str">
            <v>ربيعات غربي</v>
          </cell>
          <cell r="M4304" t="str">
            <v>C5003</v>
          </cell>
          <cell r="AC4304">
            <v>40.333312990000003</v>
          </cell>
          <cell r="AD4304">
            <v>36.820678710000003</v>
          </cell>
        </row>
        <row r="4305">
          <cell r="L4305" t="str">
            <v>خربة جمو</v>
          </cell>
          <cell r="M4305" t="str">
            <v>C5004</v>
          </cell>
          <cell r="AC4305">
            <v>40.313476559999998</v>
          </cell>
          <cell r="AD4305">
            <v>36.75549316</v>
          </cell>
        </row>
        <row r="4306">
          <cell r="L4306" t="str">
            <v>ابو راسين</v>
          </cell>
          <cell r="M4306" t="str">
            <v>C5005</v>
          </cell>
          <cell r="AC4306">
            <v>40.328491210000003</v>
          </cell>
          <cell r="AD4306">
            <v>36.847290039999997</v>
          </cell>
        </row>
        <row r="4307">
          <cell r="L4307" t="str">
            <v>أم العصافير</v>
          </cell>
          <cell r="M4307" t="str">
            <v>C5006</v>
          </cell>
          <cell r="AC4307">
            <v>40.186523440000002</v>
          </cell>
          <cell r="AD4307">
            <v>36.712280270000001</v>
          </cell>
        </row>
        <row r="4308">
          <cell r="L4308" t="str">
            <v>الراوية</v>
          </cell>
          <cell r="M4308" t="str">
            <v>C5007</v>
          </cell>
          <cell r="AC4308">
            <v>39.81872559</v>
          </cell>
          <cell r="AD4308">
            <v>36.72888184</v>
          </cell>
        </row>
        <row r="4309">
          <cell r="L4309" t="str">
            <v>الأسدية</v>
          </cell>
          <cell r="M4309" t="str">
            <v>C5009</v>
          </cell>
          <cell r="AC4309">
            <v>40.132324220000001</v>
          </cell>
          <cell r="AD4309">
            <v>36.777282720000002</v>
          </cell>
        </row>
        <row r="4310">
          <cell r="L4310" t="str">
            <v>خربة حميد</v>
          </cell>
          <cell r="M4310" t="str">
            <v>C5010</v>
          </cell>
          <cell r="AC4310">
            <v>40.181701660000002</v>
          </cell>
          <cell r="AD4310">
            <v>36.843872070000003</v>
          </cell>
        </row>
        <row r="4311">
          <cell r="L4311" t="str">
            <v>تل الورد غربي</v>
          </cell>
          <cell r="M4311" t="str">
            <v>C5011</v>
          </cell>
          <cell r="AC4311">
            <v>40.338317869999997</v>
          </cell>
          <cell r="AD4311">
            <v>36.797729490000002</v>
          </cell>
        </row>
        <row r="4312">
          <cell r="L4312" t="str">
            <v>تل شعير راس العين</v>
          </cell>
          <cell r="M4312" t="str">
            <v>C5012</v>
          </cell>
          <cell r="AC4312">
            <v>40.349670410000002</v>
          </cell>
          <cell r="AD4312">
            <v>36.781311039999999</v>
          </cell>
        </row>
        <row r="4313">
          <cell r="L4313" t="str">
            <v>تل سنان شرقي</v>
          </cell>
          <cell r="M4313" t="str">
            <v>C5013</v>
          </cell>
          <cell r="AC4313">
            <v>40.147705080000001</v>
          </cell>
          <cell r="AD4313">
            <v>36.740722660000003</v>
          </cell>
        </row>
        <row r="4314">
          <cell r="L4314" t="str">
            <v>الشارة</v>
          </cell>
          <cell r="M4314" t="str">
            <v>C5014</v>
          </cell>
          <cell r="AC4314">
            <v>39.732727050000001</v>
          </cell>
          <cell r="AD4314">
            <v>36.692871089999997</v>
          </cell>
        </row>
        <row r="4315">
          <cell r="L4315" t="str">
            <v>تل الأمير</v>
          </cell>
          <cell r="M4315" t="str">
            <v>C5015</v>
          </cell>
          <cell r="AC4315">
            <v>40.363891600000002</v>
          </cell>
          <cell r="AD4315">
            <v>36.9375</v>
          </cell>
        </row>
        <row r="4316">
          <cell r="L4316" t="str">
            <v>داودية</v>
          </cell>
          <cell r="M4316" t="str">
            <v>C5016</v>
          </cell>
          <cell r="AC4316">
            <v>40.270080569999998</v>
          </cell>
          <cell r="AD4316">
            <v>36.813293459999997</v>
          </cell>
        </row>
        <row r="4317">
          <cell r="L4317" t="str">
            <v>المناجير</v>
          </cell>
          <cell r="M4317" t="str">
            <v>C5017</v>
          </cell>
          <cell r="AC4317">
            <v>40.197326660000002</v>
          </cell>
          <cell r="AD4317">
            <v>36.6875</v>
          </cell>
        </row>
        <row r="4318">
          <cell r="L4318" t="str">
            <v>صالحية ملا خضر</v>
          </cell>
          <cell r="M4318" t="str">
            <v>C5018</v>
          </cell>
          <cell r="AC4318">
            <v>39.88671875</v>
          </cell>
          <cell r="AD4318">
            <v>36.734680179999998</v>
          </cell>
        </row>
        <row r="4319">
          <cell r="L4319" t="str">
            <v>العريشة رأس العين</v>
          </cell>
          <cell r="M4319" t="str">
            <v>C5019</v>
          </cell>
          <cell r="AC4319">
            <v>40.248474119999997</v>
          </cell>
          <cell r="AD4319">
            <v>36.680480959999997</v>
          </cell>
        </row>
        <row r="4320">
          <cell r="L4320" t="str">
            <v>عرادة كبيرة</v>
          </cell>
          <cell r="M4320" t="str">
            <v>C5020</v>
          </cell>
          <cell r="AC4320">
            <v>40.40649414</v>
          </cell>
          <cell r="AD4320">
            <v>36.986083979999997</v>
          </cell>
        </row>
        <row r="4321">
          <cell r="L4321" t="str">
            <v>قطينة</v>
          </cell>
          <cell r="M4321" t="str">
            <v>C5021</v>
          </cell>
          <cell r="AC4321">
            <v>40.053710940000002</v>
          </cell>
          <cell r="AD4321">
            <v>36.808105470000001</v>
          </cell>
        </row>
        <row r="4322">
          <cell r="L4322" t="str">
            <v>كسرة</v>
          </cell>
          <cell r="M4322" t="str">
            <v>C5022</v>
          </cell>
          <cell r="AC4322">
            <v>40.376281740000003</v>
          </cell>
          <cell r="AD4322">
            <v>36.95129395</v>
          </cell>
        </row>
        <row r="4323">
          <cell r="L4323" t="str">
            <v>مدان</v>
          </cell>
          <cell r="M4323" t="str">
            <v>C5023</v>
          </cell>
          <cell r="AC4323">
            <v>40.015686039999999</v>
          </cell>
          <cell r="AD4323">
            <v>36.694885249999999</v>
          </cell>
        </row>
        <row r="4324">
          <cell r="L4324" t="str">
            <v>مجيبرة</v>
          </cell>
          <cell r="M4324" t="str">
            <v>C5024</v>
          </cell>
          <cell r="AC4324">
            <v>40.191284179999997</v>
          </cell>
          <cell r="AD4324">
            <v>36.809082029999999</v>
          </cell>
        </row>
        <row r="4325">
          <cell r="L4325" t="str">
            <v>مسجد</v>
          </cell>
          <cell r="M4325" t="str">
            <v>C5025</v>
          </cell>
          <cell r="AC4325">
            <v>40.08569336</v>
          </cell>
          <cell r="AD4325">
            <v>36.763671879999997</v>
          </cell>
        </row>
        <row r="4326">
          <cell r="L4326" t="str">
            <v>مباركية</v>
          </cell>
          <cell r="M4326" t="str">
            <v>C5026</v>
          </cell>
          <cell r="AC4326">
            <v>40.283508300000001</v>
          </cell>
          <cell r="AD4326">
            <v>36.909301759999998</v>
          </cell>
        </row>
        <row r="4327">
          <cell r="L4327" t="str">
            <v>مبروكة</v>
          </cell>
          <cell r="M4327" t="str">
            <v>C5027</v>
          </cell>
          <cell r="AC4327">
            <v>39.759704589999998</v>
          </cell>
          <cell r="AD4327">
            <v>36.654113770000002</v>
          </cell>
        </row>
        <row r="4328">
          <cell r="L4328" t="str">
            <v>جوزات ثانية</v>
          </cell>
          <cell r="M4328" t="str">
            <v>C5028</v>
          </cell>
          <cell r="AC4328">
            <v>40.576721190000001</v>
          </cell>
          <cell r="AD4328">
            <v>36.954528809999999</v>
          </cell>
        </row>
        <row r="4329">
          <cell r="L4329" t="str">
            <v>التربة</v>
          </cell>
          <cell r="M4329" t="str">
            <v>C5029</v>
          </cell>
          <cell r="AC4329">
            <v>40.719116210000003</v>
          </cell>
          <cell r="AD4329">
            <v>36.830688479999999</v>
          </cell>
        </row>
        <row r="4330">
          <cell r="L4330" t="str">
            <v>القنيطرة</v>
          </cell>
          <cell r="M4330" t="str">
            <v>C5030</v>
          </cell>
          <cell r="AC4330">
            <v>40.582885740000002</v>
          </cell>
          <cell r="AD4330">
            <v>37.031921390000001</v>
          </cell>
        </row>
        <row r="4331">
          <cell r="L4331" t="str">
            <v>طريفاوي</v>
          </cell>
          <cell r="M4331" t="str">
            <v>C5031</v>
          </cell>
          <cell r="AC4331">
            <v>40.638488770000002</v>
          </cell>
          <cell r="AD4331">
            <v>36.883300779999999</v>
          </cell>
        </row>
        <row r="4332">
          <cell r="L4332" t="str">
            <v>دبش</v>
          </cell>
          <cell r="M4332" t="str">
            <v>C5032</v>
          </cell>
          <cell r="AC4332">
            <v>40.462280270000001</v>
          </cell>
          <cell r="AD4332">
            <v>36.936889649999998</v>
          </cell>
        </row>
        <row r="4333">
          <cell r="L4333" t="str">
            <v>خزنة</v>
          </cell>
          <cell r="M4333" t="str">
            <v>C5033</v>
          </cell>
          <cell r="AC4333">
            <v>40.463317869999997</v>
          </cell>
          <cell r="AD4333">
            <v>36.7677002</v>
          </cell>
        </row>
        <row r="4334">
          <cell r="L4334" t="str">
            <v>أبو جرادة</v>
          </cell>
          <cell r="M4334" t="str">
            <v>C5034</v>
          </cell>
          <cell r="AC4334">
            <v>40.729919430000002</v>
          </cell>
          <cell r="AD4334">
            <v>37.095275880000003</v>
          </cell>
        </row>
        <row r="4335">
          <cell r="L4335" t="str">
            <v>الحرشاوية</v>
          </cell>
          <cell r="M4335" t="str">
            <v>C5035</v>
          </cell>
          <cell r="AC4335">
            <v>40.502502440000001</v>
          </cell>
          <cell r="AD4335">
            <v>36.807128910000003</v>
          </cell>
        </row>
        <row r="4336">
          <cell r="L4336" t="str">
            <v>ســــــلام</v>
          </cell>
          <cell r="M4336" t="str">
            <v>C5036</v>
          </cell>
          <cell r="AC4336">
            <v>40.567077640000001</v>
          </cell>
          <cell r="AD4336">
            <v>36.894714360000002</v>
          </cell>
        </row>
        <row r="4337">
          <cell r="L4337" t="str">
            <v>حمدانية</v>
          </cell>
          <cell r="M4337" t="str">
            <v>C5037</v>
          </cell>
          <cell r="AC4337">
            <v>40.577087400000003</v>
          </cell>
          <cell r="AD4337">
            <v>36.916687009999997</v>
          </cell>
        </row>
        <row r="4338">
          <cell r="L4338" t="str">
            <v>تل ايلول</v>
          </cell>
          <cell r="M4338" t="str">
            <v>C5038</v>
          </cell>
          <cell r="AC4338">
            <v>40.666870119999999</v>
          </cell>
          <cell r="AD4338">
            <v>37.07788086</v>
          </cell>
        </row>
        <row r="4339">
          <cell r="L4339" t="str">
            <v>تل بقر</v>
          </cell>
          <cell r="M4339" t="str">
            <v>C5039</v>
          </cell>
          <cell r="AC4339">
            <v>40.741088869999999</v>
          </cell>
          <cell r="AD4339">
            <v>36.99609375</v>
          </cell>
        </row>
        <row r="4340">
          <cell r="L4340" t="str">
            <v>تل ديك</v>
          </cell>
          <cell r="M4340" t="str">
            <v>C5040</v>
          </cell>
          <cell r="AC4340">
            <v>40.588073729999998</v>
          </cell>
          <cell r="AD4340">
            <v>36.924682619999999</v>
          </cell>
        </row>
        <row r="4341">
          <cell r="L4341" t="str">
            <v>جطل</v>
          </cell>
          <cell r="M4341" t="str">
            <v>C5041</v>
          </cell>
          <cell r="AC4341">
            <v>40.624694820000002</v>
          </cell>
          <cell r="AD4341">
            <v>37.064697270000003</v>
          </cell>
        </row>
        <row r="4342">
          <cell r="L4342" t="str">
            <v>عظامية شرقية</v>
          </cell>
          <cell r="M4342" t="str">
            <v>C5042</v>
          </cell>
          <cell r="AC4342">
            <v>40.613891600000002</v>
          </cell>
          <cell r="AD4342">
            <v>36.89868164</v>
          </cell>
        </row>
        <row r="4343">
          <cell r="L4343" t="str">
            <v>ريحانية شمر</v>
          </cell>
          <cell r="M4343" t="str">
            <v>C5043</v>
          </cell>
          <cell r="AC4343">
            <v>40.648925779999999</v>
          </cell>
          <cell r="AD4343">
            <v>36.832702640000001</v>
          </cell>
        </row>
        <row r="4344">
          <cell r="L4344" t="str">
            <v>عظامية غربية</v>
          </cell>
          <cell r="M4344" t="str">
            <v>C5044</v>
          </cell>
          <cell r="AC4344">
            <v>40.600708009999998</v>
          </cell>
          <cell r="AD4344">
            <v>36.906921390000001</v>
          </cell>
        </row>
        <row r="4345">
          <cell r="L4345" t="str">
            <v>تل عبود</v>
          </cell>
          <cell r="M4345" t="str">
            <v>C5045</v>
          </cell>
          <cell r="AC4345">
            <v>40.412292479999998</v>
          </cell>
          <cell r="AD4345">
            <v>36.836730959999997</v>
          </cell>
        </row>
        <row r="4346">
          <cell r="L4346" t="str">
            <v>شموكة غربية</v>
          </cell>
          <cell r="M4346" t="str">
            <v>C5046</v>
          </cell>
          <cell r="AC4346">
            <v>40.723876949999998</v>
          </cell>
          <cell r="AD4346">
            <v>36.956909179999997</v>
          </cell>
        </row>
        <row r="4347">
          <cell r="L4347" t="str">
            <v>دلاوية</v>
          </cell>
          <cell r="M4347" t="str">
            <v>C5047</v>
          </cell>
          <cell r="AC4347">
            <v>40.398315429999997</v>
          </cell>
          <cell r="AD4347">
            <v>36.870727539999997</v>
          </cell>
        </row>
        <row r="4348">
          <cell r="L4348" t="str">
            <v>خاتونة</v>
          </cell>
          <cell r="M4348" t="str">
            <v>C5048</v>
          </cell>
          <cell r="AC4348">
            <v>40.56091309</v>
          </cell>
          <cell r="AD4348">
            <v>36.80767822</v>
          </cell>
        </row>
        <row r="4349">
          <cell r="L4349" t="str">
            <v>دكوك</v>
          </cell>
          <cell r="M4349" t="str">
            <v>C5049</v>
          </cell>
          <cell r="AC4349">
            <v>40.42211914</v>
          </cell>
          <cell r="AD4349">
            <v>36.908081060000001</v>
          </cell>
        </row>
        <row r="4350">
          <cell r="L4350" t="str">
            <v>تل سكر</v>
          </cell>
          <cell r="M4350" t="str">
            <v>C5050</v>
          </cell>
          <cell r="AC4350">
            <v>40.701477050000001</v>
          </cell>
          <cell r="AD4350">
            <v>36.954101559999998</v>
          </cell>
        </row>
        <row r="4351">
          <cell r="L4351" t="str">
            <v>المشقوق</v>
          </cell>
          <cell r="M4351" t="str">
            <v>C5051</v>
          </cell>
          <cell r="AC4351">
            <v>40.576477050000001</v>
          </cell>
          <cell r="AD4351">
            <v>36.783691410000003</v>
          </cell>
        </row>
        <row r="4352">
          <cell r="L4352" t="str">
            <v>أم عياش فوقاني</v>
          </cell>
          <cell r="M4352" t="str">
            <v>C5052</v>
          </cell>
          <cell r="AC4352">
            <v>40.428710940000002</v>
          </cell>
          <cell r="AD4352">
            <v>36.871704100000002</v>
          </cell>
        </row>
        <row r="4353">
          <cell r="L4353" t="str">
            <v>أم الشوالي</v>
          </cell>
          <cell r="M4353" t="str">
            <v>C5053</v>
          </cell>
          <cell r="AC4353">
            <v>40.481689449999998</v>
          </cell>
          <cell r="AD4353">
            <v>36.833129880000001</v>
          </cell>
        </row>
        <row r="4354">
          <cell r="L4354" t="str">
            <v>الدرباسية</v>
          </cell>
          <cell r="M4354" t="str">
            <v>C5054</v>
          </cell>
          <cell r="AC4354">
            <v>40.654113770000002</v>
          </cell>
          <cell r="AD4354">
            <v>37.069885249999999</v>
          </cell>
        </row>
        <row r="4355">
          <cell r="L4355" t="str">
            <v>الجول</v>
          </cell>
          <cell r="M4355" t="str">
            <v>C5055</v>
          </cell>
          <cell r="AC4355">
            <v>40.578308110000002</v>
          </cell>
          <cell r="AD4355">
            <v>36.808898929999998</v>
          </cell>
        </row>
        <row r="4356">
          <cell r="L4356" t="str">
            <v>تل تشرين</v>
          </cell>
          <cell r="M4356" t="str">
            <v>C5056</v>
          </cell>
          <cell r="AC4356">
            <v>40.676879880000001</v>
          </cell>
          <cell r="AD4356">
            <v>37.078125</v>
          </cell>
        </row>
        <row r="4357">
          <cell r="L4357" t="str">
            <v>سعدية درباسية</v>
          </cell>
          <cell r="M4357" t="str">
            <v>C5057</v>
          </cell>
          <cell r="AC4357">
            <v>40.673095699999998</v>
          </cell>
          <cell r="AD4357">
            <v>36.965515140000001</v>
          </cell>
        </row>
        <row r="4358">
          <cell r="L4358" t="str">
            <v>أبو كالة</v>
          </cell>
          <cell r="M4358" t="str">
            <v>C5058</v>
          </cell>
          <cell r="AC4358">
            <v>40.72888184</v>
          </cell>
          <cell r="AD4358">
            <v>37.06408691</v>
          </cell>
        </row>
        <row r="4359">
          <cell r="L4359" t="str">
            <v>تل كرم تحتاني</v>
          </cell>
          <cell r="M4359" t="str">
            <v>C5059</v>
          </cell>
          <cell r="AC4359">
            <v>40.751098630000001</v>
          </cell>
          <cell r="AD4359">
            <v>37.067687990000003</v>
          </cell>
        </row>
        <row r="4360">
          <cell r="L4360" t="str">
            <v>تورات</v>
          </cell>
          <cell r="M4360" t="str">
            <v>C5060</v>
          </cell>
          <cell r="AC4360">
            <v>40.479919430000002</v>
          </cell>
          <cell r="AD4360">
            <v>36.957885740000002</v>
          </cell>
        </row>
        <row r="4361">
          <cell r="L4361" t="str">
            <v>الكوخ</v>
          </cell>
          <cell r="M4361" t="str">
            <v>C5061</v>
          </cell>
          <cell r="AC4361">
            <v>40.523071289999997</v>
          </cell>
          <cell r="AD4361">
            <v>36.852111819999998</v>
          </cell>
        </row>
        <row r="4362">
          <cell r="L4362" t="str">
            <v>رشيدية درباسية</v>
          </cell>
          <cell r="M4362" t="str">
            <v>C5062</v>
          </cell>
          <cell r="AC4362">
            <v>40.616699220000001</v>
          </cell>
          <cell r="AD4362">
            <v>36.864318849999997</v>
          </cell>
        </row>
        <row r="4363">
          <cell r="L4363" t="str">
            <v>بشيرية</v>
          </cell>
          <cell r="M4363" t="str">
            <v>C5063</v>
          </cell>
          <cell r="AC4363">
            <v>40.517272949999999</v>
          </cell>
          <cell r="AD4363">
            <v>36.893493650000003</v>
          </cell>
        </row>
        <row r="4364">
          <cell r="L4364" t="str">
            <v>ظهر العرب</v>
          </cell>
          <cell r="M4364" t="str">
            <v>C5064</v>
          </cell>
          <cell r="AC4364">
            <v>40.425109859999999</v>
          </cell>
          <cell r="AD4364">
            <v>36.965271000000001</v>
          </cell>
        </row>
        <row r="4365">
          <cell r="L4365" t="str">
            <v>المحمودية</v>
          </cell>
          <cell r="M4365" t="str">
            <v>C5065</v>
          </cell>
          <cell r="AC4365">
            <v>40.730285649999999</v>
          </cell>
          <cell r="AD4365">
            <v>36.81848145</v>
          </cell>
        </row>
        <row r="4366">
          <cell r="L4366" t="str">
            <v>جديدة</v>
          </cell>
          <cell r="M4366" t="str">
            <v>C5066</v>
          </cell>
          <cell r="AC4366">
            <v>40.681091309999999</v>
          </cell>
          <cell r="AD4366">
            <v>37.032714839999997</v>
          </cell>
        </row>
        <row r="4367">
          <cell r="L4367" t="str">
            <v>تل غزال فوقاني</v>
          </cell>
          <cell r="M4367" t="str">
            <v>C5067</v>
          </cell>
          <cell r="AC4367">
            <v>40.504516600000002</v>
          </cell>
          <cell r="AD4367">
            <v>36.788879399999999</v>
          </cell>
        </row>
        <row r="4368">
          <cell r="L4368" t="str">
            <v>الحنو</v>
          </cell>
          <cell r="M4368" t="str">
            <v>C5068</v>
          </cell>
          <cell r="AC4368">
            <v>40.629272460000003</v>
          </cell>
          <cell r="AD4368">
            <v>36.854675290000003</v>
          </cell>
        </row>
        <row r="4369">
          <cell r="L4369" t="str">
            <v>تل خباز</v>
          </cell>
          <cell r="M4369" t="str">
            <v>C5069</v>
          </cell>
          <cell r="AC4369">
            <v>40.663085940000002</v>
          </cell>
          <cell r="AD4369">
            <v>36.906921390000001</v>
          </cell>
        </row>
        <row r="4370">
          <cell r="L4370" t="str">
            <v>صالحية شرقية</v>
          </cell>
          <cell r="M4370" t="str">
            <v>C5070</v>
          </cell>
          <cell r="AC4370">
            <v>40.556518560000001</v>
          </cell>
          <cell r="AD4370">
            <v>36.847473149999999</v>
          </cell>
        </row>
        <row r="4371">
          <cell r="L4371" t="str">
            <v>فاطمة الغربية</v>
          </cell>
          <cell r="M4371" t="str">
            <v>C5071</v>
          </cell>
          <cell r="AC4371">
            <v>40.45428467</v>
          </cell>
          <cell r="AD4371">
            <v>36.89428711</v>
          </cell>
        </row>
        <row r="4372">
          <cell r="L4372" t="str">
            <v>فرفرة درباسية</v>
          </cell>
          <cell r="M4372" t="str">
            <v>C5072</v>
          </cell>
          <cell r="AC4372">
            <v>40.509277339999997</v>
          </cell>
          <cell r="AD4372">
            <v>36.817504880000001</v>
          </cell>
        </row>
        <row r="4373">
          <cell r="L4373" t="str">
            <v>ملك</v>
          </cell>
          <cell r="M4373" t="str">
            <v>C5073</v>
          </cell>
          <cell r="AC4373">
            <v>40.524719240000003</v>
          </cell>
          <cell r="AD4373">
            <v>37.007873539999999</v>
          </cell>
        </row>
        <row r="4374">
          <cell r="L4374" t="str">
            <v>فاطمة الشرقية</v>
          </cell>
          <cell r="M4374" t="str">
            <v>C5074</v>
          </cell>
          <cell r="AC4374">
            <v>40.471130369999997</v>
          </cell>
          <cell r="AD4374">
            <v>36.893310550000002</v>
          </cell>
        </row>
        <row r="4375">
          <cell r="L4375" t="str">
            <v>هبو</v>
          </cell>
          <cell r="M4375" t="str">
            <v>C5075</v>
          </cell>
          <cell r="AC4375">
            <v>40.538085940000002</v>
          </cell>
          <cell r="AD4375">
            <v>36.868530270000001</v>
          </cell>
        </row>
        <row r="4376">
          <cell r="L4376" t="str">
            <v>فتح الله</v>
          </cell>
          <cell r="M4376" t="str">
            <v>C5076</v>
          </cell>
          <cell r="AC4376">
            <v>40.417480470000001</v>
          </cell>
          <cell r="AD4376">
            <v>36.79272461</v>
          </cell>
        </row>
        <row r="4377">
          <cell r="L4377" t="str">
            <v>مشراق</v>
          </cell>
          <cell r="M4377" t="str">
            <v>C5077</v>
          </cell>
          <cell r="AC4377">
            <v>40.52893066</v>
          </cell>
          <cell r="AD4377">
            <v>36.819274900000003</v>
          </cell>
        </row>
        <row r="4378">
          <cell r="L4378" t="str">
            <v>عياش</v>
          </cell>
          <cell r="M4378" t="str">
            <v>C5078</v>
          </cell>
          <cell r="AC4378">
            <v>40.052673339999998</v>
          </cell>
          <cell r="AD4378">
            <v>35.42071533</v>
          </cell>
        </row>
        <row r="4379">
          <cell r="L4379" t="str">
            <v>عضمان</v>
          </cell>
          <cell r="M4379" t="str">
            <v>C5081</v>
          </cell>
          <cell r="AC4379">
            <v>40.396484379999997</v>
          </cell>
          <cell r="AD4379">
            <v>35.479125979999999</v>
          </cell>
        </row>
        <row r="4380">
          <cell r="L4380" t="str">
            <v>جولة الغر</v>
          </cell>
          <cell r="M4380" t="str">
            <v>C5083</v>
          </cell>
          <cell r="AC4380">
            <v>40.441711429999998</v>
          </cell>
          <cell r="AD4380">
            <v>35.305297850000002</v>
          </cell>
        </row>
        <row r="4381">
          <cell r="L4381" t="str">
            <v>الجنينة</v>
          </cell>
          <cell r="M4381" t="str">
            <v>C5084</v>
          </cell>
          <cell r="AC4381">
            <v>40.119689940000001</v>
          </cell>
          <cell r="AD4381">
            <v>35.366516109999999</v>
          </cell>
        </row>
        <row r="4382">
          <cell r="L4382" t="str">
            <v>المعيشية</v>
          </cell>
          <cell r="M4382" t="str">
            <v>C5085</v>
          </cell>
          <cell r="AC4382">
            <v>40.11169434</v>
          </cell>
          <cell r="AD4382">
            <v>35.3770752</v>
          </cell>
        </row>
        <row r="4383">
          <cell r="L4383" t="str">
            <v>دير الزور</v>
          </cell>
          <cell r="M4383" t="str">
            <v>C5086</v>
          </cell>
          <cell r="AC4383">
            <v>40.14611816</v>
          </cell>
          <cell r="AD4383">
            <v>35.331909179999997</v>
          </cell>
        </row>
        <row r="4384">
          <cell r="L4384" t="str">
            <v>سفيرة فوقاني</v>
          </cell>
          <cell r="M4384" t="str">
            <v>C5087</v>
          </cell>
          <cell r="AC4384">
            <v>40.107299810000001</v>
          </cell>
          <cell r="AD4384">
            <v>35.416076660000002</v>
          </cell>
        </row>
        <row r="4385">
          <cell r="L4385" t="str">
            <v>شقرة</v>
          </cell>
          <cell r="M4385" t="str">
            <v>C5088</v>
          </cell>
          <cell r="AC4385">
            <v>40.120910649999999</v>
          </cell>
          <cell r="AD4385">
            <v>35.383911130000001</v>
          </cell>
        </row>
        <row r="4386">
          <cell r="L4386" t="str">
            <v>الجيعة</v>
          </cell>
          <cell r="M4386" t="str">
            <v>C5089</v>
          </cell>
          <cell r="AC4386">
            <v>40.164123539999999</v>
          </cell>
          <cell r="AD4386">
            <v>35.408691410000003</v>
          </cell>
        </row>
        <row r="4387">
          <cell r="L4387" t="str">
            <v>معيزيلة</v>
          </cell>
          <cell r="M4387" t="str">
            <v>C5090</v>
          </cell>
          <cell r="AC4387">
            <v>40.63830566</v>
          </cell>
          <cell r="AD4387">
            <v>35.48828125</v>
          </cell>
        </row>
        <row r="4388">
          <cell r="L4388" t="str">
            <v>كبا جب</v>
          </cell>
          <cell r="M4388" t="str">
            <v>C5091</v>
          </cell>
          <cell r="AC4388">
            <v>39.680480959999997</v>
          </cell>
          <cell r="AD4388">
            <v>35.079101559999998</v>
          </cell>
        </row>
        <row r="4389">
          <cell r="L4389" t="str">
            <v>زغير جزيرة</v>
          </cell>
          <cell r="M4389" t="str">
            <v>C5093</v>
          </cell>
          <cell r="AC4389">
            <v>39.995117190000002</v>
          </cell>
          <cell r="AD4389">
            <v>35.507324220000001</v>
          </cell>
        </row>
        <row r="4390">
          <cell r="L4390" t="str">
            <v>جروان_أبو الهبال</v>
          </cell>
          <cell r="M4390" t="str">
            <v>C5094</v>
          </cell>
          <cell r="AC4390">
            <v>39.837890629999997</v>
          </cell>
          <cell r="AD4390">
            <v>36.022888180000002</v>
          </cell>
        </row>
        <row r="4391">
          <cell r="L4391" t="str">
            <v>الهرموشية</v>
          </cell>
          <cell r="M4391" t="str">
            <v>C5095</v>
          </cell>
          <cell r="AC4391">
            <v>39.879882809999998</v>
          </cell>
          <cell r="AD4391">
            <v>35.607727050000001</v>
          </cell>
        </row>
        <row r="4392">
          <cell r="L4392" t="str">
            <v>الكسرة</v>
          </cell>
          <cell r="M4392" t="str">
            <v>C5096</v>
          </cell>
          <cell r="AC4392">
            <v>39.913879399999999</v>
          </cell>
          <cell r="AD4392">
            <v>35.569519040000003</v>
          </cell>
        </row>
        <row r="4393">
          <cell r="L4393" t="str">
            <v>العلي</v>
          </cell>
          <cell r="M4393" t="str">
            <v>C5097</v>
          </cell>
          <cell r="AC4393">
            <v>39.944885249999999</v>
          </cell>
          <cell r="AD4393">
            <v>35.541320800000001</v>
          </cell>
        </row>
        <row r="4394">
          <cell r="L4394" t="str">
            <v>أبو خشب</v>
          </cell>
          <cell r="M4394" t="str">
            <v>C5098</v>
          </cell>
          <cell r="AC4394">
            <v>40.016723630000001</v>
          </cell>
          <cell r="AD4394">
            <v>35.949890140000001</v>
          </cell>
        </row>
        <row r="4395">
          <cell r="L4395" t="str">
            <v>سفيرة تحتاني</v>
          </cell>
          <cell r="M4395" t="str">
            <v>C5099</v>
          </cell>
          <cell r="AC4395">
            <v>40.095703129999997</v>
          </cell>
          <cell r="AD4395">
            <v>35.424926759999998</v>
          </cell>
        </row>
        <row r="4396">
          <cell r="L4396" t="str">
            <v>جزرة البوحميد</v>
          </cell>
          <cell r="M4396" t="str">
            <v>C5100</v>
          </cell>
          <cell r="AC4396">
            <v>39.726684570000003</v>
          </cell>
          <cell r="AD4396">
            <v>35.78747559</v>
          </cell>
        </row>
        <row r="4397">
          <cell r="L4397" t="str">
            <v>الشاطئ</v>
          </cell>
          <cell r="M4397" t="str">
            <v>C5101</v>
          </cell>
          <cell r="AC4397">
            <v>39.842102050000001</v>
          </cell>
          <cell r="AD4397">
            <v>35.680297850000002</v>
          </cell>
        </row>
        <row r="4398">
          <cell r="L4398" t="str">
            <v>الصعوة</v>
          </cell>
          <cell r="M4398" t="str">
            <v>C5102</v>
          </cell>
          <cell r="AC4398">
            <v>39.986328129999997</v>
          </cell>
          <cell r="AD4398">
            <v>35.529907229999999</v>
          </cell>
        </row>
        <row r="4399">
          <cell r="L4399" t="str">
            <v>جزرة ميلاج</v>
          </cell>
          <cell r="M4399" t="str">
            <v>C5103</v>
          </cell>
          <cell r="AC4399">
            <v>39.765930179999998</v>
          </cell>
          <cell r="AD4399">
            <v>35.778076169999999</v>
          </cell>
        </row>
        <row r="4400">
          <cell r="L4400" t="str">
            <v>حوايج ذياب جزيرة</v>
          </cell>
          <cell r="M4400" t="str">
            <v>C5104</v>
          </cell>
          <cell r="AC4400">
            <v>40.051330569999998</v>
          </cell>
          <cell r="AD4400">
            <v>35.483886720000001</v>
          </cell>
        </row>
        <row r="4401">
          <cell r="L4401" t="str">
            <v>بريهة</v>
          </cell>
          <cell r="M4401" t="str">
            <v>C5107</v>
          </cell>
          <cell r="AC4401">
            <v>40.437316899999999</v>
          </cell>
          <cell r="AD4401">
            <v>35.174499509999997</v>
          </cell>
        </row>
        <row r="4402">
          <cell r="L4402" t="str">
            <v>ضمان</v>
          </cell>
          <cell r="M4402" t="str">
            <v>C5108</v>
          </cell>
          <cell r="AC4402">
            <v>40.545471190000001</v>
          </cell>
          <cell r="AD4402">
            <v>35.239318849999997</v>
          </cell>
        </row>
        <row r="4403">
          <cell r="L4403" t="str">
            <v>السكر</v>
          </cell>
          <cell r="M4403" t="str">
            <v>C5109</v>
          </cell>
          <cell r="AC4403">
            <v>40.575683589999997</v>
          </cell>
          <cell r="AD4403">
            <v>35.254089360000002</v>
          </cell>
        </row>
        <row r="4404">
          <cell r="L4404" t="str">
            <v>البصيرة</v>
          </cell>
          <cell r="M4404" t="str">
            <v>C5110</v>
          </cell>
          <cell r="AC4404">
            <v>40.427673339999998</v>
          </cell>
          <cell r="AD4404">
            <v>35.158081060000001</v>
          </cell>
        </row>
        <row r="4405">
          <cell r="L4405" t="str">
            <v>التوامية</v>
          </cell>
          <cell r="M4405" t="str">
            <v>C5111</v>
          </cell>
          <cell r="AC4405">
            <v>40.450683589999997</v>
          </cell>
          <cell r="AD4405">
            <v>35.194519040000003</v>
          </cell>
        </row>
        <row r="4406">
          <cell r="L4406" t="str">
            <v>طيب الفال</v>
          </cell>
          <cell r="M4406" t="str">
            <v>C5112</v>
          </cell>
          <cell r="AC4406">
            <v>40.562072749999999</v>
          </cell>
          <cell r="AD4406">
            <v>35.316101070000002</v>
          </cell>
        </row>
        <row r="4407">
          <cell r="L4407" t="str">
            <v>الحجنة</v>
          </cell>
          <cell r="M4407" t="str">
            <v>C5113</v>
          </cell>
          <cell r="AC4407">
            <v>40.537719729999999</v>
          </cell>
          <cell r="AD4407">
            <v>35.282104490000002</v>
          </cell>
        </row>
        <row r="4408">
          <cell r="L4408" t="str">
            <v>الزر</v>
          </cell>
          <cell r="M4408" t="str">
            <v>C5114</v>
          </cell>
          <cell r="AC4408">
            <v>40.434692380000001</v>
          </cell>
          <cell r="AD4408">
            <v>35.124877929999997</v>
          </cell>
        </row>
        <row r="4409">
          <cell r="L4409" t="str">
            <v>الكسار</v>
          </cell>
          <cell r="M4409" t="str">
            <v>C5115</v>
          </cell>
          <cell r="AC4409">
            <v>40.457702640000001</v>
          </cell>
          <cell r="AD4409">
            <v>35.154479979999998</v>
          </cell>
        </row>
        <row r="4410">
          <cell r="L4410" t="str">
            <v>برشم</v>
          </cell>
          <cell r="M4410" t="str">
            <v>C5116</v>
          </cell>
          <cell r="AC4410">
            <v>40.526489259999998</v>
          </cell>
          <cell r="AD4410">
            <v>35.256286619999997</v>
          </cell>
        </row>
        <row r="4411">
          <cell r="L4411" t="str">
            <v>الحلوة</v>
          </cell>
          <cell r="M4411" t="str">
            <v>C5118</v>
          </cell>
          <cell r="AC4411">
            <v>40.564880369999997</v>
          </cell>
          <cell r="AD4411">
            <v>35.290710449999999</v>
          </cell>
        </row>
        <row r="4412">
          <cell r="L4412" t="str">
            <v>الشحيل</v>
          </cell>
          <cell r="M4412" t="str">
            <v>C5119</v>
          </cell>
          <cell r="AC4412">
            <v>40.45428467</v>
          </cell>
          <cell r="AD4412">
            <v>35.092102050000001</v>
          </cell>
        </row>
        <row r="4413">
          <cell r="L4413" t="str">
            <v>الصبحة</v>
          </cell>
          <cell r="M4413" t="str">
            <v>C5120</v>
          </cell>
          <cell r="AC4413">
            <v>40.426330569999998</v>
          </cell>
          <cell r="AD4413">
            <v>35.20129395</v>
          </cell>
        </row>
        <row r="4414">
          <cell r="L4414" t="str">
            <v>ماشخ</v>
          </cell>
          <cell r="M4414" t="str">
            <v>C5121</v>
          </cell>
          <cell r="AC4414">
            <v>40.470092770000001</v>
          </cell>
          <cell r="AD4414">
            <v>35.19232178</v>
          </cell>
        </row>
        <row r="4415">
          <cell r="L4415" t="str">
            <v>الطوب</v>
          </cell>
          <cell r="M4415" t="str">
            <v>C5122</v>
          </cell>
          <cell r="AC4415">
            <v>40.384704589999998</v>
          </cell>
          <cell r="AD4415">
            <v>35.186279300000002</v>
          </cell>
        </row>
        <row r="4416">
          <cell r="L4416" t="str">
            <v>العبد</v>
          </cell>
          <cell r="M4416" t="str">
            <v>C5123</v>
          </cell>
          <cell r="AC4416">
            <v>40.275878910000003</v>
          </cell>
          <cell r="AD4416">
            <v>35.251525880000003</v>
          </cell>
        </row>
        <row r="4417">
          <cell r="L4417" t="str">
            <v>المريعية</v>
          </cell>
          <cell r="M4417" t="str">
            <v>C5124</v>
          </cell>
          <cell r="AC4417">
            <v>40.222473149999999</v>
          </cell>
          <cell r="AD4417">
            <v>35.271484379999997</v>
          </cell>
        </row>
        <row r="4418">
          <cell r="L4418" t="str">
            <v>طابية شامية</v>
          </cell>
          <cell r="M4418" t="str">
            <v>C5125</v>
          </cell>
          <cell r="AC4418">
            <v>40.296081540000003</v>
          </cell>
          <cell r="AD4418">
            <v>35.249877929999997</v>
          </cell>
        </row>
        <row r="4419">
          <cell r="L4419" t="str">
            <v>قطعة البوليل</v>
          </cell>
          <cell r="M4419" t="str">
            <v>C5126</v>
          </cell>
          <cell r="AC4419">
            <v>40.362670899999998</v>
          </cell>
          <cell r="AD4419">
            <v>35.203491210000003</v>
          </cell>
        </row>
        <row r="4420">
          <cell r="L4420" t="str">
            <v>موحسن</v>
          </cell>
          <cell r="M4420" t="str">
            <v>C5127</v>
          </cell>
          <cell r="AC4420">
            <v>40.323913570000002</v>
          </cell>
          <cell r="AD4420">
            <v>35.250671390000001</v>
          </cell>
        </row>
        <row r="4421">
          <cell r="L4421" t="str">
            <v>زغير شامية</v>
          </cell>
          <cell r="M4421" t="str">
            <v>C5128</v>
          </cell>
          <cell r="AC4421">
            <v>39.986328129999997</v>
          </cell>
          <cell r="AD4421">
            <v>35.479919430000002</v>
          </cell>
        </row>
        <row r="4422">
          <cell r="L4422" t="str">
            <v>حوايج ذياب شامية</v>
          </cell>
          <cell r="M4422" t="str">
            <v>C5129</v>
          </cell>
          <cell r="AC4422">
            <v>40.03491211</v>
          </cell>
          <cell r="AD4422">
            <v>35.453491210000003</v>
          </cell>
        </row>
        <row r="4423">
          <cell r="L4423" t="str">
            <v>المسرب</v>
          </cell>
          <cell r="M4423" t="str">
            <v>C5130</v>
          </cell>
          <cell r="AC4423">
            <v>39.94049072</v>
          </cell>
          <cell r="AD4423">
            <v>35.504516600000002</v>
          </cell>
        </row>
        <row r="4424">
          <cell r="L4424" t="str">
            <v>التبني</v>
          </cell>
          <cell r="M4424" t="str">
            <v>C5131</v>
          </cell>
          <cell r="AC4424">
            <v>39.819091800000002</v>
          </cell>
          <cell r="AD4424">
            <v>35.605102539999997</v>
          </cell>
        </row>
        <row r="4425">
          <cell r="L4425" t="str">
            <v>الخريطة</v>
          </cell>
          <cell r="M4425" t="str">
            <v>C5132</v>
          </cell>
          <cell r="AC4425">
            <v>40.013671879999997</v>
          </cell>
          <cell r="AD4425">
            <v>35.469299319999998</v>
          </cell>
        </row>
        <row r="4426">
          <cell r="L4426" t="str">
            <v>الطريف</v>
          </cell>
          <cell r="M4426" t="str">
            <v>C5133</v>
          </cell>
          <cell r="AC4426">
            <v>39.856506349999997</v>
          </cell>
          <cell r="AD4426">
            <v>35.545471190000001</v>
          </cell>
        </row>
        <row r="4427">
          <cell r="L4427" t="str">
            <v>القصبي</v>
          </cell>
          <cell r="M4427" t="str">
            <v>C5134</v>
          </cell>
          <cell r="AC4427">
            <v>39.759277339999997</v>
          </cell>
          <cell r="AD4427">
            <v>35.729675290000003</v>
          </cell>
        </row>
        <row r="4428">
          <cell r="L4428" t="str">
            <v>البويطية</v>
          </cell>
          <cell r="M4428" t="str">
            <v>C5135</v>
          </cell>
          <cell r="AC4428">
            <v>39.869873050000002</v>
          </cell>
          <cell r="AD4428">
            <v>35.568908690000001</v>
          </cell>
        </row>
        <row r="4429">
          <cell r="L4429" t="str">
            <v>الشميطية</v>
          </cell>
          <cell r="M4429" t="str">
            <v>C5136</v>
          </cell>
          <cell r="AC4429">
            <v>39.954101559999998</v>
          </cell>
          <cell r="AD4429">
            <v>35.475280759999997</v>
          </cell>
        </row>
        <row r="4430">
          <cell r="L4430" t="str">
            <v>العنبه</v>
          </cell>
          <cell r="M4430" t="str">
            <v>C5137</v>
          </cell>
          <cell r="AC4430">
            <v>39.922302250000001</v>
          </cell>
          <cell r="AD4430">
            <v>35.542297359999999</v>
          </cell>
        </row>
        <row r="4431">
          <cell r="L4431" t="str">
            <v>معدان عتيق</v>
          </cell>
          <cell r="M4431" t="str">
            <v>C5138</v>
          </cell>
          <cell r="AC4431">
            <v>39.701477050000001</v>
          </cell>
          <cell r="AD4431">
            <v>35.730896000000001</v>
          </cell>
        </row>
        <row r="4432">
          <cell r="L4432" t="str">
            <v>السعدوني</v>
          </cell>
          <cell r="M4432" t="str">
            <v>C5139</v>
          </cell>
          <cell r="AC4432">
            <v>40.334899900000003</v>
          </cell>
          <cell r="AD4432">
            <v>35.262329100000002</v>
          </cell>
        </row>
        <row r="4433">
          <cell r="L4433" t="str">
            <v>خشام</v>
          </cell>
          <cell r="M4433" t="str">
            <v>C5140</v>
          </cell>
          <cell r="AC4433">
            <v>40.289489750000001</v>
          </cell>
          <cell r="AD4433">
            <v>35.298522949999999</v>
          </cell>
        </row>
        <row r="4434">
          <cell r="L4434" t="str">
            <v>جديدة بكارة</v>
          </cell>
          <cell r="M4434" t="str">
            <v>C5141</v>
          </cell>
          <cell r="AC4434">
            <v>40.365478520000003</v>
          </cell>
          <cell r="AD4434">
            <v>35.242675779999999</v>
          </cell>
        </row>
        <row r="4435">
          <cell r="L4435" t="str">
            <v>الدحلة</v>
          </cell>
          <cell r="M4435" t="str">
            <v>C5142</v>
          </cell>
          <cell r="AC4435">
            <v>40.399291990000002</v>
          </cell>
          <cell r="AD4435">
            <v>35.222106930000002</v>
          </cell>
        </row>
        <row r="4436">
          <cell r="L4436" t="str">
            <v>جديد عكيدات</v>
          </cell>
          <cell r="M4436" t="str">
            <v>C5143</v>
          </cell>
          <cell r="AC4436">
            <v>40.352905270000001</v>
          </cell>
          <cell r="AD4436">
            <v>35.255126949999998</v>
          </cell>
        </row>
        <row r="4437">
          <cell r="L4437" t="str">
            <v>طابية جزيرة</v>
          </cell>
          <cell r="M4437" t="str">
            <v>C5144</v>
          </cell>
          <cell r="AC4437">
            <v>40.317687990000003</v>
          </cell>
          <cell r="AD4437">
            <v>35.282287599999997</v>
          </cell>
        </row>
        <row r="4438">
          <cell r="L4438" t="str">
            <v>مظلوم</v>
          </cell>
          <cell r="M4438" t="str">
            <v>C5145</v>
          </cell>
          <cell r="AC4438">
            <v>40.259277339999997</v>
          </cell>
          <cell r="AD4438">
            <v>35.309326169999999</v>
          </cell>
        </row>
        <row r="4439">
          <cell r="L4439" t="str">
            <v>مراط</v>
          </cell>
          <cell r="M4439" t="str">
            <v>C5146</v>
          </cell>
          <cell r="AC4439">
            <v>40.237304690000002</v>
          </cell>
          <cell r="AD4439">
            <v>35.305908199999998</v>
          </cell>
        </row>
        <row r="4440">
          <cell r="L4440" t="str">
            <v>أبو النيتل</v>
          </cell>
          <cell r="M4440" t="str">
            <v>C5147</v>
          </cell>
          <cell r="AC4440">
            <v>40.665893560000001</v>
          </cell>
          <cell r="AD4440">
            <v>35.462707520000002</v>
          </cell>
        </row>
        <row r="4441">
          <cell r="L4441" t="str">
            <v>بسيتين</v>
          </cell>
          <cell r="M4441" t="str">
            <v>C5148</v>
          </cell>
          <cell r="AC4441">
            <v>40.700073240000002</v>
          </cell>
          <cell r="AD4441">
            <v>35.549316410000003</v>
          </cell>
        </row>
        <row r="4442">
          <cell r="L4442" t="str">
            <v>رويشد</v>
          </cell>
          <cell r="M4442" t="str">
            <v>C5149</v>
          </cell>
          <cell r="AC4442">
            <v>40.48071289</v>
          </cell>
          <cell r="AD4442">
            <v>35.599487310000001</v>
          </cell>
        </row>
        <row r="4443">
          <cell r="L4443" t="str">
            <v>الحريجية</v>
          </cell>
          <cell r="M4443" t="str">
            <v>C5150</v>
          </cell>
          <cell r="AC4443">
            <v>40.543273929999998</v>
          </cell>
          <cell r="AD4443">
            <v>35.33569336</v>
          </cell>
        </row>
        <row r="4444">
          <cell r="L4444" t="str">
            <v>ربيضة</v>
          </cell>
          <cell r="M4444" t="str">
            <v>C5151</v>
          </cell>
          <cell r="AC4444">
            <v>40.618530270000001</v>
          </cell>
          <cell r="AD4444">
            <v>35.466491699999999</v>
          </cell>
        </row>
        <row r="4445">
          <cell r="L4445" t="str">
            <v>النملية</v>
          </cell>
          <cell r="M4445" t="str">
            <v>C5152</v>
          </cell>
          <cell r="AC4445">
            <v>40.623107910000002</v>
          </cell>
          <cell r="AD4445">
            <v>35.425476070000002</v>
          </cell>
        </row>
        <row r="4446">
          <cell r="L4446" t="str">
            <v>الحصين</v>
          </cell>
          <cell r="M4446" t="str">
            <v>C5153</v>
          </cell>
          <cell r="AC4446">
            <v>40.720275880000003</v>
          </cell>
          <cell r="AD4446">
            <v>35.637329100000002</v>
          </cell>
        </row>
        <row r="4447">
          <cell r="L4447" t="str">
            <v>الحريجي</v>
          </cell>
          <cell r="M4447" t="str">
            <v>C5154</v>
          </cell>
          <cell r="AC4447">
            <v>40.584472660000003</v>
          </cell>
          <cell r="AD4447">
            <v>35.35247803</v>
          </cell>
        </row>
        <row r="4448">
          <cell r="L4448" t="str">
            <v>المويلح</v>
          </cell>
          <cell r="M4448" t="str">
            <v>C5155</v>
          </cell>
          <cell r="AC4448">
            <v>40.695678710000003</v>
          </cell>
          <cell r="AD4448">
            <v>35.595275880000003</v>
          </cell>
        </row>
        <row r="4449">
          <cell r="L4449" t="str">
            <v>جرية</v>
          </cell>
          <cell r="M4449" t="str">
            <v>C5156</v>
          </cell>
          <cell r="AC4449">
            <v>40.690673830000001</v>
          </cell>
          <cell r="AD4449">
            <v>35.510498050000002</v>
          </cell>
        </row>
        <row r="4450">
          <cell r="L4450" t="str">
            <v>الصور</v>
          </cell>
          <cell r="M4450" t="str">
            <v>C5157</v>
          </cell>
          <cell r="AC4450">
            <v>40.661682130000003</v>
          </cell>
          <cell r="AD4450">
            <v>35.506713869999999</v>
          </cell>
        </row>
        <row r="4451">
          <cell r="L4451" t="str">
            <v>غريبة شرقية</v>
          </cell>
          <cell r="M4451" t="str">
            <v>C5158</v>
          </cell>
          <cell r="AC4451">
            <v>40.745300290000003</v>
          </cell>
          <cell r="AD4451">
            <v>35.61950684</v>
          </cell>
        </row>
        <row r="4452">
          <cell r="L4452" t="str">
            <v>غريبة غربية</v>
          </cell>
          <cell r="M4452" t="str">
            <v>C5159</v>
          </cell>
          <cell r="AC4452">
            <v>40.71368408</v>
          </cell>
          <cell r="AD4452">
            <v>35.62890625</v>
          </cell>
        </row>
        <row r="4453">
          <cell r="L4453" t="str">
            <v>الجاسمي</v>
          </cell>
          <cell r="M4453" t="str">
            <v>C5160</v>
          </cell>
          <cell r="AC4453">
            <v>40.688293459999997</v>
          </cell>
          <cell r="AD4453">
            <v>35.519470220000002</v>
          </cell>
        </row>
        <row r="4454">
          <cell r="L4454" t="str">
            <v>معيجيل</v>
          </cell>
          <cell r="M4454" t="str">
            <v>C5161</v>
          </cell>
          <cell r="AC4454">
            <v>40.714477539999997</v>
          </cell>
          <cell r="AD4454">
            <v>35.575683589999997</v>
          </cell>
        </row>
        <row r="4455">
          <cell r="L4455" t="str">
            <v>الهرى</v>
          </cell>
          <cell r="M4455" t="str">
            <v>C5162</v>
          </cell>
          <cell r="AC4455">
            <v>40.95428467</v>
          </cell>
          <cell r="AD4455">
            <v>34.40991211</v>
          </cell>
        </row>
        <row r="4456">
          <cell r="L4456" t="str">
            <v>السيال</v>
          </cell>
          <cell r="M4456" t="str">
            <v>C5163</v>
          </cell>
          <cell r="AC4456">
            <v>40.902893069999998</v>
          </cell>
          <cell r="AD4456">
            <v>34.555725099999997</v>
          </cell>
        </row>
        <row r="4457">
          <cell r="L4457" t="str">
            <v>حسرات</v>
          </cell>
          <cell r="M4457" t="str">
            <v>C5164</v>
          </cell>
          <cell r="AC4457">
            <v>40.899719240000003</v>
          </cell>
          <cell r="AD4457">
            <v>34.617309570000003</v>
          </cell>
        </row>
        <row r="4458">
          <cell r="L4458" t="str">
            <v>الرمادى</v>
          </cell>
          <cell r="M4458" t="str">
            <v>C5166</v>
          </cell>
          <cell r="AC4458">
            <v>40.869323729999998</v>
          </cell>
          <cell r="AD4458">
            <v>34.638488770000002</v>
          </cell>
        </row>
        <row r="4459">
          <cell r="L4459" t="str">
            <v>البوكمال</v>
          </cell>
          <cell r="M4459" t="str">
            <v>C5167</v>
          </cell>
          <cell r="AC4459">
            <v>40.911682130000003</v>
          </cell>
          <cell r="AD4459">
            <v>34.45471191</v>
          </cell>
        </row>
        <row r="4460">
          <cell r="L4460" t="str">
            <v>السويعية</v>
          </cell>
          <cell r="M4460" t="str">
            <v>C5168</v>
          </cell>
          <cell r="AC4460">
            <v>40.933715820000003</v>
          </cell>
          <cell r="AD4460">
            <v>34.433898929999998</v>
          </cell>
        </row>
        <row r="4461">
          <cell r="L4461" t="str">
            <v>الغبرة</v>
          </cell>
          <cell r="M4461" t="str">
            <v>C5169</v>
          </cell>
          <cell r="AC4461">
            <v>40.913879399999999</v>
          </cell>
          <cell r="AD4461">
            <v>34.535888669999999</v>
          </cell>
        </row>
        <row r="4462">
          <cell r="L4462" t="str">
            <v>الحرية</v>
          </cell>
          <cell r="M4462" t="str">
            <v>C5170</v>
          </cell>
          <cell r="AC4462">
            <v>40.85247803</v>
          </cell>
          <cell r="AD4462">
            <v>34.529479979999998</v>
          </cell>
        </row>
        <row r="4463">
          <cell r="L4463" t="str">
            <v>معيزيلة</v>
          </cell>
          <cell r="M4463" t="str">
            <v>C5171</v>
          </cell>
          <cell r="AC4463">
            <v>40.404724119999997</v>
          </cell>
          <cell r="AD4463">
            <v>34.626098630000001</v>
          </cell>
        </row>
        <row r="4464">
          <cell r="L4464" t="str">
            <v>كشمة</v>
          </cell>
          <cell r="M4464" t="str">
            <v>C5172</v>
          </cell>
          <cell r="AC4464">
            <v>40.936889649999998</v>
          </cell>
          <cell r="AD4464">
            <v>34.626708979999997</v>
          </cell>
        </row>
        <row r="4465">
          <cell r="L4465" t="str">
            <v>غرانيج</v>
          </cell>
          <cell r="M4465" t="str">
            <v>C5173</v>
          </cell>
          <cell r="AC4465">
            <v>40.718078609999999</v>
          </cell>
          <cell r="AD4465">
            <v>34.78631592</v>
          </cell>
        </row>
        <row r="4466">
          <cell r="L4466" t="str">
            <v>أبو حمام</v>
          </cell>
          <cell r="M4466" t="str">
            <v>C5174</v>
          </cell>
          <cell r="AC4466">
            <v>40.668273929999998</v>
          </cell>
          <cell r="AD4466">
            <v>34.835083009999998</v>
          </cell>
        </row>
        <row r="4467">
          <cell r="L4467" t="str">
            <v>هجين</v>
          </cell>
          <cell r="M4467" t="str">
            <v>C5175</v>
          </cell>
          <cell r="AC4467">
            <v>40.839294430000002</v>
          </cell>
          <cell r="AD4467">
            <v>34.686889649999998</v>
          </cell>
        </row>
        <row r="4468">
          <cell r="L4468" t="str">
            <v>الصبخة</v>
          </cell>
          <cell r="M4468" t="str">
            <v>C5176</v>
          </cell>
          <cell r="AC4468">
            <v>40.755676270000002</v>
          </cell>
          <cell r="AD4468">
            <v>34.708129880000001</v>
          </cell>
        </row>
        <row r="4469">
          <cell r="L4469" t="str">
            <v>الطوطحية</v>
          </cell>
          <cell r="M4469" t="str">
            <v>C5177</v>
          </cell>
          <cell r="AC4469">
            <v>40.802307130000003</v>
          </cell>
          <cell r="AD4469">
            <v>34.705322270000003</v>
          </cell>
        </row>
        <row r="4470">
          <cell r="L4470" t="str">
            <v>الجلاء</v>
          </cell>
          <cell r="M4470" t="str">
            <v>C5178</v>
          </cell>
          <cell r="AC4470">
            <v>40.825500490000003</v>
          </cell>
          <cell r="AD4470">
            <v>34.626708979999997</v>
          </cell>
        </row>
        <row r="4471">
          <cell r="L4471" t="str">
            <v>القطعة</v>
          </cell>
          <cell r="M4471" t="str">
            <v>C5179</v>
          </cell>
          <cell r="AC4471">
            <v>40.794677729999997</v>
          </cell>
          <cell r="AD4471">
            <v>34.656127929999997</v>
          </cell>
        </row>
        <row r="4472">
          <cell r="L4472" t="str">
            <v>العباس</v>
          </cell>
          <cell r="M4472" t="str">
            <v>C5180</v>
          </cell>
          <cell r="AC4472">
            <v>40.798278809999999</v>
          </cell>
          <cell r="AD4472">
            <v>34.690673830000001</v>
          </cell>
        </row>
        <row r="4473">
          <cell r="L4473" t="str">
            <v>الصالحية</v>
          </cell>
          <cell r="M4473" t="str">
            <v>C5181</v>
          </cell>
          <cell r="AC4473">
            <v>40.755126949999998</v>
          </cell>
          <cell r="AD4473">
            <v>34.720886229999998</v>
          </cell>
        </row>
        <row r="4474">
          <cell r="L4474" t="str">
            <v>المراشدة</v>
          </cell>
          <cell r="M4474" t="str">
            <v>C5182</v>
          </cell>
          <cell r="AC4474">
            <v>40.929077149999998</v>
          </cell>
          <cell r="AD4474">
            <v>34.504272460000003</v>
          </cell>
        </row>
        <row r="4475">
          <cell r="L4475" t="str">
            <v>الشعفة</v>
          </cell>
          <cell r="M4475" t="str">
            <v>C5183</v>
          </cell>
          <cell r="AC4475">
            <v>40.939880369999997</v>
          </cell>
          <cell r="AD4475">
            <v>34.573486330000001</v>
          </cell>
        </row>
        <row r="4476">
          <cell r="L4476" t="str">
            <v>الباغوز فوقاني</v>
          </cell>
          <cell r="M4476" t="str">
            <v>C5184</v>
          </cell>
          <cell r="AC4476">
            <v>40.950073240000002</v>
          </cell>
          <cell r="AD4476">
            <v>34.45727539</v>
          </cell>
        </row>
        <row r="4477">
          <cell r="L4477" t="str">
            <v>البوبدران</v>
          </cell>
          <cell r="M4477" t="str">
            <v>C5185</v>
          </cell>
          <cell r="AC4477">
            <v>40.961120610000002</v>
          </cell>
          <cell r="AD4477">
            <v>34.482727050000001</v>
          </cell>
        </row>
        <row r="4478">
          <cell r="L4478" t="str">
            <v>السوسة</v>
          </cell>
          <cell r="M4478" t="str">
            <v>C5186</v>
          </cell>
          <cell r="AC4478">
            <v>40.967712400000003</v>
          </cell>
          <cell r="AD4478">
            <v>34.525085449999999</v>
          </cell>
        </row>
        <row r="4479">
          <cell r="L4479" t="str">
            <v>حاوي بقرص تحتاني</v>
          </cell>
          <cell r="M4479" t="str">
            <v>C5187</v>
          </cell>
          <cell r="AC4479">
            <v>40.409728999999999</v>
          </cell>
          <cell r="AD4479">
            <v>35.065307619999999</v>
          </cell>
        </row>
        <row r="4480">
          <cell r="L4480" t="str">
            <v>سعلو</v>
          </cell>
          <cell r="M4480" t="str">
            <v>C5188</v>
          </cell>
          <cell r="AC4480">
            <v>40.382690429999997</v>
          </cell>
          <cell r="AD4480">
            <v>35.154296879999997</v>
          </cell>
        </row>
        <row r="4481">
          <cell r="L4481" t="str">
            <v>الزبارى</v>
          </cell>
          <cell r="M4481" t="str">
            <v>C5189</v>
          </cell>
          <cell r="AC4481">
            <v>40.39569092</v>
          </cell>
          <cell r="AD4481">
            <v>35.130310059999999</v>
          </cell>
        </row>
        <row r="4482">
          <cell r="L4482" t="str">
            <v>بقرص فوقاني</v>
          </cell>
          <cell r="M4482" t="str">
            <v>C5190</v>
          </cell>
          <cell r="AC4482">
            <v>40.39611816</v>
          </cell>
          <cell r="AD4482">
            <v>35.099487310000001</v>
          </cell>
        </row>
        <row r="4483">
          <cell r="L4483" t="str">
            <v>بقرص تحتاني</v>
          </cell>
          <cell r="M4483" t="str">
            <v>C5191</v>
          </cell>
          <cell r="AC4483">
            <v>40.450500490000003</v>
          </cell>
          <cell r="AD4483">
            <v>35.05767822</v>
          </cell>
        </row>
        <row r="4484">
          <cell r="L4484" t="str">
            <v>الميادين</v>
          </cell>
          <cell r="M4484" t="str">
            <v>C5192</v>
          </cell>
          <cell r="AC4484">
            <v>40.42810059</v>
          </cell>
          <cell r="AD4484">
            <v>35.024902339999997</v>
          </cell>
        </row>
        <row r="4485">
          <cell r="L4485" t="str">
            <v>الطيبة</v>
          </cell>
          <cell r="M4485" t="str">
            <v>C5193</v>
          </cell>
          <cell r="AC4485">
            <v>40.458496089999997</v>
          </cell>
          <cell r="AD4485">
            <v>34.997497559999999</v>
          </cell>
        </row>
        <row r="4486">
          <cell r="L4486" t="str">
            <v>محكان</v>
          </cell>
          <cell r="M4486" t="str">
            <v>C5194</v>
          </cell>
          <cell r="AC4486">
            <v>40.491882320000002</v>
          </cell>
          <cell r="AD4486">
            <v>34.976074220000001</v>
          </cell>
        </row>
        <row r="4487">
          <cell r="L4487" t="str">
            <v>أبو حردوب</v>
          </cell>
          <cell r="M4487" t="str">
            <v>C5195</v>
          </cell>
          <cell r="AC4487">
            <v>40.639526369999999</v>
          </cell>
          <cell r="AD4487">
            <v>34.846313479999999</v>
          </cell>
        </row>
        <row r="4488">
          <cell r="L4488" t="str">
            <v>سويدان جزيرة</v>
          </cell>
          <cell r="M4488" t="str">
            <v>C5196</v>
          </cell>
          <cell r="AC4488">
            <v>40.59008789</v>
          </cell>
          <cell r="AD4488">
            <v>34.896484379999997</v>
          </cell>
        </row>
        <row r="4489">
          <cell r="L4489" t="str">
            <v>الكرامة</v>
          </cell>
          <cell r="M4489" t="str">
            <v>C5198</v>
          </cell>
          <cell r="AC4489">
            <v>40.604125979999999</v>
          </cell>
          <cell r="AD4489">
            <v>34.892517089999998</v>
          </cell>
        </row>
        <row r="4490">
          <cell r="L4490" t="str">
            <v>الحوايج</v>
          </cell>
          <cell r="M4490" t="str">
            <v>C5199</v>
          </cell>
          <cell r="AC4490">
            <v>40.477111819999998</v>
          </cell>
          <cell r="AD4490">
            <v>35.043518069999998</v>
          </cell>
        </row>
        <row r="4491">
          <cell r="L4491" t="str">
            <v>الرغيب</v>
          </cell>
          <cell r="M4491" t="str">
            <v>C5201</v>
          </cell>
          <cell r="AC4491">
            <v>40.485107419999999</v>
          </cell>
          <cell r="AD4491">
            <v>35.027709960000003</v>
          </cell>
        </row>
        <row r="4492">
          <cell r="L4492" t="str">
            <v>ذيبان</v>
          </cell>
          <cell r="M4492" t="str">
            <v>C5202</v>
          </cell>
          <cell r="AC4492">
            <v>40.504699709999997</v>
          </cell>
          <cell r="AD4492">
            <v>35.01147461</v>
          </cell>
        </row>
        <row r="4493">
          <cell r="L4493" t="str">
            <v>الجرذى الشرقي</v>
          </cell>
          <cell r="M4493" t="str">
            <v>C5203</v>
          </cell>
          <cell r="AC4493">
            <v>40.641479490000002</v>
          </cell>
          <cell r="AD4493">
            <v>34.873107910000002</v>
          </cell>
        </row>
        <row r="4494">
          <cell r="L4494" t="str">
            <v>حاوي ذيبان</v>
          </cell>
          <cell r="M4494" t="str">
            <v>C5204</v>
          </cell>
          <cell r="AC4494">
            <v>40.516479490000002</v>
          </cell>
          <cell r="AD4494">
            <v>35.035278320000003</v>
          </cell>
        </row>
        <row r="4495">
          <cell r="L4495" t="str">
            <v>غريبه</v>
          </cell>
          <cell r="M4495" t="str">
            <v>C5205</v>
          </cell>
          <cell r="AC4495">
            <v>40.558288570000002</v>
          </cell>
          <cell r="AD4495">
            <v>34.885070800000001</v>
          </cell>
        </row>
        <row r="4496">
          <cell r="L4496" t="str">
            <v>تشرين</v>
          </cell>
          <cell r="M4496" t="str">
            <v>C5206</v>
          </cell>
          <cell r="AC4496">
            <v>40.603271479999997</v>
          </cell>
          <cell r="AD4496">
            <v>34.8046875</v>
          </cell>
        </row>
        <row r="4497">
          <cell r="L4497" t="str">
            <v>القورية</v>
          </cell>
          <cell r="M4497" t="str">
            <v>C5207</v>
          </cell>
          <cell r="AC4497">
            <v>40.536682130000003</v>
          </cell>
          <cell r="AD4497">
            <v>34.956726070000002</v>
          </cell>
        </row>
        <row r="4498">
          <cell r="L4498" t="str">
            <v>دبلان</v>
          </cell>
          <cell r="M4498" t="str">
            <v>C5208</v>
          </cell>
          <cell r="AC4498">
            <v>40.567871089999997</v>
          </cell>
          <cell r="AD4498">
            <v>34.86029053</v>
          </cell>
        </row>
        <row r="4499">
          <cell r="L4499" t="str">
            <v>الدوير</v>
          </cell>
          <cell r="M4499" t="str">
            <v>C5209</v>
          </cell>
          <cell r="AC4499">
            <v>40.658081060000001</v>
          </cell>
          <cell r="AD4499">
            <v>34.767272949999999</v>
          </cell>
        </row>
        <row r="4500">
          <cell r="L4500" t="str">
            <v>العشارة</v>
          </cell>
          <cell r="M4500" t="str">
            <v>C5210</v>
          </cell>
          <cell r="AC4500">
            <v>40.56091309</v>
          </cell>
          <cell r="AD4500">
            <v>34.917480470000001</v>
          </cell>
        </row>
        <row r="4501">
          <cell r="L4501" t="str">
            <v>صبيخان</v>
          </cell>
          <cell r="M4501" t="str">
            <v>C5211</v>
          </cell>
          <cell r="AC4501">
            <v>40.599121089999997</v>
          </cell>
          <cell r="AD4501">
            <v>34.850280759999997</v>
          </cell>
        </row>
        <row r="4502">
          <cell r="L4502" t="str">
            <v>بيلة</v>
          </cell>
          <cell r="M4502" t="str">
            <v>C5212</v>
          </cell>
          <cell r="AC4502">
            <v>35.946105959999997</v>
          </cell>
          <cell r="AD4502">
            <v>34.945495610000002</v>
          </cell>
        </row>
        <row r="4503">
          <cell r="L4503" t="str">
            <v>بيت اسماعيل_محرك تحتاني</v>
          </cell>
          <cell r="M4503" t="str">
            <v>C5213</v>
          </cell>
          <cell r="AC4503">
            <v>35.96069336</v>
          </cell>
          <cell r="AD4503">
            <v>34.837890629999997</v>
          </cell>
        </row>
        <row r="4504">
          <cell r="L4504" t="str">
            <v>بيت عليان</v>
          </cell>
          <cell r="M4504" t="str">
            <v>C5214</v>
          </cell>
          <cell r="AC4504">
            <v>35.943115229999997</v>
          </cell>
          <cell r="AD4504">
            <v>34.867492679999998</v>
          </cell>
        </row>
        <row r="4505">
          <cell r="L4505" t="str">
            <v>بيت كمونة</v>
          </cell>
          <cell r="M4505" t="str">
            <v>C5215</v>
          </cell>
          <cell r="AC4505">
            <v>35.942077640000001</v>
          </cell>
          <cell r="AD4505">
            <v>34.863098149999999</v>
          </cell>
        </row>
        <row r="4506">
          <cell r="L4506" t="str">
            <v>بيت شيحان</v>
          </cell>
          <cell r="M4506" t="str">
            <v>C5216</v>
          </cell>
          <cell r="AC4506">
            <v>35.991516109999999</v>
          </cell>
          <cell r="AD4506">
            <v>34.879699709999997</v>
          </cell>
        </row>
        <row r="4507">
          <cell r="L4507" t="str">
            <v>الخريبات</v>
          </cell>
          <cell r="M4507" t="str">
            <v>C5217</v>
          </cell>
          <cell r="AC4507">
            <v>35.932922359999999</v>
          </cell>
          <cell r="AD4507">
            <v>34.889526369999999</v>
          </cell>
        </row>
        <row r="4508">
          <cell r="L4508" t="str">
            <v>بملكة</v>
          </cell>
          <cell r="M4508" t="str">
            <v>C5218</v>
          </cell>
          <cell r="AC4508">
            <v>35.972473149999999</v>
          </cell>
          <cell r="AD4508">
            <v>34.934875490000003</v>
          </cell>
        </row>
        <row r="4509">
          <cell r="L4509" t="str">
            <v>بكرية</v>
          </cell>
          <cell r="M4509" t="str">
            <v>C5219</v>
          </cell>
          <cell r="AC4509">
            <v>35.969299319999998</v>
          </cell>
          <cell r="AD4509">
            <v>34.92071533</v>
          </cell>
        </row>
        <row r="4510">
          <cell r="L4510" t="str">
            <v>العوينية</v>
          </cell>
          <cell r="M4510" t="str">
            <v>C5220</v>
          </cell>
          <cell r="AC4510">
            <v>35.970275880000003</v>
          </cell>
          <cell r="AD4510">
            <v>34.95611572</v>
          </cell>
        </row>
        <row r="4511">
          <cell r="L4511" t="str">
            <v>طرطوس</v>
          </cell>
          <cell r="M4511" t="str">
            <v>C5221</v>
          </cell>
          <cell r="AC4511">
            <v>35.893493650000003</v>
          </cell>
          <cell r="AD4511">
            <v>34.88671875</v>
          </cell>
        </row>
        <row r="4512">
          <cell r="L4512" t="str">
            <v>بسماقة</v>
          </cell>
          <cell r="M4512" t="str">
            <v>C5222</v>
          </cell>
          <cell r="AC4512">
            <v>35.948913570000002</v>
          </cell>
          <cell r="AD4512">
            <v>34.923278809999999</v>
          </cell>
        </row>
        <row r="4513">
          <cell r="L4513" t="str">
            <v>القطلب</v>
          </cell>
          <cell r="M4513" t="str">
            <v>C5223</v>
          </cell>
          <cell r="AC4513">
            <v>35.957702640000001</v>
          </cell>
          <cell r="AD4513">
            <v>34.923522949999999</v>
          </cell>
        </row>
        <row r="4514">
          <cell r="L4514" t="str">
            <v>بزاق</v>
          </cell>
          <cell r="M4514" t="str">
            <v>C5224</v>
          </cell>
          <cell r="AC4514">
            <v>35.992919919999999</v>
          </cell>
          <cell r="AD4514">
            <v>34.874328609999999</v>
          </cell>
        </row>
        <row r="4515">
          <cell r="L4515" t="str">
            <v>بيت الخطيب</v>
          </cell>
          <cell r="M4515" t="str">
            <v>C5225</v>
          </cell>
          <cell r="AC4515">
            <v>35.971679690000002</v>
          </cell>
          <cell r="AD4515">
            <v>34.892272949999999</v>
          </cell>
        </row>
        <row r="4516">
          <cell r="L4516" t="str">
            <v>دوير الشيخ سعد</v>
          </cell>
          <cell r="M4516" t="str">
            <v>C5226</v>
          </cell>
          <cell r="AC4516">
            <v>35.92211914</v>
          </cell>
          <cell r="AD4516">
            <v>34.921875</v>
          </cell>
        </row>
        <row r="4517">
          <cell r="L4517" t="str">
            <v>بيت باسط</v>
          </cell>
          <cell r="M4517" t="str">
            <v>C5227</v>
          </cell>
          <cell r="AC4517">
            <v>36.046325680000002</v>
          </cell>
          <cell r="AD4517">
            <v>34.928894040000003</v>
          </cell>
        </row>
        <row r="4518">
          <cell r="L4518" t="str">
            <v>بيت الجبل</v>
          </cell>
          <cell r="M4518" t="str">
            <v>C5228</v>
          </cell>
          <cell r="AC4518">
            <v>35.971679690000002</v>
          </cell>
          <cell r="AD4518">
            <v>34.879516600000002</v>
          </cell>
        </row>
        <row r="4519">
          <cell r="L4519" t="str">
            <v>تيشور</v>
          </cell>
          <cell r="M4519" t="str">
            <v>C5229</v>
          </cell>
          <cell r="AC4519">
            <v>36.013916020000003</v>
          </cell>
          <cell r="AD4519">
            <v>34.875122070000003</v>
          </cell>
        </row>
        <row r="4520">
          <cell r="L4520" t="str">
            <v>خربة الفرس</v>
          </cell>
          <cell r="M4520" t="str">
            <v>C5230</v>
          </cell>
          <cell r="AC4520">
            <v>36.014892580000001</v>
          </cell>
          <cell r="AD4520">
            <v>34.950073240000002</v>
          </cell>
        </row>
        <row r="4521">
          <cell r="L4521" t="str">
            <v>جديتة</v>
          </cell>
          <cell r="M4521" t="str">
            <v>C5231</v>
          </cell>
          <cell r="AC4521">
            <v>35.930114750000001</v>
          </cell>
          <cell r="AD4521">
            <v>34.902282720000002</v>
          </cell>
        </row>
        <row r="4522">
          <cell r="L4522" t="str">
            <v>جديدة البحر</v>
          </cell>
          <cell r="M4522" t="str">
            <v>C5232</v>
          </cell>
          <cell r="AC4522">
            <v>35.953125</v>
          </cell>
          <cell r="AD4522">
            <v>34.841125490000003</v>
          </cell>
        </row>
        <row r="4523">
          <cell r="L4523" t="str">
            <v>خربة الريح</v>
          </cell>
          <cell r="M4523" t="str">
            <v>C5233</v>
          </cell>
          <cell r="AC4523">
            <v>36.058288570000002</v>
          </cell>
          <cell r="AD4523">
            <v>34.960510249999999</v>
          </cell>
        </row>
        <row r="4524">
          <cell r="L4524" t="str">
            <v>اسقبولة</v>
          </cell>
          <cell r="M4524" t="str">
            <v>C5234</v>
          </cell>
          <cell r="AC4524">
            <v>35.941711429999998</v>
          </cell>
          <cell r="AD4524">
            <v>34.910095220000002</v>
          </cell>
        </row>
        <row r="4525">
          <cell r="L4525" t="str">
            <v>جوبي</v>
          </cell>
          <cell r="M4525" t="str">
            <v>C5235</v>
          </cell>
          <cell r="AC4525">
            <v>35.95471191</v>
          </cell>
          <cell r="AD4525">
            <v>34.901123050000002</v>
          </cell>
        </row>
        <row r="4526">
          <cell r="L4526" t="str">
            <v>الشيخ سعد</v>
          </cell>
          <cell r="M4526" t="str">
            <v>C5236</v>
          </cell>
          <cell r="AC4526">
            <v>35.928894040000003</v>
          </cell>
          <cell r="AD4526">
            <v>34.908508300000001</v>
          </cell>
        </row>
        <row r="4527">
          <cell r="L4527" t="str">
            <v>حاموش سرسكى</v>
          </cell>
          <cell r="M4527" t="str">
            <v>C5237</v>
          </cell>
          <cell r="AC4527">
            <v>35.942687990000003</v>
          </cell>
          <cell r="AD4527">
            <v>34.8848877</v>
          </cell>
        </row>
        <row r="4528">
          <cell r="L4528" t="str">
            <v>عنابية</v>
          </cell>
          <cell r="M4528" t="str">
            <v>C5238</v>
          </cell>
          <cell r="AC4528">
            <v>35.93127441</v>
          </cell>
          <cell r="AD4528">
            <v>34.848510740000002</v>
          </cell>
        </row>
        <row r="4529">
          <cell r="L4529" t="str">
            <v>حكر معبرية_ محرك فوقاني</v>
          </cell>
          <cell r="M4529" t="str">
            <v>C5239</v>
          </cell>
          <cell r="AC4529">
            <v>35.972473149999999</v>
          </cell>
          <cell r="AD4529">
            <v>34.837890629999997</v>
          </cell>
        </row>
        <row r="4530">
          <cell r="L4530" t="str">
            <v>دحباش</v>
          </cell>
          <cell r="M4530" t="str">
            <v>C5240</v>
          </cell>
          <cell r="AC4530">
            <v>35.959716800000002</v>
          </cell>
          <cell r="AD4530">
            <v>34.874694820000002</v>
          </cell>
        </row>
        <row r="4531">
          <cell r="L4531" t="str">
            <v>النقيب_قيب</v>
          </cell>
          <cell r="M4531" t="str">
            <v>C5241</v>
          </cell>
          <cell r="AC4531">
            <v>35.977294919999999</v>
          </cell>
          <cell r="AD4531">
            <v>34.856872559999999</v>
          </cell>
        </row>
        <row r="4532">
          <cell r="L4532" t="str">
            <v>سجنو_فرج</v>
          </cell>
          <cell r="M4532" t="str">
            <v>C5242</v>
          </cell>
          <cell r="AC4532">
            <v>36.039672850000002</v>
          </cell>
          <cell r="AD4532">
            <v>34.959716800000002</v>
          </cell>
        </row>
        <row r="4533">
          <cell r="L4533" t="str">
            <v>الهيشة</v>
          </cell>
          <cell r="M4533" t="str">
            <v>C5243</v>
          </cell>
          <cell r="AC4533">
            <v>35.933288570000002</v>
          </cell>
          <cell r="AD4533">
            <v>34.783081060000001</v>
          </cell>
        </row>
        <row r="4534">
          <cell r="L4534" t="str">
            <v>ساعين غربية</v>
          </cell>
          <cell r="M4534" t="str">
            <v>C5244</v>
          </cell>
          <cell r="AC4534">
            <v>35.953125</v>
          </cell>
          <cell r="AD4534">
            <v>34.888488770000002</v>
          </cell>
        </row>
        <row r="4535">
          <cell r="L4535" t="str">
            <v>الواسطات</v>
          </cell>
          <cell r="M4535" t="str">
            <v>C5245</v>
          </cell>
          <cell r="AC4535">
            <v>35.975891109999999</v>
          </cell>
          <cell r="AD4535">
            <v>34.899902339999997</v>
          </cell>
        </row>
        <row r="4536">
          <cell r="L4536" t="str">
            <v>شباط</v>
          </cell>
          <cell r="M4536" t="str">
            <v>C5246</v>
          </cell>
          <cell r="AC4536">
            <v>36.000305179999998</v>
          </cell>
          <cell r="AD4536">
            <v>34.897705080000001</v>
          </cell>
        </row>
        <row r="4537">
          <cell r="L4537" t="str">
            <v>المطاهرية</v>
          </cell>
          <cell r="M4537" t="str">
            <v>C5247</v>
          </cell>
          <cell r="AC4537">
            <v>35.955078129999997</v>
          </cell>
          <cell r="AD4537">
            <v>34.845703129999997</v>
          </cell>
        </row>
        <row r="4538">
          <cell r="L4538" t="str">
            <v>ضهر الشرفة</v>
          </cell>
          <cell r="M4538" t="str">
            <v>C5248</v>
          </cell>
          <cell r="AC4538">
            <v>35.958129880000001</v>
          </cell>
          <cell r="AD4538">
            <v>34.916076660000002</v>
          </cell>
        </row>
        <row r="4539">
          <cell r="L4539" t="str">
            <v>ضهر رجب</v>
          </cell>
          <cell r="M4539" t="str">
            <v>C5249</v>
          </cell>
          <cell r="AC4539">
            <v>36.004882809999998</v>
          </cell>
          <cell r="AD4539">
            <v>34.851501470000002</v>
          </cell>
        </row>
        <row r="4540">
          <cell r="L4540" t="str">
            <v>بحوى</v>
          </cell>
          <cell r="M4540" t="str">
            <v>C5250</v>
          </cell>
          <cell r="AC4540">
            <v>35.981079100000002</v>
          </cell>
          <cell r="AD4540">
            <v>34.86810303</v>
          </cell>
        </row>
        <row r="4541">
          <cell r="L4541" t="str">
            <v>بدرية</v>
          </cell>
          <cell r="M4541" t="str">
            <v>C5251</v>
          </cell>
          <cell r="AC4541">
            <v>35.96508789</v>
          </cell>
          <cell r="AD4541">
            <v>34.908081060000001</v>
          </cell>
        </row>
        <row r="4542">
          <cell r="L4542" t="str">
            <v>مازوغة_منهل</v>
          </cell>
          <cell r="M4542" t="str">
            <v>C5252</v>
          </cell>
          <cell r="AC4542">
            <v>36.026123050000002</v>
          </cell>
          <cell r="AD4542">
            <v>34.957702640000001</v>
          </cell>
        </row>
        <row r="4543">
          <cell r="L4543" t="str">
            <v>كفران_غفران</v>
          </cell>
          <cell r="M4543" t="str">
            <v>C5253</v>
          </cell>
          <cell r="AC4543">
            <v>36.03607178</v>
          </cell>
          <cell r="AD4543">
            <v>34.876098630000001</v>
          </cell>
        </row>
        <row r="4544">
          <cell r="L4544" t="str">
            <v>مكشيفاني</v>
          </cell>
          <cell r="M4544" t="str">
            <v>C5254</v>
          </cell>
          <cell r="AC4544">
            <v>35.98828125</v>
          </cell>
          <cell r="AD4544">
            <v>34.852905270000001</v>
          </cell>
        </row>
        <row r="4545">
          <cell r="L4545" t="str">
            <v>مرسحين</v>
          </cell>
          <cell r="M4545" t="str">
            <v>C5255</v>
          </cell>
          <cell r="AC4545">
            <v>35.993713380000003</v>
          </cell>
          <cell r="AD4545">
            <v>34.910278320000003</v>
          </cell>
        </row>
        <row r="4546">
          <cell r="L4546" t="str">
            <v>مجدلون البحر</v>
          </cell>
          <cell r="M4546" t="str">
            <v>C5256</v>
          </cell>
          <cell r="AC4546">
            <v>35.958679199999999</v>
          </cell>
          <cell r="AD4546">
            <v>34.83087158</v>
          </cell>
        </row>
        <row r="4547">
          <cell r="L4547" t="str">
            <v>أرواد</v>
          </cell>
          <cell r="M4547" t="str">
            <v>C5257</v>
          </cell>
          <cell r="AC4547">
            <v>35.85913086</v>
          </cell>
          <cell r="AD4547">
            <v>34.856506349999997</v>
          </cell>
        </row>
        <row r="4548">
          <cell r="L4548" t="str">
            <v>الخرابة</v>
          </cell>
          <cell r="M4548" t="str">
            <v>C5258</v>
          </cell>
          <cell r="AC4548">
            <v>35.96990967</v>
          </cell>
          <cell r="AD4548">
            <v>34.658691410000003</v>
          </cell>
        </row>
        <row r="4549">
          <cell r="L4549" t="str">
            <v>النورس</v>
          </cell>
          <cell r="M4549" t="str">
            <v>C5259</v>
          </cell>
          <cell r="AC4549">
            <v>35.932922359999999</v>
          </cell>
          <cell r="AD4549">
            <v>34.745117190000002</v>
          </cell>
        </row>
        <row r="4550">
          <cell r="L4550" t="str">
            <v>الزيادية_زبيدى</v>
          </cell>
          <cell r="M4550" t="str">
            <v>C5260</v>
          </cell>
          <cell r="AC4550">
            <v>35.960510249999999</v>
          </cell>
          <cell r="AD4550">
            <v>34.744689940000001</v>
          </cell>
        </row>
        <row r="4551">
          <cell r="L4551" t="str">
            <v>الدكيكة</v>
          </cell>
          <cell r="M4551" t="str">
            <v>C5261</v>
          </cell>
          <cell r="AC4551">
            <v>36.017272949999999</v>
          </cell>
          <cell r="AD4551">
            <v>34.677307130000003</v>
          </cell>
        </row>
        <row r="4552">
          <cell r="L4552" t="str">
            <v>الحميدية</v>
          </cell>
          <cell r="M4552" t="str">
            <v>C5262</v>
          </cell>
          <cell r="AC4552">
            <v>35.950500490000003</v>
          </cell>
          <cell r="AD4552">
            <v>34.702087400000003</v>
          </cell>
        </row>
        <row r="4553">
          <cell r="L4553" t="str">
            <v>البصيصة</v>
          </cell>
          <cell r="M4553" t="str">
            <v>C5263</v>
          </cell>
          <cell r="AC4553">
            <v>36.0255127</v>
          </cell>
          <cell r="AD4553">
            <v>34.664123539999999</v>
          </cell>
        </row>
        <row r="4554">
          <cell r="L4554" t="str">
            <v>عين الزرقـا_منطار</v>
          </cell>
          <cell r="M4554" t="str">
            <v>C5264</v>
          </cell>
          <cell r="AC4554">
            <v>35.935302729999997</v>
          </cell>
          <cell r="AD4554">
            <v>34.757690429999997</v>
          </cell>
        </row>
        <row r="4555">
          <cell r="L4555" t="str">
            <v>جويميسة</v>
          </cell>
          <cell r="M4555" t="str">
            <v>C5265</v>
          </cell>
          <cell r="AC4555">
            <v>35.997924810000001</v>
          </cell>
          <cell r="AD4555">
            <v>34.662109379999997</v>
          </cell>
        </row>
        <row r="4556">
          <cell r="L4556" t="str">
            <v>طيبة المهدي</v>
          </cell>
          <cell r="M4556" t="str">
            <v>C5266</v>
          </cell>
          <cell r="AC4556">
            <v>35.970703129999997</v>
          </cell>
          <cell r="AD4556">
            <v>34.742919919999999</v>
          </cell>
        </row>
        <row r="4557">
          <cell r="L4557" t="str">
            <v>زاهد</v>
          </cell>
          <cell r="M4557" t="str">
            <v>C5267</v>
          </cell>
          <cell r="AC4557">
            <v>36.006286619999997</v>
          </cell>
          <cell r="AD4557">
            <v>34.693298339999998</v>
          </cell>
        </row>
        <row r="4558">
          <cell r="L4558" t="str">
            <v>الجماسة</v>
          </cell>
          <cell r="M4558" t="str">
            <v>C5268</v>
          </cell>
          <cell r="AC4558">
            <v>35.982482910000002</v>
          </cell>
          <cell r="AD4558">
            <v>34.71850586</v>
          </cell>
        </row>
        <row r="4559">
          <cell r="L4559" t="str">
            <v>بني نعيم</v>
          </cell>
          <cell r="M4559" t="str">
            <v>C5269</v>
          </cell>
          <cell r="AC4559">
            <v>36.002502440000001</v>
          </cell>
          <cell r="AD4559">
            <v>34.648071289999997</v>
          </cell>
        </row>
        <row r="4560">
          <cell r="L4560" t="str">
            <v>الدنانير_دنيكره</v>
          </cell>
          <cell r="M4560" t="str">
            <v>C5270</v>
          </cell>
          <cell r="AC4560">
            <v>36.008300779999999</v>
          </cell>
          <cell r="AD4560">
            <v>34.776916499999999</v>
          </cell>
        </row>
        <row r="4561">
          <cell r="L4561" t="str">
            <v>سمكة</v>
          </cell>
          <cell r="M4561" t="str">
            <v>C5271</v>
          </cell>
          <cell r="AC4561">
            <v>36.009277339999997</v>
          </cell>
          <cell r="AD4561">
            <v>34.78491211</v>
          </cell>
        </row>
        <row r="4562">
          <cell r="L4562" t="str">
            <v>خربة المعزة</v>
          </cell>
          <cell r="M4562" t="str">
            <v>C5272</v>
          </cell>
          <cell r="AC4562">
            <v>35.99768066</v>
          </cell>
          <cell r="AD4562">
            <v>34.806701660000002</v>
          </cell>
        </row>
        <row r="4563">
          <cell r="L4563" t="str">
            <v>الزرقات</v>
          </cell>
          <cell r="M4563" t="str">
            <v>C5273</v>
          </cell>
          <cell r="AC4563">
            <v>35.971130369999997</v>
          </cell>
          <cell r="AD4563">
            <v>34.81848145</v>
          </cell>
        </row>
        <row r="4564">
          <cell r="L4564" t="str">
            <v>القبيبة</v>
          </cell>
          <cell r="M4564" t="str">
            <v>C5274</v>
          </cell>
          <cell r="AC4564">
            <v>35.961730959999997</v>
          </cell>
          <cell r="AD4564">
            <v>34.774902339999997</v>
          </cell>
        </row>
        <row r="4565">
          <cell r="L4565" t="str">
            <v>منية يحمور</v>
          </cell>
          <cell r="M4565" t="str">
            <v>C5275</v>
          </cell>
          <cell r="AC4565">
            <v>35.974487310000001</v>
          </cell>
          <cell r="AD4565">
            <v>34.82330322</v>
          </cell>
        </row>
        <row r="4566">
          <cell r="L4566" t="str">
            <v>يحمور</v>
          </cell>
          <cell r="M4566" t="str">
            <v>C5276</v>
          </cell>
          <cell r="AC4566">
            <v>35.96990967</v>
          </cell>
          <cell r="AD4566">
            <v>34.811279300000002</v>
          </cell>
        </row>
        <row r="4567">
          <cell r="L4567" t="str">
            <v>وقف الشيخ عياش</v>
          </cell>
          <cell r="M4567" t="str">
            <v>C5277</v>
          </cell>
          <cell r="AC4567">
            <v>35.999694820000002</v>
          </cell>
          <cell r="AD4567">
            <v>34.793518069999998</v>
          </cell>
        </row>
        <row r="4568">
          <cell r="L4568" t="str">
            <v>كرم بيرم_كروم</v>
          </cell>
          <cell r="M4568" t="str">
            <v>C5278</v>
          </cell>
          <cell r="AC4568">
            <v>35.994079589999998</v>
          </cell>
          <cell r="AD4568">
            <v>34.843322749999999</v>
          </cell>
        </row>
        <row r="4569">
          <cell r="L4569" t="str">
            <v>قلع اليازدية</v>
          </cell>
          <cell r="M4569" t="str">
            <v>C5279</v>
          </cell>
          <cell r="AC4569">
            <v>35.998474119999997</v>
          </cell>
          <cell r="AD4569">
            <v>34.832702640000001</v>
          </cell>
        </row>
        <row r="4570">
          <cell r="L4570" t="str">
            <v>ميعار شاكر</v>
          </cell>
          <cell r="M4570" t="str">
            <v>C5280</v>
          </cell>
          <cell r="AC4570">
            <v>36.005676270000002</v>
          </cell>
          <cell r="AD4570">
            <v>34.798522949999999</v>
          </cell>
        </row>
        <row r="4571">
          <cell r="L4571" t="str">
            <v>عبه</v>
          </cell>
          <cell r="M4571" t="str">
            <v>C5281</v>
          </cell>
          <cell r="AC4571">
            <v>35.901489259999998</v>
          </cell>
          <cell r="AD4571">
            <v>34.970275880000003</v>
          </cell>
        </row>
        <row r="4572">
          <cell r="L4572" t="str">
            <v>عقر زيتي</v>
          </cell>
          <cell r="M4572" t="str">
            <v>C5282</v>
          </cell>
          <cell r="AC4572">
            <v>36.007080080000001</v>
          </cell>
          <cell r="AD4572">
            <v>34.961914059999998</v>
          </cell>
        </row>
        <row r="4573">
          <cell r="L4573" t="str">
            <v>جديدة</v>
          </cell>
          <cell r="M4573" t="str">
            <v>C5283</v>
          </cell>
          <cell r="AC4573">
            <v>35.97888184</v>
          </cell>
          <cell r="AD4573">
            <v>34.977111819999998</v>
          </cell>
        </row>
        <row r="4574">
          <cell r="L4574" t="str">
            <v>دوير طه</v>
          </cell>
          <cell r="M4574" t="str">
            <v>C5284</v>
          </cell>
          <cell r="AC4574">
            <v>35.916870119999999</v>
          </cell>
          <cell r="AD4574">
            <v>34.970886229999998</v>
          </cell>
        </row>
        <row r="4575">
          <cell r="L4575" t="str">
            <v>بيت الحرف</v>
          </cell>
          <cell r="M4575" t="str">
            <v>C5285</v>
          </cell>
          <cell r="AC4575">
            <v>35.994079589999998</v>
          </cell>
          <cell r="AD4575">
            <v>35.014099119999997</v>
          </cell>
        </row>
        <row r="4576">
          <cell r="L4576" t="str">
            <v>عزيت</v>
          </cell>
          <cell r="M4576" t="str">
            <v>C5286</v>
          </cell>
          <cell r="AC4576">
            <v>35.951904300000002</v>
          </cell>
          <cell r="AD4576">
            <v>35.03491211</v>
          </cell>
        </row>
        <row r="4577">
          <cell r="L4577" t="str">
            <v>بيت سماق</v>
          </cell>
          <cell r="M4577" t="str">
            <v>C5287</v>
          </cell>
          <cell r="AC4577">
            <v>35.961486819999998</v>
          </cell>
          <cell r="AD4577">
            <v>34.995483399999998</v>
          </cell>
        </row>
        <row r="4578">
          <cell r="L4578" t="str">
            <v>العنازة</v>
          </cell>
          <cell r="M4578" t="str">
            <v>C5288</v>
          </cell>
          <cell r="AC4578">
            <v>35.970520020000002</v>
          </cell>
          <cell r="AD4578">
            <v>35.00549316</v>
          </cell>
        </row>
        <row r="4579">
          <cell r="L4579" t="str">
            <v>رأس الكتان</v>
          </cell>
          <cell r="M4579" t="str">
            <v>C5289</v>
          </cell>
          <cell r="AC4579">
            <v>35.970703129999997</v>
          </cell>
          <cell r="AD4579">
            <v>34.974670410000002</v>
          </cell>
        </row>
        <row r="4580">
          <cell r="L4580" t="str">
            <v>البريج</v>
          </cell>
          <cell r="M4580" t="str">
            <v>C5290</v>
          </cell>
          <cell r="AC4580">
            <v>35.956726070000002</v>
          </cell>
          <cell r="AD4580">
            <v>34.96209717</v>
          </cell>
        </row>
        <row r="4581">
          <cell r="L4581" t="str">
            <v>الرويسة</v>
          </cell>
          <cell r="M4581" t="str">
            <v>C5291</v>
          </cell>
          <cell r="AC4581">
            <v>35.904113770000002</v>
          </cell>
          <cell r="AD4581">
            <v>34.969299319999998</v>
          </cell>
        </row>
        <row r="4582">
          <cell r="L4582" t="str">
            <v>الملوعة</v>
          </cell>
          <cell r="M4582" t="str">
            <v>C5292</v>
          </cell>
          <cell r="AC4582">
            <v>36.007690429999997</v>
          </cell>
          <cell r="AD4582">
            <v>34.987670899999998</v>
          </cell>
        </row>
        <row r="4583">
          <cell r="L4583" t="str">
            <v>بعشتر</v>
          </cell>
          <cell r="M4583" t="str">
            <v>C5293</v>
          </cell>
          <cell r="AC4583">
            <v>35.929870610000002</v>
          </cell>
          <cell r="AD4583">
            <v>34.981689449999998</v>
          </cell>
        </row>
        <row r="4584">
          <cell r="L4584" t="str">
            <v>بحنين</v>
          </cell>
          <cell r="M4584" t="str">
            <v>C5294</v>
          </cell>
          <cell r="AC4584">
            <v>35.986877440000001</v>
          </cell>
          <cell r="AD4584">
            <v>34.996704100000002</v>
          </cell>
        </row>
        <row r="4585">
          <cell r="L4585" t="str">
            <v>البطيحية</v>
          </cell>
          <cell r="M4585" t="str">
            <v>C5295</v>
          </cell>
          <cell r="AC4585">
            <v>35.983093259999997</v>
          </cell>
          <cell r="AD4585">
            <v>34.965881349999997</v>
          </cell>
        </row>
        <row r="4586">
          <cell r="L4586" t="str">
            <v>ضهر مطر</v>
          </cell>
          <cell r="M4586" t="str">
            <v>C5296</v>
          </cell>
          <cell r="AC4586">
            <v>35.973510740000002</v>
          </cell>
          <cell r="AD4586">
            <v>34.985900880000003</v>
          </cell>
        </row>
        <row r="4587">
          <cell r="L4587" t="str">
            <v>الحنفية</v>
          </cell>
          <cell r="M4587" t="str">
            <v>C5297</v>
          </cell>
          <cell r="AC4587">
            <v>35.957092289999999</v>
          </cell>
          <cell r="AD4587">
            <v>35.013488770000002</v>
          </cell>
        </row>
        <row r="4588">
          <cell r="L4588" t="str">
            <v>بلاطة غربية</v>
          </cell>
          <cell r="M4588" t="str">
            <v>C5298</v>
          </cell>
          <cell r="AC4588">
            <v>35.906921390000001</v>
          </cell>
          <cell r="AD4588">
            <v>34.945495610000002</v>
          </cell>
        </row>
        <row r="4589">
          <cell r="L4589" t="str">
            <v>السودا</v>
          </cell>
          <cell r="M4589" t="str">
            <v>C5299</v>
          </cell>
          <cell r="AC4589">
            <v>35.94348145</v>
          </cell>
          <cell r="AD4589">
            <v>34.982299810000001</v>
          </cell>
        </row>
        <row r="4590">
          <cell r="L4590" t="str">
            <v>حصين البحر</v>
          </cell>
          <cell r="M4590" t="str">
            <v>C5300</v>
          </cell>
          <cell r="AC4590">
            <v>35.901916499999999</v>
          </cell>
          <cell r="AD4590">
            <v>34.982116699999999</v>
          </cell>
        </row>
        <row r="4591">
          <cell r="L4591" t="str">
            <v>صايا</v>
          </cell>
          <cell r="M4591" t="str">
            <v>C5301</v>
          </cell>
          <cell r="AC4591">
            <v>35.958129880000001</v>
          </cell>
          <cell r="AD4591">
            <v>35.05169678</v>
          </cell>
        </row>
        <row r="4592">
          <cell r="L4592" t="str">
            <v>بديرة</v>
          </cell>
          <cell r="M4592" t="str">
            <v>C5302</v>
          </cell>
          <cell r="AC4592">
            <v>35.939514160000002</v>
          </cell>
          <cell r="AD4592">
            <v>35.051086429999998</v>
          </cell>
        </row>
        <row r="4593">
          <cell r="L4593" t="str">
            <v>متن ابوريا</v>
          </cell>
          <cell r="M4593" t="str">
            <v>C5303</v>
          </cell>
          <cell r="AC4593">
            <v>35.935119630000003</v>
          </cell>
          <cell r="AD4593">
            <v>35.039123539999999</v>
          </cell>
        </row>
        <row r="4594">
          <cell r="L4594" t="str">
            <v>قلعة الخوابي</v>
          </cell>
          <cell r="M4594" t="str">
            <v>C5304</v>
          </cell>
          <cell r="AC4594">
            <v>36.004882809999998</v>
          </cell>
          <cell r="AD4594">
            <v>34.972717289999999</v>
          </cell>
        </row>
        <row r="4595">
          <cell r="L4595" t="str">
            <v>مرقية</v>
          </cell>
          <cell r="M4595" t="str">
            <v>C5305</v>
          </cell>
          <cell r="AC4595">
            <v>35.914672850000002</v>
          </cell>
          <cell r="AD4595">
            <v>35.03149414</v>
          </cell>
        </row>
        <row r="4596">
          <cell r="L4596" t="str">
            <v>متن الساحل</v>
          </cell>
          <cell r="M4596" t="str">
            <v>C5306</v>
          </cell>
          <cell r="AC4596">
            <v>35.921081540000003</v>
          </cell>
          <cell r="AD4596">
            <v>34.998107910000002</v>
          </cell>
        </row>
        <row r="4597">
          <cell r="L4597" t="str">
            <v>مزرعة الحنفية</v>
          </cell>
          <cell r="M4597" t="str">
            <v>C5307</v>
          </cell>
          <cell r="AC4597">
            <v>35.958129880000001</v>
          </cell>
          <cell r="AD4597">
            <v>35.010498050000002</v>
          </cell>
        </row>
        <row r="4598">
          <cell r="L4598" t="str">
            <v>زربليط</v>
          </cell>
          <cell r="M4598" t="str">
            <v>C5308</v>
          </cell>
          <cell r="AC4598">
            <v>36.112670899999998</v>
          </cell>
          <cell r="AD4598">
            <v>34.650085449999999</v>
          </cell>
        </row>
        <row r="4599">
          <cell r="L4599" t="str">
            <v>المدحلة</v>
          </cell>
          <cell r="M4599" t="str">
            <v>C5309</v>
          </cell>
          <cell r="AC4599">
            <v>36.117309570000003</v>
          </cell>
          <cell r="AD4599">
            <v>34.665893560000001</v>
          </cell>
        </row>
        <row r="4600">
          <cell r="L4600" t="str">
            <v>السودة</v>
          </cell>
          <cell r="M4600" t="str">
            <v>C5310</v>
          </cell>
          <cell r="AC4600">
            <v>36.052307130000003</v>
          </cell>
          <cell r="AD4600">
            <v>34.671875</v>
          </cell>
        </row>
        <row r="4601">
          <cell r="L4601" t="str">
            <v>القنيطرة</v>
          </cell>
          <cell r="M4601" t="str">
            <v>C5311</v>
          </cell>
          <cell r="AC4601">
            <v>36.084716800000002</v>
          </cell>
          <cell r="AD4601">
            <v>34.692687990000003</v>
          </cell>
        </row>
        <row r="4602">
          <cell r="L4602" t="str">
            <v>الحسنة</v>
          </cell>
          <cell r="M4602" t="str">
            <v>C5312</v>
          </cell>
          <cell r="AC4602">
            <v>36.083496089999997</v>
          </cell>
          <cell r="AD4602">
            <v>34.643920899999998</v>
          </cell>
        </row>
        <row r="4603">
          <cell r="L4603" t="str">
            <v>المشيرفة</v>
          </cell>
          <cell r="M4603" t="str">
            <v>C5313</v>
          </cell>
          <cell r="AC4603">
            <v>36.091308589999997</v>
          </cell>
          <cell r="AD4603">
            <v>34.6505127</v>
          </cell>
        </row>
        <row r="4604">
          <cell r="L4604" t="str">
            <v>الرنسية</v>
          </cell>
          <cell r="M4604" t="str">
            <v>C5314</v>
          </cell>
          <cell r="AC4604">
            <v>36.038696289999997</v>
          </cell>
          <cell r="AD4604">
            <v>34.649108890000001</v>
          </cell>
        </row>
        <row r="4605">
          <cell r="L4605" t="str">
            <v>ارزونة</v>
          </cell>
          <cell r="M4605" t="str">
            <v>C5315</v>
          </cell>
          <cell r="AC4605">
            <v>36.112487790000003</v>
          </cell>
          <cell r="AD4605">
            <v>34.686523440000002</v>
          </cell>
        </row>
        <row r="4606">
          <cell r="L4606" t="str">
            <v>خربة الاكراد</v>
          </cell>
          <cell r="M4606" t="str">
            <v>C5316</v>
          </cell>
          <cell r="AC4606">
            <v>36.050903320000003</v>
          </cell>
          <cell r="AD4606">
            <v>34.63787842</v>
          </cell>
        </row>
        <row r="4607">
          <cell r="L4607" t="str">
            <v>تلسنون</v>
          </cell>
          <cell r="M4607" t="str">
            <v>C5317</v>
          </cell>
          <cell r="AC4607">
            <v>36.099121089999997</v>
          </cell>
          <cell r="AD4607">
            <v>34.672485350000002</v>
          </cell>
        </row>
        <row r="4608">
          <cell r="L4608" t="str">
            <v>تلعدس</v>
          </cell>
          <cell r="M4608" t="str">
            <v>C5318</v>
          </cell>
          <cell r="AC4608">
            <v>36.075683589999997</v>
          </cell>
          <cell r="AD4608">
            <v>34.65209961</v>
          </cell>
        </row>
        <row r="4609">
          <cell r="L4609" t="str">
            <v>الكريمة</v>
          </cell>
          <cell r="M4609" t="str">
            <v>C5319</v>
          </cell>
          <cell r="AC4609">
            <v>36.075683589999997</v>
          </cell>
          <cell r="AD4609">
            <v>34.66888428</v>
          </cell>
        </row>
        <row r="4610">
          <cell r="L4610" t="str">
            <v>الصبوحية</v>
          </cell>
          <cell r="M4610" t="str">
            <v>C5320</v>
          </cell>
          <cell r="AC4610">
            <v>36.065673830000001</v>
          </cell>
          <cell r="AD4610">
            <v>34.714111330000001</v>
          </cell>
        </row>
        <row r="4611">
          <cell r="L4611" t="str">
            <v>ابولي_الخضراء</v>
          </cell>
          <cell r="M4611" t="str">
            <v>C5321</v>
          </cell>
          <cell r="AC4611">
            <v>36.067504880000001</v>
          </cell>
          <cell r="AD4611">
            <v>34.7520752</v>
          </cell>
        </row>
        <row r="4612">
          <cell r="L4612" t="str">
            <v>شاص</v>
          </cell>
          <cell r="M4612" t="str">
            <v>C5322</v>
          </cell>
          <cell r="AC4612">
            <v>36.055725099999997</v>
          </cell>
          <cell r="AD4612">
            <v>34.686523440000002</v>
          </cell>
        </row>
        <row r="4613">
          <cell r="L4613" t="str">
            <v>سمريان</v>
          </cell>
          <cell r="M4613" t="str">
            <v>C5323</v>
          </cell>
          <cell r="AC4613">
            <v>35.992675779999999</v>
          </cell>
          <cell r="AD4613">
            <v>34.748901369999999</v>
          </cell>
        </row>
        <row r="4614">
          <cell r="L4614" t="str">
            <v>الصفصافة</v>
          </cell>
          <cell r="M4614" t="str">
            <v>C5324</v>
          </cell>
          <cell r="AC4614">
            <v>36.05169678</v>
          </cell>
          <cell r="AD4614">
            <v>34.733703609999999</v>
          </cell>
        </row>
        <row r="4615">
          <cell r="L4615" t="str">
            <v>الحورة</v>
          </cell>
          <cell r="M4615" t="str">
            <v>C5325</v>
          </cell>
          <cell r="AC4615">
            <v>36.006530759999997</v>
          </cell>
          <cell r="AD4615">
            <v>34.766479490000002</v>
          </cell>
        </row>
        <row r="4616">
          <cell r="L4616" t="str">
            <v>التوانين</v>
          </cell>
          <cell r="M4616" t="str">
            <v>C5326</v>
          </cell>
          <cell r="AC4616">
            <v>36.05352783</v>
          </cell>
          <cell r="AD4616">
            <v>34.75549316</v>
          </cell>
        </row>
        <row r="4617">
          <cell r="L4617" t="str">
            <v>دير الحجر</v>
          </cell>
          <cell r="M4617" t="str">
            <v>C5327</v>
          </cell>
          <cell r="AC4617">
            <v>35.999511720000001</v>
          </cell>
          <cell r="AD4617">
            <v>34.722290039999997</v>
          </cell>
        </row>
        <row r="4618">
          <cell r="L4618" t="str">
            <v>الريحانية</v>
          </cell>
          <cell r="M4618" t="str">
            <v>C5328</v>
          </cell>
          <cell r="AC4618">
            <v>36.014892580000001</v>
          </cell>
          <cell r="AD4618">
            <v>34.716308589999997</v>
          </cell>
        </row>
        <row r="4619">
          <cell r="L4619" t="str">
            <v>بيت شوفان</v>
          </cell>
          <cell r="M4619" t="str">
            <v>C5329</v>
          </cell>
          <cell r="AC4619">
            <v>36.012329100000002</v>
          </cell>
          <cell r="AD4619">
            <v>34.7598877</v>
          </cell>
        </row>
        <row r="4620">
          <cell r="L4620" t="str">
            <v>بحوزى</v>
          </cell>
          <cell r="M4620" t="str">
            <v>C5330</v>
          </cell>
          <cell r="AC4620">
            <v>36.01287842</v>
          </cell>
          <cell r="AD4620">
            <v>34.752685550000002</v>
          </cell>
        </row>
        <row r="4621">
          <cell r="L4621" t="str">
            <v>العريمة</v>
          </cell>
          <cell r="M4621" t="str">
            <v>C5331</v>
          </cell>
          <cell r="AC4621">
            <v>36.04711914</v>
          </cell>
          <cell r="AD4621">
            <v>34.74310303</v>
          </cell>
        </row>
        <row r="4622">
          <cell r="L4622" t="str">
            <v>عين الزبدة</v>
          </cell>
          <cell r="M4622" t="str">
            <v>C5332</v>
          </cell>
          <cell r="AC4622">
            <v>36.06549072</v>
          </cell>
          <cell r="AD4622">
            <v>34.730285649999999</v>
          </cell>
        </row>
        <row r="4623">
          <cell r="L4623" t="str">
            <v>ضهر بشير</v>
          </cell>
          <cell r="M4623" t="str">
            <v>C5333</v>
          </cell>
          <cell r="AC4623">
            <v>36.07928467</v>
          </cell>
          <cell r="AD4623">
            <v>34.747497559999999</v>
          </cell>
        </row>
        <row r="4624">
          <cell r="L4624" t="str">
            <v>ناحوت</v>
          </cell>
          <cell r="M4624" t="str">
            <v>C5334</v>
          </cell>
          <cell r="AC4624">
            <v>36.079895020000002</v>
          </cell>
          <cell r="AD4624">
            <v>34.733703609999999</v>
          </cell>
        </row>
        <row r="4625">
          <cell r="L4625" t="str">
            <v>كفرفو</v>
          </cell>
          <cell r="M4625" t="str">
            <v>C5335</v>
          </cell>
          <cell r="AC4625">
            <v>36.084472660000003</v>
          </cell>
          <cell r="AD4625">
            <v>34.71392822</v>
          </cell>
        </row>
        <row r="4626">
          <cell r="L4626" t="str">
            <v>متن الصفصافة</v>
          </cell>
          <cell r="M4626" t="str">
            <v>C5336</v>
          </cell>
          <cell r="AC4626">
            <v>36.061706540000003</v>
          </cell>
          <cell r="AD4626">
            <v>34.731506349999997</v>
          </cell>
        </row>
        <row r="4627">
          <cell r="L4627" t="str">
            <v>فتاح ابولي_فتاح الخضراء</v>
          </cell>
          <cell r="M4627" t="str">
            <v>C5337</v>
          </cell>
          <cell r="AC4627">
            <v>36.06848145</v>
          </cell>
          <cell r="AD4627">
            <v>34.746276860000002</v>
          </cell>
        </row>
        <row r="4628">
          <cell r="L4628" t="str">
            <v>وادي الميس</v>
          </cell>
          <cell r="M4628" t="str">
            <v>C5338</v>
          </cell>
          <cell r="AC4628">
            <v>36.07788086</v>
          </cell>
          <cell r="AD4628">
            <v>34.725891109999999</v>
          </cell>
        </row>
        <row r="4629">
          <cell r="L4629" t="str">
            <v>بلوطية</v>
          </cell>
          <cell r="M4629" t="str">
            <v>C5339</v>
          </cell>
          <cell r="AC4629">
            <v>36.04412842</v>
          </cell>
          <cell r="AD4629">
            <v>35.183898929999998</v>
          </cell>
        </row>
        <row r="4630">
          <cell r="L4630" t="str">
            <v>علقين</v>
          </cell>
          <cell r="M4630" t="str">
            <v>C5340</v>
          </cell>
          <cell r="AC4630">
            <v>35.967285160000003</v>
          </cell>
          <cell r="AD4630">
            <v>35.14868164</v>
          </cell>
        </row>
        <row r="4631">
          <cell r="L4631" t="str">
            <v>بلغونس</v>
          </cell>
          <cell r="M4631" t="str">
            <v>C5341</v>
          </cell>
          <cell r="AC4631">
            <v>36.006713869999999</v>
          </cell>
          <cell r="AD4631">
            <v>35.217285160000003</v>
          </cell>
        </row>
        <row r="4632">
          <cell r="L4632" t="str">
            <v>المنزلة</v>
          </cell>
          <cell r="M4632" t="str">
            <v>C5342</v>
          </cell>
          <cell r="AC4632">
            <v>35.990722660000003</v>
          </cell>
          <cell r="AD4632">
            <v>35.196105959999997</v>
          </cell>
        </row>
        <row r="4633">
          <cell r="L4633" t="str">
            <v>البيضة</v>
          </cell>
          <cell r="M4633" t="str">
            <v>C5343</v>
          </cell>
          <cell r="AC4633">
            <v>35.94830322</v>
          </cell>
          <cell r="AD4633">
            <v>35.125488279999999</v>
          </cell>
        </row>
        <row r="4634">
          <cell r="L4634" t="str">
            <v>طيرو</v>
          </cell>
          <cell r="M4634" t="str">
            <v>C5344</v>
          </cell>
          <cell r="AC4634">
            <v>35.981079100000002</v>
          </cell>
          <cell r="AD4634">
            <v>35.19348145</v>
          </cell>
        </row>
        <row r="4635">
          <cell r="L4635" t="str">
            <v>بستان النجار</v>
          </cell>
          <cell r="M4635" t="str">
            <v>C5345</v>
          </cell>
          <cell r="AC4635">
            <v>35.952514649999998</v>
          </cell>
          <cell r="AD4635">
            <v>35.16290283</v>
          </cell>
        </row>
        <row r="4636">
          <cell r="L4636" t="str">
            <v>بساتين الأسد</v>
          </cell>
          <cell r="M4636" t="str">
            <v>C5346</v>
          </cell>
          <cell r="AC4636">
            <v>35.948120119999999</v>
          </cell>
          <cell r="AD4636">
            <v>35.137695309999998</v>
          </cell>
        </row>
        <row r="4637">
          <cell r="L4637" t="str">
            <v>القلوع</v>
          </cell>
          <cell r="M4637" t="str">
            <v>C5347</v>
          </cell>
          <cell r="AC4637">
            <v>35.948486330000001</v>
          </cell>
          <cell r="AD4637">
            <v>35.254272460000003</v>
          </cell>
        </row>
        <row r="4638">
          <cell r="L4638" t="str">
            <v>بديغان</v>
          </cell>
          <cell r="M4638" t="str">
            <v>C5348</v>
          </cell>
          <cell r="AC4638">
            <v>35.974487310000001</v>
          </cell>
          <cell r="AD4638">
            <v>35.131286619999997</v>
          </cell>
        </row>
        <row r="4639">
          <cell r="L4639" t="str">
            <v>ابتلة</v>
          </cell>
          <cell r="M4639" t="str">
            <v>C5349</v>
          </cell>
          <cell r="AC4639">
            <v>35.992675779999999</v>
          </cell>
          <cell r="AD4639">
            <v>35.221313479999999</v>
          </cell>
        </row>
        <row r="4640">
          <cell r="L4640" t="str">
            <v>حرف بنمرة</v>
          </cell>
          <cell r="M4640" t="str">
            <v>C5350</v>
          </cell>
          <cell r="AC4640">
            <v>35.994873050000002</v>
          </cell>
          <cell r="AD4640">
            <v>35.208923339999998</v>
          </cell>
        </row>
        <row r="4641">
          <cell r="L4641" t="str">
            <v>عنينيزه</v>
          </cell>
          <cell r="M4641" t="str">
            <v>C5351</v>
          </cell>
          <cell r="AC4641">
            <v>36.008300779999999</v>
          </cell>
          <cell r="AD4641">
            <v>35.168518069999998</v>
          </cell>
        </row>
        <row r="4642">
          <cell r="L4642" t="str">
            <v>حريصون_القاموع</v>
          </cell>
          <cell r="M4642" t="str">
            <v>C5352</v>
          </cell>
          <cell r="AC4642">
            <v>35.967712400000003</v>
          </cell>
          <cell r="AD4642">
            <v>35.233703609999999</v>
          </cell>
        </row>
        <row r="4643">
          <cell r="L4643" t="str">
            <v>زللو</v>
          </cell>
          <cell r="M4643" t="str">
            <v>C5353</v>
          </cell>
          <cell r="AC4643">
            <v>35.995117190000002</v>
          </cell>
          <cell r="AD4643">
            <v>35.199707029999999</v>
          </cell>
        </row>
        <row r="4644">
          <cell r="L4644" t="str">
            <v>جويبات</v>
          </cell>
          <cell r="M4644" t="str">
            <v>C5354</v>
          </cell>
          <cell r="AC4644">
            <v>36.039916990000002</v>
          </cell>
          <cell r="AD4644">
            <v>35.228515629999997</v>
          </cell>
        </row>
        <row r="4645">
          <cell r="L4645" t="str">
            <v>تعنيتا</v>
          </cell>
          <cell r="M4645" t="str">
            <v>C5355</v>
          </cell>
          <cell r="AC4645">
            <v>36.048278809999999</v>
          </cell>
          <cell r="AD4645">
            <v>35.107910160000003</v>
          </cell>
        </row>
        <row r="4646">
          <cell r="L4646" t="str">
            <v>خريبة</v>
          </cell>
          <cell r="M4646" t="str">
            <v>C5356</v>
          </cell>
          <cell r="AC4646">
            <v>35.973510740000002</v>
          </cell>
          <cell r="AD4646">
            <v>35.103088380000003</v>
          </cell>
        </row>
        <row r="4647">
          <cell r="L4647" t="str">
            <v>خربة كسيح</v>
          </cell>
          <cell r="M4647" t="str">
            <v>C5357</v>
          </cell>
          <cell r="AC4647">
            <v>36.070495610000002</v>
          </cell>
          <cell r="AD4647">
            <v>35.170898440000002</v>
          </cell>
        </row>
        <row r="4648">
          <cell r="L4648" t="str">
            <v>دير البشل</v>
          </cell>
          <cell r="M4648" t="str">
            <v>C5358</v>
          </cell>
          <cell r="AC4648">
            <v>35.984924319999998</v>
          </cell>
          <cell r="AD4648">
            <v>35.21392822</v>
          </cell>
        </row>
        <row r="4649">
          <cell r="L4649" t="str">
            <v>خربة سناسل</v>
          </cell>
          <cell r="M4649" t="str">
            <v>C5359</v>
          </cell>
          <cell r="AC4649">
            <v>35.968078609999999</v>
          </cell>
          <cell r="AD4649">
            <v>35.170898440000002</v>
          </cell>
        </row>
        <row r="4650">
          <cell r="L4650" t="str">
            <v>بانياس</v>
          </cell>
          <cell r="M4650" t="str">
            <v>C5360</v>
          </cell>
          <cell r="AC4650">
            <v>35.963500979999999</v>
          </cell>
          <cell r="AD4650">
            <v>35.198486330000001</v>
          </cell>
        </row>
        <row r="4651">
          <cell r="L4651" t="str">
            <v>ذوبه</v>
          </cell>
          <cell r="M4651" t="str">
            <v>C5361</v>
          </cell>
          <cell r="AC4651">
            <v>35.979492190000002</v>
          </cell>
          <cell r="AD4651">
            <v>35.122314449999998</v>
          </cell>
        </row>
        <row r="4652">
          <cell r="L4652" t="str">
            <v>عديمة</v>
          </cell>
          <cell r="M4652" t="str">
            <v>C5362</v>
          </cell>
          <cell r="AC4652">
            <v>35.940673830000001</v>
          </cell>
          <cell r="AD4652">
            <v>35.152282720000002</v>
          </cell>
        </row>
        <row r="4653">
          <cell r="L4653" t="str">
            <v>رأس الوطى</v>
          </cell>
          <cell r="M4653" t="str">
            <v>C5363</v>
          </cell>
          <cell r="AC4653">
            <v>35.974670410000002</v>
          </cell>
          <cell r="AD4653">
            <v>35.236083979999997</v>
          </cell>
        </row>
        <row r="4654">
          <cell r="L4654" t="str">
            <v>شافي روح</v>
          </cell>
          <cell r="M4654" t="str">
            <v>C5364</v>
          </cell>
          <cell r="AC4654">
            <v>36.031677250000001</v>
          </cell>
          <cell r="AD4654">
            <v>35.22631836</v>
          </cell>
        </row>
        <row r="4655">
          <cell r="L4655" t="str">
            <v>خراب بلدة</v>
          </cell>
          <cell r="M4655" t="str">
            <v>C5365</v>
          </cell>
          <cell r="AC4655">
            <v>35.925903320000003</v>
          </cell>
          <cell r="AD4655">
            <v>35.262329100000002</v>
          </cell>
        </row>
        <row r="4656">
          <cell r="L4656" t="str">
            <v>المزارع</v>
          </cell>
          <cell r="M4656" t="str">
            <v>C5366</v>
          </cell>
          <cell r="AC4656">
            <v>36.010925290000003</v>
          </cell>
          <cell r="AD4656">
            <v>35.22888184</v>
          </cell>
        </row>
        <row r="4657">
          <cell r="L4657" t="str">
            <v>بيت السخي</v>
          </cell>
          <cell r="M4657" t="str">
            <v>C5367</v>
          </cell>
          <cell r="AC4657">
            <v>35.99768066</v>
          </cell>
          <cell r="AD4657">
            <v>35.114074709999997</v>
          </cell>
        </row>
        <row r="4658">
          <cell r="L4658" t="str">
            <v>عصيبية</v>
          </cell>
          <cell r="M4658" t="str">
            <v>C5368</v>
          </cell>
          <cell r="AC4658">
            <v>35.98828125</v>
          </cell>
          <cell r="AD4658">
            <v>35.144103999999999</v>
          </cell>
        </row>
        <row r="4659">
          <cell r="L4659" t="str">
            <v>المرقب</v>
          </cell>
          <cell r="M4659" t="str">
            <v>C5369</v>
          </cell>
          <cell r="AC4659">
            <v>35.95611572</v>
          </cell>
          <cell r="AD4659">
            <v>35.156677250000001</v>
          </cell>
        </row>
        <row r="4660">
          <cell r="L4660" t="str">
            <v>بارمايا</v>
          </cell>
          <cell r="M4660" t="str">
            <v>C5370</v>
          </cell>
          <cell r="AC4660">
            <v>35.99609375</v>
          </cell>
          <cell r="AD4660">
            <v>35.178894040000003</v>
          </cell>
        </row>
        <row r="4661">
          <cell r="L4661" t="str">
            <v>كعيبة فارش</v>
          </cell>
          <cell r="M4661" t="str">
            <v>C5371</v>
          </cell>
          <cell r="AC4661">
            <v>36.022705080000001</v>
          </cell>
          <cell r="AD4661">
            <v>35.190673830000001</v>
          </cell>
        </row>
        <row r="4662">
          <cell r="L4662" t="str">
            <v>فارش كعبية</v>
          </cell>
          <cell r="M4662" t="str">
            <v>C5372</v>
          </cell>
          <cell r="AC4662">
            <v>36.000671390000001</v>
          </cell>
          <cell r="AD4662">
            <v>35.19049072</v>
          </cell>
        </row>
        <row r="4663">
          <cell r="L4663" t="str">
            <v>مرشتة</v>
          </cell>
          <cell r="M4663" t="str">
            <v>C5373</v>
          </cell>
          <cell r="AC4663">
            <v>36.060302729999997</v>
          </cell>
          <cell r="AD4663">
            <v>35.132324220000001</v>
          </cell>
        </row>
        <row r="4664">
          <cell r="L4664" t="str">
            <v>محورتة</v>
          </cell>
          <cell r="M4664" t="str">
            <v>C5374</v>
          </cell>
          <cell r="AC4664">
            <v>35.984924319999998</v>
          </cell>
          <cell r="AD4664">
            <v>35.241882320000002</v>
          </cell>
        </row>
        <row r="4665">
          <cell r="L4665" t="str">
            <v>الروضة</v>
          </cell>
          <cell r="M4665" t="str">
            <v>C5375</v>
          </cell>
          <cell r="AC4665">
            <v>35.913330080000001</v>
          </cell>
          <cell r="AD4665">
            <v>35.072326660000002</v>
          </cell>
        </row>
        <row r="4666">
          <cell r="L4666" t="str">
            <v>حيبو</v>
          </cell>
          <cell r="M4666" t="str">
            <v>C5376</v>
          </cell>
          <cell r="AC4666">
            <v>35.965881349999997</v>
          </cell>
          <cell r="AD4666">
            <v>35.089111330000001</v>
          </cell>
        </row>
        <row r="4667">
          <cell r="L4667" t="str">
            <v>الحريشة</v>
          </cell>
          <cell r="M4667" t="str">
            <v>C5377</v>
          </cell>
          <cell r="AC4667">
            <v>35.919494630000003</v>
          </cell>
          <cell r="AD4667">
            <v>35.079895020000002</v>
          </cell>
        </row>
        <row r="4668">
          <cell r="L4668" t="str">
            <v>المقعبرية</v>
          </cell>
          <cell r="M4668" t="str">
            <v>C5378</v>
          </cell>
          <cell r="AC4668">
            <v>35.929504399999999</v>
          </cell>
          <cell r="AD4668">
            <v>35.084899900000003</v>
          </cell>
        </row>
        <row r="4669">
          <cell r="L4669" t="str">
            <v>ضهر صفرا</v>
          </cell>
          <cell r="M4669" t="str">
            <v>C5379</v>
          </cell>
          <cell r="AC4669">
            <v>35.926879880000001</v>
          </cell>
          <cell r="AD4669">
            <v>35.07788086</v>
          </cell>
        </row>
        <row r="4670">
          <cell r="L4670" t="str">
            <v>الجنينة</v>
          </cell>
          <cell r="M4670" t="str">
            <v>C5380</v>
          </cell>
          <cell r="AC4670">
            <v>35.922912599999997</v>
          </cell>
          <cell r="AD4670">
            <v>35.083129880000001</v>
          </cell>
        </row>
        <row r="4671">
          <cell r="L4671" t="str">
            <v>ضهر مرقية</v>
          </cell>
          <cell r="M4671" t="str">
            <v>C5382</v>
          </cell>
          <cell r="AC4671">
            <v>35.909484859999999</v>
          </cell>
          <cell r="AD4671">
            <v>35.042114259999998</v>
          </cell>
        </row>
        <row r="4672">
          <cell r="L4672" t="str">
            <v>قرقفتي</v>
          </cell>
          <cell r="M4672" t="str">
            <v>C5383</v>
          </cell>
          <cell r="AC4672">
            <v>35.949096679999997</v>
          </cell>
          <cell r="AD4672">
            <v>35.072509770000003</v>
          </cell>
        </row>
        <row r="4673">
          <cell r="L4673" t="str">
            <v>الدردارة - بانياس</v>
          </cell>
          <cell r="M4673" t="str">
            <v>C5384</v>
          </cell>
          <cell r="AC4673">
            <v>36.113708500000001</v>
          </cell>
          <cell r="AD4673">
            <v>35.202697749999999</v>
          </cell>
        </row>
        <row r="4674">
          <cell r="L4674" t="str">
            <v>التون الجرد</v>
          </cell>
          <cell r="M4674" t="str">
            <v>C5385</v>
          </cell>
          <cell r="AC4674">
            <v>36.14611816</v>
          </cell>
          <cell r="AD4674">
            <v>35.190917970000001</v>
          </cell>
        </row>
        <row r="4675">
          <cell r="L4675" t="str">
            <v>شندخة</v>
          </cell>
          <cell r="M4675" t="str">
            <v>C5386</v>
          </cell>
          <cell r="AC4675">
            <v>36.183471679999997</v>
          </cell>
          <cell r="AD4675">
            <v>35.214904789999999</v>
          </cell>
        </row>
        <row r="4676">
          <cell r="L4676" t="str">
            <v>الغرزية</v>
          </cell>
          <cell r="M4676" t="str">
            <v>C5387</v>
          </cell>
          <cell r="AC4676">
            <v>36.038879399999999</v>
          </cell>
          <cell r="AD4676">
            <v>35.199279789999999</v>
          </cell>
        </row>
        <row r="4677">
          <cell r="L4677" t="str">
            <v>خربة السنديانة</v>
          </cell>
          <cell r="M4677" t="str">
            <v>C5388</v>
          </cell>
          <cell r="AC4677">
            <v>36.193908690000001</v>
          </cell>
          <cell r="AD4677">
            <v>35.226074220000001</v>
          </cell>
        </row>
        <row r="4678">
          <cell r="L4678" t="str">
            <v>بيت جاش</v>
          </cell>
          <cell r="M4678" t="str">
            <v>C5389</v>
          </cell>
          <cell r="AC4678">
            <v>36.21990967</v>
          </cell>
          <cell r="AD4678">
            <v>35.20587158</v>
          </cell>
        </row>
        <row r="4679">
          <cell r="L4679" t="str">
            <v>العنازة</v>
          </cell>
          <cell r="M4679" t="str">
            <v>C5390</v>
          </cell>
          <cell r="AC4679">
            <v>36.06848145</v>
          </cell>
          <cell r="AD4679">
            <v>35.195495610000002</v>
          </cell>
        </row>
        <row r="4680">
          <cell r="L4680" t="str">
            <v>بصرمون</v>
          </cell>
          <cell r="M4680" t="str">
            <v>C5391</v>
          </cell>
          <cell r="AC4680">
            <v>36.135681150000003</v>
          </cell>
          <cell r="AD4680">
            <v>35.21252441</v>
          </cell>
        </row>
        <row r="4681">
          <cell r="L4681" t="str">
            <v>العليقة</v>
          </cell>
          <cell r="M4681" t="str">
            <v>C5392</v>
          </cell>
          <cell r="AC4681">
            <v>36.124877929999997</v>
          </cell>
          <cell r="AD4681">
            <v>35.17669678</v>
          </cell>
        </row>
        <row r="4682">
          <cell r="L4682" t="str">
            <v>غنصله</v>
          </cell>
          <cell r="M4682" t="str">
            <v>C5393</v>
          </cell>
          <cell r="AC4682">
            <v>36.098876949999998</v>
          </cell>
          <cell r="AD4682">
            <v>35.168518069999998</v>
          </cell>
        </row>
        <row r="4683">
          <cell r="L4683" t="str">
            <v>جديدة</v>
          </cell>
          <cell r="M4683" t="str">
            <v>C5394</v>
          </cell>
          <cell r="AC4683">
            <v>36.175476070000002</v>
          </cell>
          <cell r="AD4683">
            <v>35.210083009999998</v>
          </cell>
        </row>
        <row r="4684">
          <cell r="L4684" t="str">
            <v>بستان الحمام</v>
          </cell>
          <cell r="M4684" t="str">
            <v>C5395</v>
          </cell>
          <cell r="AC4684">
            <v>36.0333252</v>
          </cell>
          <cell r="AD4684">
            <v>35.206298830000001</v>
          </cell>
        </row>
        <row r="4685">
          <cell r="L4685" t="str">
            <v>مرانة</v>
          </cell>
          <cell r="M4685" t="str">
            <v>C5396</v>
          </cell>
          <cell r="AC4685">
            <v>36.089294430000002</v>
          </cell>
          <cell r="AD4685">
            <v>35.213317869999997</v>
          </cell>
        </row>
        <row r="4686">
          <cell r="L4686" t="str">
            <v>مصيات</v>
          </cell>
          <cell r="M4686" t="str">
            <v>C5397</v>
          </cell>
          <cell r="AC4686">
            <v>36.220275880000003</v>
          </cell>
          <cell r="AD4686">
            <v>35.224121089999997</v>
          </cell>
        </row>
        <row r="4687">
          <cell r="L4687" t="str">
            <v>نعمو الجرد</v>
          </cell>
          <cell r="M4687" t="str">
            <v>C5398</v>
          </cell>
          <cell r="AC4687">
            <v>36.062683110000002</v>
          </cell>
          <cell r="AD4687">
            <v>35.219299319999998</v>
          </cell>
        </row>
        <row r="4688">
          <cell r="L4688" t="str">
            <v>وادي البركة</v>
          </cell>
          <cell r="M4688" t="str">
            <v>C5399</v>
          </cell>
          <cell r="AC4688">
            <v>36.110107419999999</v>
          </cell>
          <cell r="AD4688">
            <v>35.215881349999997</v>
          </cell>
        </row>
        <row r="4689">
          <cell r="L4689" t="str">
            <v>فروخية</v>
          </cell>
          <cell r="M4689" t="str">
            <v>C5400</v>
          </cell>
          <cell r="AC4689">
            <v>36.16290283</v>
          </cell>
          <cell r="AD4689">
            <v>35.196716309999999</v>
          </cell>
        </row>
        <row r="4690">
          <cell r="L4690" t="str">
            <v>نحل العنازة</v>
          </cell>
          <cell r="M4690" t="str">
            <v>C5401</v>
          </cell>
          <cell r="AC4690">
            <v>36.100097660000003</v>
          </cell>
          <cell r="AD4690">
            <v>35.19348145</v>
          </cell>
        </row>
        <row r="4691">
          <cell r="L4691" t="str">
            <v>جوفين</v>
          </cell>
          <cell r="M4691" t="str">
            <v>C5402</v>
          </cell>
          <cell r="AC4691">
            <v>36.13189697</v>
          </cell>
          <cell r="AD4691">
            <v>35.133300779999999</v>
          </cell>
        </row>
        <row r="4692">
          <cell r="L4692" t="str">
            <v>جماسة قبلية</v>
          </cell>
          <cell r="M4692" t="str">
            <v>C5403</v>
          </cell>
          <cell r="AC4692">
            <v>36.150878910000003</v>
          </cell>
          <cell r="AD4692">
            <v>35.047485350000002</v>
          </cell>
        </row>
        <row r="4693">
          <cell r="L4693" t="str">
            <v>القدموس</v>
          </cell>
          <cell r="M4693" t="str">
            <v>C5404</v>
          </cell>
          <cell r="AC4693">
            <v>36.14727783</v>
          </cell>
          <cell r="AD4693">
            <v>35.088317869999997</v>
          </cell>
        </row>
        <row r="4694">
          <cell r="L4694" t="str">
            <v>باب النور</v>
          </cell>
          <cell r="M4694" t="str">
            <v>C5405</v>
          </cell>
          <cell r="AC4694">
            <v>36.1270752</v>
          </cell>
          <cell r="AD4694">
            <v>35.159301759999998</v>
          </cell>
        </row>
        <row r="4695">
          <cell r="L4695" t="str">
            <v>السميحيقه</v>
          </cell>
          <cell r="M4695" t="str">
            <v>C5406</v>
          </cell>
          <cell r="AC4695">
            <v>36.092285160000003</v>
          </cell>
          <cell r="AD4695">
            <v>35.112915039999997</v>
          </cell>
        </row>
        <row r="4696">
          <cell r="L4696" t="str">
            <v>بسقاية</v>
          </cell>
          <cell r="M4696" t="str">
            <v>C5407</v>
          </cell>
          <cell r="AC4696">
            <v>36.165893560000001</v>
          </cell>
          <cell r="AD4696">
            <v>35.047729490000002</v>
          </cell>
        </row>
        <row r="4697">
          <cell r="L4697" t="str">
            <v>العلية</v>
          </cell>
          <cell r="M4697" t="str">
            <v>C5408</v>
          </cell>
          <cell r="AC4697">
            <v>36.070495610000002</v>
          </cell>
          <cell r="AD4697">
            <v>35.115478520000003</v>
          </cell>
        </row>
        <row r="4698">
          <cell r="L4698" t="str">
            <v>التناخة</v>
          </cell>
          <cell r="M4698" t="str">
            <v>C5409</v>
          </cell>
          <cell r="AC4698">
            <v>36.188903809999999</v>
          </cell>
          <cell r="AD4698">
            <v>35.103271479999997</v>
          </cell>
        </row>
        <row r="4699">
          <cell r="L4699" t="str">
            <v>القديمسة</v>
          </cell>
          <cell r="M4699" t="str">
            <v>C5410</v>
          </cell>
          <cell r="AC4699">
            <v>36.113891600000002</v>
          </cell>
          <cell r="AD4699">
            <v>35.10131836</v>
          </cell>
        </row>
        <row r="4700">
          <cell r="L4700" t="str">
            <v>السعدانة</v>
          </cell>
          <cell r="M4700" t="str">
            <v>C5411</v>
          </cell>
          <cell r="AC4700">
            <v>36.179504399999999</v>
          </cell>
          <cell r="AD4700">
            <v>35.096130369999997</v>
          </cell>
        </row>
        <row r="4701">
          <cell r="L4701" t="str">
            <v>خربة عامودي</v>
          </cell>
          <cell r="M4701" t="str">
            <v>C5412</v>
          </cell>
          <cell r="AC4701">
            <v>36.119689940000001</v>
          </cell>
          <cell r="AD4701">
            <v>35.064514160000002</v>
          </cell>
        </row>
        <row r="4702">
          <cell r="L4702" t="str">
            <v>السلورية</v>
          </cell>
          <cell r="M4702" t="str">
            <v>C5413</v>
          </cell>
          <cell r="AC4702">
            <v>36.216674810000001</v>
          </cell>
          <cell r="AD4702">
            <v>35.078125</v>
          </cell>
        </row>
        <row r="4703">
          <cell r="L4703" t="str">
            <v>الشعرة</v>
          </cell>
          <cell r="M4703" t="str">
            <v>C5414</v>
          </cell>
          <cell r="AC4703">
            <v>36.170104979999998</v>
          </cell>
          <cell r="AD4703">
            <v>35.063476559999998</v>
          </cell>
        </row>
        <row r="4704">
          <cell r="L4704" t="str">
            <v>الحطانية</v>
          </cell>
          <cell r="M4704" t="str">
            <v>C5415</v>
          </cell>
          <cell r="AC4704">
            <v>36.081726070000002</v>
          </cell>
          <cell r="AD4704">
            <v>35.141906740000003</v>
          </cell>
        </row>
        <row r="4705">
          <cell r="L4705" t="str">
            <v>العامودية</v>
          </cell>
          <cell r="M4705" t="str">
            <v>C5416</v>
          </cell>
          <cell r="AC4705">
            <v>36.089721679999997</v>
          </cell>
          <cell r="AD4705">
            <v>35.131286619999997</v>
          </cell>
        </row>
        <row r="4706">
          <cell r="L4706" t="str">
            <v>المقرمدة</v>
          </cell>
          <cell r="M4706" t="str">
            <v>C5417</v>
          </cell>
          <cell r="AC4706">
            <v>36.19232178</v>
          </cell>
          <cell r="AD4706">
            <v>35.083679199999999</v>
          </cell>
        </row>
        <row r="4707">
          <cell r="L4707" t="str">
            <v>الدويلية</v>
          </cell>
          <cell r="M4707" t="str">
            <v>C5418</v>
          </cell>
          <cell r="AC4707">
            <v>36.141906740000003</v>
          </cell>
          <cell r="AD4707">
            <v>35.126708979999997</v>
          </cell>
        </row>
        <row r="4708">
          <cell r="L4708" t="str">
            <v>الحاطرية</v>
          </cell>
          <cell r="M4708" t="str">
            <v>C5419</v>
          </cell>
          <cell r="AC4708">
            <v>36.214721679999997</v>
          </cell>
          <cell r="AD4708">
            <v>35.11328125</v>
          </cell>
        </row>
        <row r="4709">
          <cell r="L4709" t="str">
            <v>المنصورة</v>
          </cell>
          <cell r="M4709" t="str">
            <v>C5420</v>
          </cell>
          <cell r="AC4709">
            <v>36.120727539999997</v>
          </cell>
          <cell r="AD4709">
            <v>35.071105959999997</v>
          </cell>
        </row>
        <row r="4710">
          <cell r="L4710" t="str">
            <v>جارة الوادي</v>
          </cell>
          <cell r="M4710" t="str">
            <v>C5421</v>
          </cell>
          <cell r="AC4710">
            <v>36.11029053</v>
          </cell>
          <cell r="AD4710">
            <v>35.158081060000001</v>
          </cell>
        </row>
        <row r="4711">
          <cell r="L4711" t="str">
            <v>عين قضيب</v>
          </cell>
          <cell r="M4711" t="str">
            <v>C5422</v>
          </cell>
          <cell r="AC4711">
            <v>36.257324220000001</v>
          </cell>
          <cell r="AD4711">
            <v>35.083312990000003</v>
          </cell>
        </row>
        <row r="4712">
          <cell r="L4712" t="str">
            <v>وادي السقي</v>
          </cell>
          <cell r="M4712" t="str">
            <v>C5423</v>
          </cell>
          <cell r="AC4712">
            <v>36.086120610000002</v>
          </cell>
          <cell r="AD4712">
            <v>35.111877440000001</v>
          </cell>
        </row>
        <row r="4713">
          <cell r="L4713" t="str">
            <v>فنيتق</v>
          </cell>
          <cell r="M4713" t="str">
            <v>C5424</v>
          </cell>
          <cell r="AC4713">
            <v>36.114685059999999</v>
          </cell>
          <cell r="AD4713">
            <v>35.113708500000001</v>
          </cell>
        </row>
        <row r="4714">
          <cell r="L4714" t="str">
            <v>كرم التين</v>
          </cell>
          <cell r="M4714" t="str">
            <v>C5425</v>
          </cell>
          <cell r="AC4714">
            <v>36.09008789</v>
          </cell>
          <cell r="AD4714">
            <v>35.105102539999997</v>
          </cell>
        </row>
        <row r="4715">
          <cell r="L4715" t="str">
            <v>كاف الجاع</v>
          </cell>
          <cell r="M4715" t="str">
            <v>C5426</v>
          </cell>
          <cell r="AC4715">
            <v>36.220703129999997</v>
          </cell>
          <cell r="AD4715">
            <v>35.08892822</v>
          </cell>
        </row>
        <row r="4716">
          <cell r="L4716" t="str">
            <v>بيت عثمان</v>
          </cell>
          <cell r="M4716" t="str">
            <v>C5427</v>
          </cell>
          <cell r="AC4716">
            <v>36.016113279999999</v>
          </cell>
          <cell r="AD4716">
            <v>35.098876949999998</v>
          </cell>
        </row>
        <row r="4717">
          <cell r="L4717" t="str">
            <v>زهرة الجبل</v>
          </cell>
          <cell r="M4717" t="str">
            <v>C5428</v>
          </cell>
          <cell r="AC4717">
            <v>36.115478520000003</v>
          </cell>
          <cell r="AD4717">
            <v>35.085510249999999</v>
          </cell>
        </row>
        <row r="4718">
          <cell r="L4718" t="str">
            <v>الكريم</v>
          </cell>
          <cell r="M4718" t="str">
            <v>C5429</v>
          </cell>
          <cell r="AC4718">
            <v>36.045471190000001</v>
          </cell>
          <cell r="AD4718">
            <v>35.068115229999997</v>
          </cell>
        </row>
        <row r="4719">
          <cell r="L4719" t="str">
            <v>حمام واصل</v>
          </cell>
          <cell r="M4719" t="str">
            <v>C5430</v>
          </cell>
          <cell r="AC4719">
            <v>36.088317869999997</v>
          </cell>
          <cell r="AD4719">
            <v>35.075500490000003</v>
          </cell>
        </row>
        <row r="4720">
          <cell r="L4720" t="str">
            <v>جويتي</v>
          </cell>
          <cell r="M4720" t="str">
            <v>C5431</v>
          </cell>
          <cell r="AC4720">
            <v>36.070678710000003</v>
          </cell>
          <cell r="AD4720">
            <v>35.053710940000002</v>
          </cell>
        </row>
        <row r="4721">
          <cell r="L4721" t="str">
            <v>خربة القبو</v>
          </cell>
          <cell r="M4721" t="str">
            <v>C5432</v>
          </cell>
          <cell r="AC4721">
            <v>36.080505369999997</v>
          </cell>
          <cell r="AD4721">
            <v>35.098876949999998</v>
          </cell>
        </row>
        <row r="4722">
          <cell r="L4722" t="str">
            <v>باملاخا</v>
          </cell>
          <cell r="M4722" t="str">
            <v>C5433</v>
          </cell>
          <cell r="AC4722">
            <v>36.063476559999998</v>
          </cell>
          <cell r="AD4722">
            <v>35.074279789999999</v>
          </cell>
        </row>
        <row r="4723">
          <cell r="L4723" t="str">
            <v>المروية</v>
          </cell>
          <cell r="M4723" t="str">
            <v>C5435</v>
          </cell>
          <cell r="AC4723">
            <v>36.061096190000001</v>
          </cell>
          <cell r="AD4723">
            <v>35.059875490000003</v>
          </cell>
        </row>
        <row r="4724">
          <cell r="L4724" t="str">
            <v>التون القرق</v>
          </cell>
          <cell r="M4724" t="str">
            <v>C5436</v>
          </cell>
          <cell r="AC4724">
            <v>36.064880369999997</v>
          </cell>
          <cell r="AD4724">
            <v>35.092529300000002</v>
          </cell>
        </row>
        <row r="4725">
          <cell r="L4725" t="str">
            <v>بلعدر</v>
          </cell>
          <cell r="M4725" t="str">
            <v>C5437</v>
          </cell>
          <cell r="AC4725">
            <v>36.04711914</v>
          </cell>
          <cell r="AD4725">
            <v>35.085876470000002</v>
          </cell>
        </row>
        <row r="4726">
          <cell r="L4726" t="str">
            <v>نعمو الغربية</v>
          </cell>
          <cell r="M4726" t="str">
            <v>C5438</v>
          </cell>
          <cell r="AC4726">
            <v>36.033874509999997</v>
          </cell>
          <cell r="AD4726">
            <v>35.07971191</v>
          </cell>
        </row>
        <row r="4727">
          <cell r="L4727" t="str">
            <v>الطواحين</v>
          </cell>
          <cell r="M4727" t="str">
            <v>C5439</v>
          </cell>
          <cell r="AC4727">
            <v>36.211730959999997</v>
          </cell>
          <cell r="AD4727">
            <v>35.126281740000003</v>
          </cell>
        </row>
        <row r="4728">
          <cell r="L4728" t="str">
            <v>حدادة</v>
          </cell>
          <cell r="M4728" t="str">
            <v>C5440</v>
          </cell>
          <cell r="AC4728">
            <v>36.215698240000002</v>
          </cell>
          <cell r="AD4728">
            <v>35.149719240000003</v>
          </cell>
        </row>
        <row r="4729">
          <cell r="L4729" t="str">
            <v>بلوسين</v>
          </cell>
          <cell r="M4729" t="str">
            <v>C5441</v>
          </cell>
          <cell r="AC4729">
            <v>36.228088380000003</v>
          </cell>
          <cell r="AD4729">
            <v>35.197326660000002</v>
          </cell>
        </row>
        <row r="4730">
          <cell r="L4730" t="str">
            <v>الدي</v>
          </cell>
          <cell r="M4730" t="str">
            <v>C5442</v>
          </cell>
          <cell r="AC4730">
            <v>36.155700680000002</v>
          </cell>
          <cell r="AD4730">
            <v>35.149475099999997</v>
          </cell>
        </row>
        <row r="4731">
          <cell r="L4731" t="str">
            <v>النواطيف</v>
          </cell>
          <cell r="M4731" t="str">
            <v>C5443</v>
          </cell>
          <cell r="AC4731">
            <v>36.172302250000001</v>
          </cell>
          <cell r="AD4731">
            <v>35.151672359999999</v>
          </cell>
        </row>
        <row r="4732">
          <cell r="L4732" t="str">
            <v>دير الجرد</v>
          </cell>
          <cell r="M4732" t="str">
            <v>C5444</v>
          </cell>
          <cell r="AC4732">
            <v>36.214721679999997</v>
          </cell>
          <cell r="AD4732">
            <v>35.1875</v>
          </cell>
        </row>
        <row r="4733">
          <cell r="L4733" t="str">
            <v>رام ترزة</v>
          </cell>
          <cell r="M4733" t="str">
            <v>C5445</v>
          </cell>
          <cell r="AC4733">
            <v>36.219482419999999</v>
          </cell>
          <cell r="AD4733">
            <v>35.168518069999998</v>
          </cell>
        </row>
        <row r="4734">
          <cell r="L4734" t="str">
            <v>بدوقه</v>
          </cell>
          <cell r="M4734" t="str">
            <v>C5446</v>
          </cell>
          <cell r="AC4734">
            <v>36.202697749999999</v>
          </cell>
          <cell r="AD4734">
            <v>35.159484859999999</v>
          </cell>
        </row>
        <row r="4735">
          <cell r="L4735" t="str">
            <v>كعبية عمار</v>
          </cell>
          <cell r="M4735" t="str">
            <v>C5447</v>
          </cell>
          <cell r="AC4735">
            <v>36.150085449999999</v>
          </cell>
          <cell r="AD4735">
            <v>35.168090820000003</v>
          </cell>
        </row>
        <row r="4736">
          <cell r="L4736" t="str">
            <v>الشيباني</v>
          </cell>
          <cell r="M4736" t="str">
            <v>C5448</v>
          </cell>
          <cell r="AC4736">
            <v>36.049682619999999</v>
          </cell>
          <cell r="AD4736">
            <v>35.147094729999999</v>
          </cell>
        </row>
        <row r="4737">
          <cell r="L4737" t="str">
            <v>بلوزة - بانياس</v>
          </cell>
          <cell r="M4737" t="str">
            <v>C5449</v>
          </cell>
          <cell r="AC4737">
            <v>36.012512209999997</v>
          </cell>
          <cell r="AD4737">
            <v>35.156311039999999</v>
          </cell>
        </row>
        <row r="4738">
          <cell r="L4738" t="str">
            <v>تالين</v>
          </cell>
          <cell r="M4738" t="str">
            <v>C5450</v>
          </cell>
          <cell r="AC4738">
            <v>36.033691410000003</v>
          </cell>
          <cell r="AD4738">
            <v>35.148925779999999</v>
          </cell>
        </row>
        <row r="4739">
          <cell r="L4739" t="str">
            <v>اسقبله</v>
          </cell>
          <cell r="M4739" t="str">
            <v>C5451</v>
          </cell>
          <cell r="AC4739">
            <v>36.060485839999998</v>
          </cell>
          <cell r="AD4739">
            <v>35.163879399999999</v>
          </cell>
        </row>
        <row r="4740">
          <cell r="L4740" t="str">
            <v>كردية</v>
          </cell>
          <cell r="M4740" t="str">
            <v>C5452</v>
          </cell>
          <cell r="AC4740">
            <v>36.011291499999999</v>
          </cell>
          <cell r="AD4740">
            <v>35.149108890000001</v>
          </cell>
        </row>
        <row r="4741">
          <cell r="L4741" t="str">
            <v>بيت المرج</v>
          </cell>
          <cell r="M4741" t="str">
            <v>C5453</v>
          </cell>
          <cell r="AC4741">
            <v>36.204895020000002</v>
          </cell>
          <cell r="AD4741">
            <v>34.891723630000001</v>
          </cell>
        </row>
        <row r="4742">
          <cell r="L4742" t="str">
            <v>حكر عين الباردة</v>
          </cell>
          <cell r="M4742" t="str">
            <v>C5454</v>
          </cell>
          <cell r="AC4742">
            <v>36.180480959999997</v>
          </cell>
          <cell r="AD4742">
            <v>34.86212158</v>
          </cell>
        </row>
        <row r="4743">
          <cell r="L4743" t="str">
            <v>العديدة</v>
          </cell>
          <cell r="M4743" t="str">
            <v>C5455</v>
          </cell>
          <cell r="AC4743">
            <v>36.180480959999997</v>
          </cell>
          <cell r="AD4743">
            <v>34.855896000000001</v>
          </cell>
        </row>
        <row r="4744">
          <cell r="L4744" t="str">
            <v>بيت ناعسة</v>
          </cell>
          <cell r="M4744" t="str">
            <v>C5457</v>
          </cell>
          <cell r="AC4744">
            <v>36.109497070000003</v>
          </cell>
          <cell r="AD4744">
            <v>34.776916499999999</v>
          </cell>
        </row>
        <row r="4745">
          <cell r="L4745" t="str">
            <v>بلاطة مغيزل</v>
          </cell>
          <cell r="M4745" t="str">
            <v>C5458</v>
          </cell>
          <cell r="AC4745">
            <v>36.184692380000001</v>
          </cell>
          <cell r="AD4745">
            <v>34.845520020000002</v>
          </cell>
        </row>
        <row r="4746">
          <cell r="L4746" t="str">
            <v>جديدة عبد الله</v>
          </cell>
          <cell r="M4746" t="str">
            <v>C5459</v>
          </cell>
          <cell r="AC4746">
            <v>36.131530759999997</v>
          </cell>
          <cell r="AD4746">
            <v>34.868286130000001</v>
          </cell>
        </row>
        <row r="4747">
          <cell r="L4747" t="str">
            <v>الاكمة_كيمة</v>
          </cell>
          <cell r="M4747" t="str">
            <v>C5460</v>
          </cell>
          <cell r="AC4747">
            <v>36.1505127</v>
          </cell>
          <cell r="AD4747">
            <v>34.868713380000003</v>
          </cell>
        </row>
        <row r="4748">
          <cell r="L4748" t="str">
            <v>بيت عائشة</v>
          </cell>
          <cell r="M4748" t="str">
            <v>C5461</v>
          </cell>
          <cell r="AC4748">
            <v>36.139526369999999</v>
          </cell>
          <cell r="AD4748">
            <v>34.867675779999999</v>
          </cell>
        </row>
        <row r="4749">
          <cell r="L4749" t="str">
            <v>جورة الشنبور</v>
          </cell>
          <cell r="M4749" t="str">
            <v>C5462</v>
          </cell>
          <cell r="AC4749">
            <v>36.068298339999998</v>
          </cell>
          <cell r="AD4749">
            <v>34.79711914</v>
          </cell>
        </row>
        <row r="4750">
          <cell r="L4750" t="str">
            <v>بويضة السويقات</v>
          </cell>
          <cell r="M4750" t="str">
            <v>C5463</v>
          </cell>
          <cell r="AC4750">
            <v>36.0546875</v>
          </cell>
          <cell r="AD4750">
            <v>34.800109859999999</v>
          </cell>
        </row>
        <row r="4751">
          <cell r="L4751" t="str">
            <v>الشماميس</v>
          </cell>
          <cell r="M4751" t="str">
            <v>C5464</v>
          </cell>
          <cell r="AC4751">
            <v>36.172912599999997</v>
          </cell>
          <cell r="AD4751">
            <v>34.870300290000003</v>
          </cell>
        </row>
        <row r="4752">
          <cell r="L4752" t="str">
            <v>بيت طيون</v>
          </cell>
          <cell r="M4752" t="str">
            <v>C5465</v>
          </cell>
          <cell r="AC4752">
            <v>36.15350342</v>
          </cell>
          <cell r="AD4752">
            <v>34.860107419999999</v>
          </cell>
        </row>
        <row r="4753">
          <cell r="L4753" t="str">
            <v>الصومعة</v>
          </cell>
          <cell r="M4753" t="str">
            <v>C5466</v>
          </cell>
          <cell r="AC4753">
            <v>36.134277339999997</v>
          </cell>
          <cell r="AD4753">
            <v>34.856689449999998</v>
          </cell>
        </row>
        <row r="4754">
          <cell r="L4754" t="str">
            <v>بيت الشيخ يونس</v>
          </cell>
          <cell r="M4754" t="str">
            <v>C5467</v>
          </cell>
          <cell r="AC4754">
            <v>36.085876470000002</v>
          </cell>
          <cell r="AD4754">
            <v>34.798095699999998</v>
          </cell>
        </row>
        <row r="4755">
          <cell r="L4755" t="str">
            <v>تركب</v>
          </cell>
          <cell r="M4755" t="str">
            <v>C5468</v>
          </cell>
          <cell r="AC4755">
            <v>36.045104979999998</v>
          </cell>
          <cell r="AD4755">
            <v>34.772094729999999</v>
          </cell>
        </row>
        <row r="4756">
          <cell r="L4756" t="str">
            <v>الناعمة_كفريخة</v>
          </cell>
          <cell r="M4756" t="str">
            <v>C5469</v>
          </cell>
          <cell r="AC4756">
            <v>36.121887209999997</v>
          </cell>
          <cell r="AD4756">
            <v>34.847717289999999</v>
          </cell>
        </row>
        <row r="4757">
          <cell r="L4757" t="str">
            <v>زبرقان</v>
          </cell>
          <cell r="M4757" t="str">
            <v>C5470</v>
          </cell>
          <cell r="AC4757">
            <v>36.055480959999997</v>
          </cell>
          <cell r="AD4757">
            <v>34.771728520000003</v>
          </cell>
        </row>
        <row r="4758">
          <cell r="L4758" t="str">
            <v>سنديانة أوبين</v>
          </cell>
          <cell r="M4758" t="str">
            <v>C5471</v>
          </cell>
          <cell r="AC4758">
            <v>36.164916990000002</v>
          </cell>
          <cell r="AD4758">
            <v>34.856079100000002</v>
          </cell>
        </row>
        <row r="4759">
          <cell r="L4759" t="str">
            <v>صافيتا</v>
          </cell>
          <cell r="M4759" t="str">
            <v>C5472</v>
          </cell>
          <cell r="AC4759">
            <v>36.117126470000002</v>
          </cell>
          <cell r="AD4759">
            <v>34.820129399999999</v>
          </cell>
        </row>
        <row r="4760">
          <cell r="L4760" t="str">
            <v>ضهر اليازدية</v>
          </cell>
          <cell r="M4760" t="str">
            <v>C5473</v>
          </cell>
          <cell r="AC4760">
            <v>36.087890629999997</v>
          </cell>
          <cell r="AD4760">
            <v>34.784301759999998</v>
          </cell>
        </row>
        <row r="4761">
          <cell r="L4761" t="str">
            <v>الزويتيني</v>
          </cell>
          <cell r="M4761" t="str">
            <v>C5474</v>
          </cell>
          <cell r="AC4761">
            <v>36.042480470000001</v>
          </cell>
          <cell r="AD4761">
            <v>34.79388428</v>
          </cell>
        </row>
        <row r="4762">
          <cell r="L4762" t="str">
            <v>بشبطة_الدلبة</v>
          </cell>
          <cell r="M4762" t="str">
            <v>C5475</v>
          </cell>
          <cell r="AC4762">
            <v>36.026916499999999</v>
          </cell>
          <cell r="AD4762">
            <v>34.834472660000003</v>
          </cell>
        </row>
        <row r="4763">
          <cell r="L4763" t="str">
            <v>بشرائيل</v>
          </cell>
          <cell r="M4763" t="str">
            <v>C5476</v>
          </cell>
          <cell r="AC4763">
            <v>36.196105959999997</v>
          </cell>
          <cell r="AD4763">
            <v>34.85388184</v>
          </cell>
        </row>
        <row r="4764">
          <cell r="L4764" t="str">
            <v>النعاصات</v>
          </cell>
          <cell r="M4764" t="str">
            <v>C5477</v>
          </cell>
          <cell r="AC4764">
            <v>36.074523929999998</v>
          </cell>
          <cell r="AD4764">
            <v>34.81549072</v>
          </cell>
        </row>
        <row r="4765">
          <cell r="L4765" t="str">
            <v>السموقة</v>
          </cell>
          <cell r="M4765" t="str">
            <v>C5478</v>
          </cell>
          <cell r="AC4765">
            <v>36.209716800000002</v>
          </cell>
          <cell r="AD4765">
            <v>34.893127440000001</v>
          </cell>
        </row>
        <row r="4766">
          <cell r="L4766" t="str">
            <v>أم حوش</v>
          </cell>
          <cell r="M4766" t="str">
            <v>C5479</v>
          </cell>
          <cell r="AC4766">
            <v>36.125488279999999</v>
          </cell>
          <cell r="AD4766">
            <v>34.76470947</v>
          </cell>
        </row>
        <row r="4767">
          <cell r="L4767" t="str">
            <v>زوق بركات</v>
          </cell>
          <cell r="M4767" t="str">
            <v>C5480</v>
          </cell>
          <cell r="AC4767">
            <v>36.166870119999999</v>
          </cell>
          <cell r="AD4767">
            <v>34.828125</v>
          </cell>
        </row>
        <row r="4768">
          <cell r="L4768" t="str">
            <v>خربة أبو حمدان</v>
          </cell>
          <cell r="M4768" t="str">
            <v>C5481</v>
          </cell>
          <cell r="AC4768">
            <v>36.093322749999999</v>
          </cell>
          <cell r="AD4768">
            <v>34.789489750000001</v>
          </cell>
        </row>
        <row r="4769">
          <cell r="L4769" t="str">
            <v>المويسة</v>
          </cell>
          <cell r="M4769" t="str">
            <v>C5482</v>
          </cell>
          <cell r="AC4769">
            <v>36.055297850000002</v>
          </cell>
          <cell r="AD4769">
            <v>34.778686520000001</v>
          </cell>
        </row>
        <row r="4770">
          <cell r="L4770" t="str">
            <v>المآب - أوبين</v>
          </cell>
          <cell r="M4770" t="str">
            <v>C5483</v>
          </cell>
          <cell r="AC4770">
            <v>36.146728520000003</v>
          </cell>
          <cell r="AD4770">
            <v>34.839294430000002</v>
          </cell>
        </row>
        <row r="4771">
          <cell r="L4771" t="str">
            <v>عين الكبيرة - صافيتا</v>
          </cell>
          <cell r="M4771" t="str">
            <v>C5484</v>
          </cell>
          <cell r="AC4771">
            <v>36.212280270000001</v>
          </cell>
          <cell r="AD4771">
            <v>34.896728520000003</v>
          </cell>
        </row>
        <row r="4772">
          <cell r="L4772" t="str">
            <v>حنجور</v>
          </cell>
          <cell r="M4772" t="str">
            <v>C5485</v>
          </cell>
          <cell r="AC4772">
            <v>36.148071289999997</v>
          </cell>
          <cell r="AD4772">
            <v>34.814880369999997</v>
          </cell>
        </row>
        <row r="4773">
          <cell r="L4773" t="str">
            <v>بعمرة</v>
          </cell>
          <cell r="M4773" t="str">
            <v>C5486</v>
          </cell>
          <cell r="AC4773">
            <v>36.119873050000002</v>
          </cell>
          <cell r="AD4773">
            <v>34.788696289999997</v>
          </cell>
        </row>
        <row r="4774">
          <cell r="L4774" t="str">
            <v>عين حفاض</v>
          </cell>
          <cell r="M4774" t="str">
            <v>C5487</v>
          </cell>
          <cell r="AC4774">
            <v>36.103271479999997</v>
          </cell>
          <cell r="AD4774">
            <v>34.85571289</v>
          </cell>
        </row>
        <row r="4775">
          <cell r="L4775" t="str">
            <v>حكر مخيبر</v>
          </cell>
          <cell r="M4775" t="str">
            <v>C5488</v>
          </cell>
          <cell r="AC4775">
            <v>36.176330569999998</v>
          </cell>
          <cell r="AD4775">
            <v>34.851074220000001</v>
          </cell>
        </row>
        <row r="4776">
          <cell r="L4776" t="str">
            <v>دمقس_بمسقس</v>
          </cell>
          <cell r="M4776" t="str">
            <v>C5489</v>
          </cell>
          <cell r="AC4776">
            <v>36.061096190000001</v>
          </cell>
          <cell r="AD4776">
            <v>34.776672359999999</v>
          </cell>
        </row>
        <row r="4777">
          <cell r="L4777" t="str">
            <v>كفرون بدرة</v>
          </cell>
          <cell r="M4777" t="str">
            <v>C5490</v>
          </cell>
          <cell r="AC4777">
            <v>36.245727539999997</v>
          </cell>
          <cell r="AD4777">
            <v>34.84790039</v>
          </cell>
        </row>
        <row r="4778">
          <cell r="L4778" t="str">
            <v>كرم مغيزل</v>
          </cell>
          <cell r="M4778" t="str">
            <v>C5491</v>
          </cell>
          <cell r="AC4778">
            <v>36.139892580000001</v>
          </cell>
          <cell r="AD4778">
            <v>34.847106930000002</v>
          </cell>
        </row>
        <row r="4779">
          <cell r="L4779" t="str">
            <v>كنيسة صافيتا</v>
          </cell>
          <cell r="M4779" t="str">
            <v>C5492</v>
          </cell>
          <cell r="AC4779">
            <v>36.101928710000003</v>
          </cell>
          <cell r="AD4779">
            <v>34.796508789999997</v>
          </cell>
        </row>
        <row r="4780">
          <cell r="L4780" t="str">
            <v>نشير</v>
          </cell>
          <cell r="M4780" t="str">
            <v>C5493</v>
          </cell>
          <cell r="AC4780">
            <v>36.188110350000002</v>
          </cell>
          <cell r="AD4780">
            <v>34.881103520000003</v>
          </cell>
        </row>
        <row r="4781">
          <cell r="L4781" t="str">
            <v>فتاح نصار</v>
          </cell>
          <cell r="M4781" t="str">
            <v>C5494</v>
          </cell>
          <cell r="AC4781">
            <v>36.102111819999998</v>
          </cell>
          <cell r="AD4781">
            <v>34.865905759999997</v>
          </cell>
        </row>
        <row r="4782">
          <cell r="L4782" t="str">
            <v>يازدية حمدان</v>
          </cell>
          <cell r="M4782" t="str">
            <v>C5495</v>
          </cell>
          <cell r="AC4782">
            <v>36.081726070000002</v>
          </cell>
          <cell r="AD4782">
            <v>34.782104490000002</v>
          </cell>
        </row>
        <row r="4783">
          <cell r="L4783" t="str">
            <v>الكفرون</v>
          </cell>
          <cell r="M4783" t="str">
            <v>C5496</v>
          </cell>
          <cell r="AC4783">
            <v>36.239929199999999</v>
          </cell>
          <cell r="AD4783">
            <v>34.856872559999999</v>
          </cell>
        </row>
        <row r="4784">
          <cell r="L4784" t="str">
            <v>عين اللبني</v>
          </cell>
          <cell r="M4784" t="str">
            <v>C5497</v>
          </cell>
          <cell r="AC4784">
            <v>36.217895509999998</v>
          </cell>
          <cell r="AD4784">
            <v>34.878478999999999</v>
          </cell>
        </row>
        <row r="4785">
          <cell r="L4785" t="str">
            <v>البطار</v>
          </cell>
          <cell r="M4785" t="str">
            <v>C5498</v>
          </cell>
          <cell r="AC4785">
            <v>36.317871089999997</v>
          </cell>
          <cell r="AD4785">
            <v>34.873901369999999</v>
          </cell>
        </row>
        <row r="4786">
          <cell r="L4786" t="str">
            <v>عيناتا</v>
          </cell>
          <cell r="M4786" t="str">
            <v>C5499</v>
          </cell>
          <cell r="AC4786">
            <v>36.226074220000001</v>
          </cell>
          <cell r="AD4786">
            <v>34.884094240000003</v>
          </cell>
        </row>
        <row r="4787">
          <cell r="L4787" t="str">
            <v>بيت عركوش</v>
          </cell>
          <cell r="M4787" t="str">
            <v>C5500</v>
          </cell>
          <cell r="AC4787">
            <v>36.239074709999997</v>
          </cell>
          <cell r="AD4787">
            <v>34.876892089999998</v>
          </cell>
        </row>
        <row r="4788">
          <cell r="L4788" t="str">
            <v>حكر كابر</v>
          </cell>
          <cell r="M4788" t="str">
            <v>C5501</v>
          </cell>
          <cell r="AC4788">
            <v>36.205688479999999</v>
          </cell>
          <cell r="AD4788">
            <v>34.852905270000001</v>
          </cell>
        </row>
        <row r="4789">
          <cell r="L4789" t="str">
            <v>بقطو</v>
          </cell>
          <cell r="M4789" t="str">
            <v>C5502</v>
          </cell>
          <cell r="AC4789">
            <v>36.208312990000003</v>
          </cell>
          <cell r="AD4789">
            <v>34.844299319999998</v>
          </cell>
        </row>
        <row r="4790">
          <cell r="L4790" t="str">
            <v>حفة الموارنة</v>
          </cell>
          <cell r="M4790" t="str">
            <v>C5503</v>
          </cell>
          <cell r="AC4790">
            <v>36.218078609999999</v>
          </cell>
          <cell r="AD4790">
            <v>34.851501470000002</v>
          </cell>
        </row>
        <row r="4791">
          <cell r="L4791" t="str">
            <v>بصيرة</v>
          </cell>
          <cell r="M4791" t="str">
            <v>C5504</v>
          </cell>
          <cell r="AC4791">
            <v>36.281677250000001</v>
          </cell>
          <cell r="AD4791">
            <v>34.912109379999997</v>
          </cell>
        </row>
        <row r="4792">
          <cell r="L4792" t="str">
            <v>بسماقة</v>
          </cell>
          <cell r="M4792" t="str">
            <v>C5505</v>
          </cell>
          <cell r="AC4792">
            <v>36.203674319999998</v>
          </cell>
          <cell r="AD4792">
            <v>34.867492679999998</v>
          </cell>
        </row>
        <row r="4793">
          <cell r="L4793" t="str">
            <v>بصرصر</v>
          </cell>
          <cell r="M4793" t="str">
            <v>C5506</v>
          </cell>
          <cell r="AC4793">
            <v>36.219299319999998</v>
          </cell>
          <cell r="AD4793">
            <v>34.869873050000002</v>
          </cell>
        </row>
        <row r="4794">
          <cell r="L4794" t="str">
            <v>جنين</v>
          </cell>
          <cell r="M4794" t="str">
            <v>C5507</v>
          </cell>
          <cell r="AC4794">
            <v>36.252502440000001</v>
          </cell>
          <cell r="AD4794">
            <v>34.893127440000001</v>
          </cell>
        </row>
        <row r="4795">
          <cell r="L4795" t="str">
            <v>نبع كركر</v>
          </cell>
          <cell r="M4795" t="str">
            <v>C5508</v>
          </cell>
          <cell r="AC4795">
            <v>36.248474119999997</v>
          </cell>
          <cell r="AD4795">
            <v>34.843872070000003</v>
          </cell>
        </row>
        <row r="4796">
          <cell r="L4796" t="str">
            <v>مشتى الحلو</v>
          </cell>
          <cell r="M4796" t="str">
            <v>C5509</v>
          </cell>
          <cell r="AC4796">
            <v>36.253723149999999</v>
          </cell>
          <cell r="AD4796">
            <v>34.876281740000003</v>
          </cell>
        </row>
        <row r="4797">
          <cell r="L4797" t="str">
            <v>مليحة دوير الملوعة</v>
          </cell>
          <cell r="M4797" t="str">
            <v>C5510</v>
          </cell>
          <cell r="AC4797">
            <v>36.223083500000001</v>
          </cell>
          <cell r="AD4797">
            <v>34.843872070000003</v>
          </cell>
        </row>
        <row r="4798">
          <cell r="L4798" t="str">
            <v>وادي المجاوي</v>
          </cell>
          <cell r="M4798" t="str">
            <v>C5511</v>
          </cell>
          <cell r="AC4798">
            <v>36.222717289999999</v>
          </cell>
          <cell r="AD4798">
            <v>34.859924319999998</v>
          </cell>
        </row>
        <row r="4799">
          <cell r="L4799" t="str">
            <v>مهيري الموارنة</v>
          </cell>
          <cell r="M4799" t="str">
            <v>C5512</v>
          </cell>
          <cell r="AC4799">
            <v>36.25872803</v>
          </cell>
          <cell r="AD4799">
            <v>34.857727050000001</v>
          </cell>
        </row>
        <row r="4800">
          <cell r="L4800" t="str">
            <v>مهيرى الروم</v>
          </cell>
          <cell r="M4800" t="str">
            <v>C5513</v>
          </cell>
          <cell r="AC4800">
            <v>36.256286619999997</v>
          </cell>
          <cell r="AD4800">
            <v>34.860717770000001</v>
          </cell>
        </row>
        <row r="4801">
          <cell r="L4801" t="str">
            <v>كفرون حيدر</v>
          </cell>
          <cell r="M4801" t="str">
            <v>C5514</v>
          </cell>
          <cell r="AC4801">
            <v>36.242126470000002</v>
          </cell>
          <cell r="AD4801">
            <v>34.852111819999998</v>
          </cell>
        </row>
        <row r="4802">
          <cell r="L4802" t="str">
            <v>المجيدل - صافيتا</v>
          </cell>
          <cell r="M4802" t="str">
            <v>C5515</v>
          </cell>
          <cell r="AC4802">
            <v>36.198730470000001</v>
          </cell>
          <cell r="AD4802">
            <v>34.82189941</v>
          </cell>
        </row>
        <row r="4803">
          <cell r="L4803" t="str">
            <v>عين الصحن</v>
          </cell>
          <cell r="M4803" t="str">
            <v>C5516</v>
          </cell>
          <cell r="AC4803">
            <v>36.193908690000001</v>
          </cell>
          <cell r="AD4803">
            <v>34.800903320000003</v>
          </cell>
        </row>
        <row r="4804">
          <cell r="L4804" t="str">
            <v>البارقية</v>
          </cell>
          <cell r="M4804" t="str">
            <v>C5517</v>
          </cell>
          <cell r="AC4804">
            <v>36.229675290000003</v>
          </cell>
          <cell r="AD4804">
            <v>34.827270509999998</v>
          </cell>
        </row>
        <row r="4805">
          <cell r="L4805" t="str">
            <v>حابا</v>
          </cell>
          <cell r="M4805" t="str">
            <v>C5518</v>
          </cell>
          <cell r="AC4805">
            <v>36.205322270000003</v>
          </cell>
          <cell r="AD4805">
            <v>34.802490229999997</v>
          </cell>
        </row>
        <row r="4806">
          <cell r="L4806" t="str">
            <v>بساتين</v>
          </cell>
          <cell r="M4806" t="str">
            <v>C5519</v>
          </cell>
          <cell r="AC4806">
            <v>36.208312990000003</v>
          </cell>
          <cell r="AD4806">
            <v>34.831481930000002</v>
          </cell>
        </row>
        <row r="4807">
          <cell r="L4807" t="str">
            <v>جديدة حزور</v>
          </cell>
          <cell r="M4807" t="str">
            <v>C5520</v>
          </cell>
          <cell r="AC4807">
            <v>36.242126470000002</v>
          </cell>
          <cell r="AD4807">
            <v>34.813476559999998</v>
          </cell>
        </row>
        <row r="4808">
          <cell r="L4808" t="str">
            <v>الزعفرانة</v>
          </cell>
          <cell r="M4808" t="str">
            <v>C5521</v>
          </cell>
          <cell r="AC4808">
            <v>36.243286130000001</v>
          </cell>
          <cell r="AD4808">
            <v>34.800292970000001</v>
          </cell>
        </row>
        <row r="4809">
          <cell r="L4809" t="str">
            <v>قلعة نمرة</v>
          </cell>
          <cell r="M4809" t="str">
            <v>C5522</v>
          </cell>
          <cell r="AC4809">
            <v>36.23852539</v>
          </cell>
          <cell r="AD4809">
            <v>34.79711914</v>
          </cell>
        </row>
        <row r="4810">
          <cell r="L4810" t="str">
            <v>عين التينة</v>
          </cell>
          <cell r="M4810" t="str">
            <v>C5523</v>
          </cell>
          <cell r="AC4810">
            <v>36.223510740000002</v>
          </cell>
          <cell r="AD4810">
            <v>34.90209961</v>
          </cell>
        </row>
        <row r="4811">
          <cell r="L4811" t="str">
            <v>سبة</v>
          </cell>
          <cell r="M4811" t="str">
            <v>C5524</v>
          </cell>
          <cell r="AC4811">
            <v>36.237304690000002</v>
          </cell>
          <cell r="AD4811">
            <v>34.902526860000002</v>
          </cell>
        </row>
        <row r="4812">
          <cell r="L4812" t="str">
            <v>العروس_بتلعوس</v>
          </cell>
          <cell r="M4812" t="str">
            <v>C5525</v>
          </cell>
          <cell r="AC4812">
            <v>36.225097660000003</v>
          </cell>
          <cell r="AD4812">
            <v>34.913330080000001</v>
          </cell>
        </row>
        <row r="4813">
          <cell r="L4813" t="str">
            <v>جرينات</v>
          </cell>
          <cell r="M4813" t="str">
            <v>C5526</v>
          </cell>
          <cell r="AC4813">
            <v>36.237670899999998</v>
          </cell>
          <cell r="AD4813">
            <v>34.921508789999997</v>
          </cell>
        </row>
        <row r="4814">
          <cell r="L4814" t="str">
            <v>متبت</v>
          </cell>
          <cell r="M4814" t="str">
            <v>C5527</v>
          </cell>
          <cell r="AC4814">
            <v>36.218322749999999</v>
          </cell>
          <cell r="AD4814">
            <v>34.885925290000003</v>
          </cell>
        </row>
        <row r="4815">
          <cell r="L4815" t="str">
            <v>كفر جوايا</v>
          </cell>
          <cell r="M4815" t="str">
            <v>C5528</v>
          </cell>
          <cell r="AC4815">
            <v>36.249328609999999</v>
          </cell>
          <cell r="AD4815">
            <v>34.921081540000003</v>
          </cell>
        </row>
        <row r="4816">
          <cell r="L4816" t="str">
            <v>بيت أحمد ونوس</v>
          </cell>
          <cell r="M4816" t="str">
            <v>C5529</v>
          </cell>
          <cell r="AC4816">
            <v>36.13647461</v>
          </cell>
          <cell r="AD4816">
            <v>34.756530759999997</v>
          </cell>
        </row>
        <row r="4817">
          <cell r="L4817" t="str">
            <v>بعيت_الصافية</v>
          </cell>
          <cell r="M4817" t="str">
            <v>C5530</v>
          </cell>
          <cell r="AC4817">
            <v>36.211120610000002</v>
          </cell>
          <cell r="AD4817">
            <v>34.791870119999999</v>
          </cell>
        </row>
        <row r="4818">
          <cell r="L4818" t="str">
            <v>الهرمل</v>
          </cell>
          <cell r="M4818" t="str">
            <v>C5531</v>
          </cell>
          <cell r="AC4818">
            <v>36.095703129999997</v>
          </cell>
          <cell r="AD4818">
            <v>34.742919919999999</v>
          </cell>
        </row>
        <row r="4819">
          <cell r="L4819" t="str">
            <v>المعيصرات</v>
          </cell>
          <cell r="M4819" t="str">
            <v>C5532</v>
          </cell>
          <cell r="AC4819">
            <v>36.097717289999999</v>
          </cell>
          <cell r="AD4819">
            <v>34.757080080000001</v>
          </cell>
        </row>
        <row r="4820">
          <cell r="L4820" t="str">
            <v>المضافة_كفر ضيف</v>
          </cell>
          <cell r="M4820" t="str">
            <v>C5533</v>
          </cell>
          <cell r="AC4820">
            <v>36.175720220000002</v>
          </cell>
          <cell r="AD4820">
            <v>34.814697270000003</v>
          </cell>
        </row>
        <row r="4821">
          <cell r="L4821" t="str">
            <v>المتراس</v>
          </cell>
          <cell r="M4821" t="str">
            <v>C5534</v>
          </cell>
          <cell r="AC4821">
            <v>36.186889649999998</v>
          </cell>
          <cell r="AD4821">
            <v>34.777709960000003</v>
          </cell>
        </row>
        <row r="4822">
          <cell r="L4822" t="str">
            <v>تلترمس</v>
          </cell>
          <cell r="M4822" t="str">
            <v>C5535</v>
          </cell>
          <cell r="AC4822">
            <v>36.109924319999998</v>
          </cell>
          <cell r="AD4822">
            <v>34.714721679999997</v>
          </cell>
        </row>
        <row r="4823">
          <cell r="L4823" t="str">
            <v>تل وعاوع</v>
          </cell>
          <cell r="M4823" t="str">
            <v>C5536</v>
          </cell>
          <cell r="AC4823">
            <v>36.137695309999998</v>
          </cell>
          <cell r="AD4823">
            <v>34.701110839999998</v>
          </cell>
        </row>
        <row r="4824">
          <cell r="L4824" t="str">
            <v>حبرون</v>
          </cell>
          <cell r="M4824" t="str">
            <v>C5537</v>
          </cell>
          <cell r="AC4824">
            <v>36.119689940000001</v>
          </cell>
          <cell r="AD4824">
            <v>34.702514649999998</v>
          </cell>
        </row>
        <row r="4825">
          <cell r="L4825" t="str">
            <v>عين دابش</v>
          </cell>
          <cell r="M4825" t="str">
            <v>C5538</v>
          </cell>
          <cell r="AC4825">
            <v>36.161682130000003</v>
          </cell>
          <cell r="AD4825">
            <v>34.779724119999997</v>
          </cell>
        </row>
        <row r="4826">
          <cell r="L4826" t="str">
            <v>جب الأملس</v>
          </cell>
          <cell r="M4826" t="str">
            <v>C5539</v>
          </cell>
          <cell r="AC4826">
            <v>36.146484379999997</v>
          </cell>
          <cell r="AD4826">
            <v>34.747314449999998</v>
          </cell>
        </row>
        <row r="4827">
          <cell r="L4827" t="str">
            <v>حكر جب الأملس</v>
          </cell>
          <cell r="M4827" t="str">
            <v>C5540</v>
          </cell>
          <cell r="AC4827">
            <v>36.1427002</v>
          </cell>
          <cell r="AD4827">
            <v>34.75231934</v>
          </cell>
        </row>
        <row r="4828">
          <cell r="L4828" t="str">
            <v>تلة الخضر</v>
          </cell>
          <cell r="M4828" t="str">
            <v>C5541</v>
          </cell>
          <cell r="AC4828">
            <v>36.109313970000002</v>
          </cell>
          <cell r="AD4828">
            <v>34.729675290000003</v>
          </cell>
        </row>
        <row r="4829">
          <cell r="L4829" t="str">
            <v>دريكيش زريب</v>
          </cell>
          <cell r="M4829" t="str">
            <v>C5542</v>
          </cell>
          <cell r="AC4829">
            <v>36.1875</v>
          </cell>
          <cell r="AD4829">
            <v>34.808898929999998</v>
          </cell>
        </row>
        <row r="4830">
          <cell r="L4830" t="str">
            <v>دوير الطليعي</v>
          </cell>
          <cell r="M4830" t="str">
            <v>C5543</v>
          </cell>
          <cell r="AC4830">
            <v>36.08752441</v>
          </cell>
          <cell r="AD4830">
            <v>34.73828125</v>
          </cell>
        </row>
        <row r="4831">
          <cell r="L4831" t="str">
            <v>الطليعي</v>
          </cell>
          <cell r="M4831" t="str">
            <v>C5544</v>
          </cell>
          <cell r="AC4831">
            <v>36.107482910000002</v>
          </cell>
          <cell r="AD4831">
            <v>34.738891600000002</v>
          </cell>
        </row>
        <row r="4832">
          <cell r="L4832" t="str">
            <v>السيسنية</v>
          </cell>
          <cell r="M4832" t="str">
            <v>C5545</v>
          </cell>
          <cell r="AC4832">
            <v>36.144103999999999</v>
          </cell>
          <cell r="AD4832">
            <v>34.780517580000001</v>
          </cell>
        </row>
        <row r="4833">
          <cell r="L4833" t="str">
            <v>الدورة_بدادا</v>
          </cell>
          <cell r="M4833" t="str">
            <v>C5546</v>
          </cell>
          <cell r="AC4833">
            <v>36.163085940000002</v>
          </cell>
          <cell r="AD4833">
            <v>34.79388428</v>
          </cell>
        </row>
        <row r="4834">
          <cell r="L4834" t="str">
            <v>خربة الجب</v>
          </cell>
          <cell r="M4834" t="str">
            <v>C5547</v>
          </cell>
          <cell r="AC4834">
            <v>36.171508789999997</v>
          </cell>
          <cell r="AD4834">
            <v>34.769714360000002</v>
          </cell>
        </row>
        <row r="4835">
          <cell r="L4835" t="str">
            <v>ضهر شيحا</v>
          </cell>
          <cell r="M4835" t="str">
            <v>C5548</v>
          </cell>
          <cell r="AC4835">
            <v>36.076477050000001</v>
          </cell>
          <cell r="AD4835">
            <v>34.851684570000003</v>
          </cell>
        </row>
        <row r="4836">
          <cell r="L4836" t="str">
            <v>حكر الشيخ محمود</v>
          </cell>
          <cell r="M4836" t="str">
            <v>C5549</v>
          </cell>
          <cell r="AC4836">
            <v>36.022705080000001</v>
          </cell>
          <cell r="AD4836">
            <v>34.839111330000001</v>
          </cell>
        </row>
        <row r="4837">
          <cell r="L4837" t="str">
            <v>رأس مندو</v>
          </cell>
          <cell r="M4837" t="str">
            <v>C5550</v>
          </cell>
          <cell r="AC4837">
            <v>36.08709717</v>
          </cell>
          <cell r="AD4837">
            <v>34.841674810000001</v>
          </cell>
        </row>
        <row r="4838">
          <cell r="L4838" t="str">
            <v>رويسة حمدان</v>
          </cell>
          <cell r="M4838" t="str">
            <v>C5551</v>
          </cell>
          <cell r="AC4838">
            <v>36.073913570000002</v>
          </cell>
          <cell r="AD4838">
            <v>34.86627197</v>
          </cell>
        </row>
        <row r="4839">
          <cell r="L4839" t="str">
            <v>بونياح</v>
          </cell>
          <cell r="M4839" t="str">
            <v>C5552</v>
          </cell>
          <cell r="AC4839">
            <v>36.072875979999999</v>
          </cell>
          <cell r="AD4839">
            <v>34.832885740000002</v>
          </cell>
        </row>
        <row r="4840">
          <cell r="L4840" t="str">
            <v>البستان_سرسستان</v>
          </cell>
          <cell r="M4840" t="str">
            <v>C5553</v>
          </cell>
          <cell r="AC4840">
            <v>36.047302250000001</v>
          </cell>
          <cell r="AD4840">
            <v>34.85388184</v>
          </cell>
        </row>
        <row r="4841">
          <cell r="L4841" t="str">
            <v>السور_بسورم</v>
          </cell>
          <cell r="M4841" t="str">
            <v>C5554</v>
          </cell>
          <cell r="AC4841">
            <v>36.024902339999997</v>
          </cell>
          <cell r="AD4841">
            <v>34.86029053</v>
          </cell>
        </row>
        <row r="4842">
          <cell r="L4842" t="str">
            <v>رويسة الحايك</v>
          </cell>
          <cell r="M4842" t="str">
            <v>C5555</v>
          </cell>
          <cell r="AC4842">
            <v>36.06872559</v>
          </cell>
          <cell r="AD4842">
            <v>34.84490967</v>
          </cell>
        </row>
        <row r="4843">
          <cell r="L4843" t="str">
            <v>الجروية</v>
          </cell>
          <cell r="M4843" t="str">
            <v>C5556</v>
          </cell>
          <cell r="AC4843">
            <v>36.096679690000002</v>
          </cell>
          <cell r="AD4843">
            <v>34.848876949999998</v>
          </cell>
        </row>
        <row r="4844">
          <cell r="L4844" t="str">
            <v>رأس الخشوفة</v>
          </cell>
          <cell r="M4844" t="str">
            <v>C5557</v>
          </cell>
          <cell r="AC4844">
            <v>36.050476070000002</v>
          </cell>
          <cell r="AD4844">
            <v>34.827087400000003</v>
          </cell>
        </row>
        <row r="4845">
          <cell r="L4845" t="str">
            <v>بيت سلامي</v>
          </cell>
          <cell r="M4845" t="str">
            <v>C5558</v>
          </cell>
          <cell r="AC4845">
            <v>36.084289550000001</v>
          </cell>
          <cell r="AD4845">
            <v>34.853088380000003</v>
          </cell>
        </row>
        <row r="4846">
          <cell r="L4846" t="str">
            <v>الحداديات</v>
          </cell>
          <cell r="M4846" t="str">
            <v>C5559</v>
          </cell>
          <cell r="AC4846">
            <v>36.035888669999999</v>
          </cell>
          <cell r="AD4846">
            <v>34.845886229999998</v>
          </cell>
        </row>
        <row r="4847">
          <cell r="L4847" t="str">
            <v>الاسقف</v>
          </cell>
          <cell r="M4847" t="str">
            <v>C5560</v>
          </cell>
          <cell r="AC4847">
            <v>36.07147217</v>
          </cell>
          <cell r="AD4847">
            <v>34.857482910000002</v>
          </cell>
        </row>
        <row r="4848">
          <cell r="L4848" t="str">
            <v>مجد البستان_مجدلون</v>
          </cell>
          <cell r="M4848" t="str">
            <v>C5561</v>
          </cell>
          <cell r="AC4848">
            <v>36.057495119999999</v>
          </cell>
          <cell r="AD4848">
            <v>34.836303710000003</v>
          </cell>
        </row>
        <row r="4849">
          <cell r="L4849" t="str">
            <v>مشرفة كحلة</v>
          </cell>
          <cell r="M4849" t="str">
            <v>C5562</v>
          </cell>
          <cell r="AC4849">
            <v>36.059326169999999</v>
          </cell>
          <cell r="AD4849">
            <v>34.870483399999998</v>
          </cell>
        </row>
        <row r="4850">
          <cell r="L4850" t="str">
            <v>بحيصيص</v>
          </cell>
          <cell r="M4850" t="str">
            <v>C5563</v>
          </cell>
          <cell r="AC4850">
            <v>36.100097660000003</v>
          </cell>
          <cell r="AD4850">
            <v>34.946716309999999</v>
          </cell>
        </row>
        <row r="4851">
          <cell r="L4851" t="str">
            <v>عوينية</v>
          </cell>
          <cell r="M4851" t="str">
            <v>C5564</v>
          </cell>
          <cell r="AC4851">
            <v>36.184692380000001</v>
          </cell>
          <cell r="AD4851">
            <v>34.917297359999999</v>
          </cell>
        </row>
        <row r="4852">
          <cell r="L4852" t="str">
            <v>بقعو_البقعة</v>
          </cell>
          <cell r="M4852" t="str">
            <v>C5565</v>
          </cell>
          <cell r="AC4852">
            <v>36.073486330000001</v>
          </cell>
          <cell r="AD4852">
            <v>34.929077149999998</v>
          </cell>
        </row>
        <row r="4853">
          <cell r="L4853" t="str">
            <v>بيت يوسف</v>
          </cell>
          <cell r="M4853" t="str">
            <v>C5566</v>
          </cell>
          <cell r="AC4853">
            <v>36.203491210000003</v>
          </cell>
          <cell r="AD4853">
            <v>34.930480959999997</v>
          </cell>
        </row>
        <row r="4854">
          <cell r="L4854" t="str">
            <v>البريخية</v>
          </cell>
          <cell r="M4854" t="str">
            <v>C5567</v>
          </cell>
          <cell r="AC4854">
            <v>36.167480470000001</v>
          </cell>
          <cell r="AD4854">
            <v>34.925292970000001</v>
          </cell>
        </row>
        <row r="4855">
          <cell r="L4855" t="str">
            <v>حبسو_حرية</v>
          </cell>
          <cell r="M4855" t="str">
            <v>C5568</v>
          </cell>
          <cell r="AC4855">
            <v>36.061523440000002</v>
          </cell>
          <cell r="AD4855">
            <v>34.943908690000001</v>
          </cell>
        </row>
        <row r="4856">
          <cell r="L4856" t="str">
            <v>الزكية</v>
          </cell>
          <cell r="M4856" t="str">
            <v>C5569</v>
          </cell>
          <cell r="AC4856">
            <v>36.16430664</v>
          </cell>
          <cell r="AD4856">
            <v>34.945129399999999</v>
          </cell>
        </row>
        <row r="4857">
          <cell r="L4857" t="str">
            <v>عين الجاش</v>
          </cell>
          <cell r="M4857" t="str">
            <v>C5570</v>
          </cell>
          <cell r="AC4857">
            <v>36.149902339999997</v>
          </cell>
          <cell r="AD4857">
            <v>34.88372803</v>
          </cell>
        </row>
        <row r="4858">
          <cell r="L4858" t="str">
            <v>تفاحه</v>
          </cell>
          <cell r="M4858" t="str">
            <v>C5571</v>
          </cell>
          <cell r="AC4858">
            <v>36.090515140000001</v>
          </cell>
          <cell r="AD4858">
            <v>34.944519040000003</v>
          </cell>
        </row>
        <row r="4859">
          <cell r="L4859" t="str">
            <v>بيت شوهر</v>
          </cell>
          <cell r="M4859" t="str">
            <v>C5572</v>
          </cell>
          <cell r="AC4859">
            <v>36.206481930000002</v>
          </cell>
          <cell r="AD4859">
            <v>34.902282720000002</v>
          </cell>
        </row>
        <row r="4860">
          <cell r="L4860" t="str">
            <v>بيت شباط</v>
          </cell>
          <cell r="M4860" t="str">
            <v>C5573</v>
          </cell>
          <cell r="AC4860">
            <v>36.171875</v>
          </cell>
          <cell r="AD4860">
            <v>34.888671879999997</v>
          </cell>
        </row>
        <row r="4861">
          <cell r="L4861" t="str">
            <v>المراج</v>
          </cell>
          <cell r="M4861" t="str">
            <v>C5574</v>
          </cell>
          <cell r="AC4861">
            <v>36.182922359999999</v>
          </cell>
          <cell r="AD4861">
            <v>34.92810059</v>
          </cell>
        </row>
        <row r="4862">
          <cell r="L4862" t="str">
            <v>عين غليم</v>
          </cell>
          <cell r="M4862" t="str">
            <v>C5575</v>
          </cell>
          <cell r="AC4862">
            <v>36.164672850000002</v>
          </cell>
          <cell r="AD4862">
            <v>34.878478999999999</v>
          </cell>
        </row>
        <row r="4863">
          <cell r="L4863" t="str">
            <v>الشويهدات</v>
          </cell>
          <cell r="M4863" t="str">
            <v>C5576</v>
          </cell>
          <cell r="AC4863">
            <v>36.143127440000001</v>
          </cell>
          <cell r="AD4863">
            <v>34.876281740000003</v>
          </cell>
        </row>
        <row r="4864">
          <cell r="L4864" t="str">
            <v>حاموش رسلان</v>
          </cell>
          <cell r="M4864" t="str">
            <v>C5577</v>
          </cell>
          <cell r="AC4864">
            <v>36.16247559</v>
          </cell>
          <cell r="AD4864">
            <v>34.932495119999999</v>
          </cell>
        </row>
        <row r="4865">
          <cell r="L4865" t="str">
            <v>بيت الخطيب</v>
          </cell>
          <cell r="M4865" t="str">
            <v>C5578</v>
          </cell>
          <cell r="AC4865">
            <v>36.176330569999998</v>
          </cell>
          <cell r="AD4865">
            <v>34.892089839999997</v>
          </cell>
        </row>
        <row r="4866">
          <cell r="L4866" t="str">
            <v>بمحصر</v>
          </cell>
          <cell r="M4866" t="str">
            <v>C5579</v>
          </cell>
          <cell r="AC4866">
            <v>36.174072270000003</v>
          </cell>
          <cell r="AD4866">
            <v>34.944091800000002</v>
          </cell>
        </row>
        <row r="4867">
          <cell r="L4867" t="str">
            <v>بويضة مسلم</v>
          </cell>
          <cell r="M4867" t="str">
            <v>C5580</v>
          </cell>
          <cell r="AC4867">
            <v>36.181518560000001</v>
          </cell>
          <cell r="AD4867">
            <v>34.940673830000001</v>
          </cell>
        </row>
        <row r="4868">
          <cell r="L4868" t="str">
            <v>العفصونية</v>
          </cell>
          <cell r="M4868" t="str">
            <v>C5581</v>
          </cell>
          <cell r="AC4868">
            <v>36.094482419999999</v>
          </cell>
          <cell r="AD4868">
            <v>34.922912599999997</v>
          </cell>
        </row>
        <row r="4869">
          <cell r="L4869" t="str">
            <v>الجباب</v>
          </cell>
          <cell r="M4869" t="str">
            <v>C5582</v>
          </cell>
          <cell r="AC4869">
            <v>36.183105470000001</v>
          </cell>
          <cell r="AD4869">
            <v>34.899475099999997</v>
          </cell>
        </row>
        <row r="4870">
          <cell r="L4870" t="str">
            <v>جورة الشطبوش</v>
          </cell>
          <cell r="M4870" t="str">
            <v>C5583</v>
          </cell>
          <cell r="AC4870">
            <v>36.188110350000002</v>
          </cell>
          <cell r="AD4870">
            <v>34.888671879999997</v>
          </cell>
        </row>
        <row r="4871">
          <cell r="L4871" t="str">
            <v>دوير العوينية</v>
          </cell>
          <cell r="M4871" t="str">
            <v>C5584</v>
          </cell>
          <cell r="AC4871">
            <v>36.198120119999999</v>
          </cell>
          <cell r="AD4871">
            <v>34.92028809</v>
          </cell>
        </row>
        <row r="4872">
          <cell r="L4872" t="str">
            <v>سريغس_سراج</v>
          </cell>
          <cell r="M4872" t="str">
            <v>C5585</v>
          </cell>
          <cell r="AC4872">
            <v>36.183471679999997</v>
          </cell>
          <cell r="AD4872">
            <v>34.933471679999997</v>
          </cell>
        </row>
        <row r="4873">
          <cell r="L4873" t="str">
            <v>الدريكيش</v>
          </cell>
          <cell r="M4873" t="str">
            <v>C5586</v>
          </cell>
          <cell r="AC4873">
            <v>36.134277339999997</v>
          </cell>
          <cell r="AD4873">
            <v>34.896484379999997</v>
          </cell>
        </row>
        <row r="4874">
          <cell r="L4874" t="str">
            <v>كفر شاغر</v>
          </cell>
          <cell r="M4874" t="str">
            <v>C5587</v>
          </cell>
          <cell r="AC4874">
            <v>36.161499020000001</v>
          </cell>
          <cell r="AD4874">
            <v>34.885070800000001</v>
          </cell>
        </row>
        <row r="4875">
          <cell r="L4875" t="str">
            <v>الدويلية - الدريكيش</v>
          </cell>
          <cell r="M4875" t="str">
            <v>C5588</v>
          </cell>
          <cell r="AC4875">
            <v>36.167297359999999</v>
          </cell>
          <cell r="AD4875">
            <v>34.95428467</v>
          </cell>
        </row>
        <row r="4876">
          <cell r="L4876" t="str">
            <v>الدلبة - الدريكيش</v>
          </cell>
          <cell r="M4876" t="str">
            <v>C5589</v>
          </cell>
          <cell r="AC4876">
            <v>36.146301270000002</v>
          </cell>
          <cell r="AD4876">
            <v>34.92028809</v>
          </cell>
        </row>
        <row r="4877">
          <cell r="L4877" t="str">
            <v>عين الجاجة</v>
          </cell>
          <cell r="M4877" t="str">
            <v>C5590</v>
          </cell>
          <cell r="AC4877">
            <v>36.150085449999999</v>
          </cell>
          <cell r="AD4877">
            <v>34.939697270000003</v>
          </cell>
        </row>
        <row r="4878">
          <cell r="L4878" t="str">
            <v>زغرين_زغريد</v>
          </cell>
          <cell r="M4878" t="str">
            <v>C5591</v>
          </cell>
          <cell r="AC4878">
            <v>36.14727783</v>
          </cell>
          <cell r="AD4878">
            <v>34.947875979999999</v>
          </cell>
        </row>
        <row r="4879">
          <cell r="L4879" t="str">
            <v>جبل حمد</v>
          </cell>
          <cell r="M4879" t="str">
            <v>C5592</v>
          </cell>
          <cell r="AC4879">
            <v>36.139282229999999</v>
          </cell>
          <cell r="AD4879">
            <v>34.941284179999997</v>
          </cell>
        </row>
        <row r="4880">
          <cell r="L4880" t="str">
            <v>جنينة رسلان</v>
          </cell>
          <cell r="M4880" t="str">
            <v>C5593</v>
          </cell>
          <cell r="AC4880">
            <v>36.12268066</v>
          </cell>
          <cell r="AD4880">
            <v>34.926879880000001</v>
          </cell>
        </row>
        <row r="4881">
          <cell r="L4881" t="str">
            <v>حيربرفة</v>
          </cell>
          <cell r="M4881" t="str">
            <v>C5594</v>
          </cell>
          <cell r="AC4881">
            <v>36.145874020000001</v>
          </cell>
          <cell r="AD4881">
            <v>34.932495119999999</v>
          </cell>
        </row>
        <row r="4882">
          <cell r="L4882" t="str">
            <v>بشمس</v>
          </cell>
          <cell r="M4882" t="str">
            <v>C5595</v>
          </cell>
          <cell r="AC4882">
            <v>36.130920410000002</v>
          </cell>
          <cell r="AD4882">
            <v>34.97149658</v>
          </cell>
        </row>
        <row r="4883">
          <cell r="L4883" t="str">
            <v>الصفاصيف</v>
          </cell>
          <cell r="M4883" t="str">
            <v>C5596</v>
          </cell>
          <cell r="AC4883">
            <v>36.181091309999999</v>
          </cell>
          <cell r="AD4883">
            <v>34.961303710000003</v>
          </cell>
        </row>
        <row r="4884">
          <cell r="L4884" t="str">
            <v>كرفس</v>
          </cell>
          <cell r="M4884" t="str">
            <v>C5597</v>
          </cell>
          <cell r="AC4884">
            <v>36.12591553</v>
          </cell>
          <cell r="AD4884">
            <v>34.951477050000001</v>
          </cell>
        </row>
        <row r="4885">
          <cell r="L4885" t="str">
            <v>فجليت</v>
          </cell>
          <cell r="M4885" t="str">
            <v>C5598</v>
          </cell>
          <cell r="AC4885">
            <v>36.183288570000002</v>
          </cell>
          <cell r="AD4885">
            <v>34.976684570000003</v>
          </cell>
        </row>
        <row r="4886">
          <cell r="L4886" t="str">
            <v>قنية جروة</v>
          </cell>
          <cell r="M4886" t="str">
            <v>C5599</v>
          </cell>
          <cell r="AC4886">
            <v>36.155517580000001</v>
          </cell>
          <cell r="AD4886">
            <v>34.972290039999997</v>
          </cell>
        </row>
        <row r="4887">
          <cell r="L4887" t="str">
            <v>الجراص</v>
          </cell>
          <cell r="M4887" t="str">
            <v>C5600</v>
          </cell>
          <cell r="AC4887">
            <v>36.03747559</v>
          </cell>
          <cell r="AD4887">
            <v>34.91772461</v>
          </cell>
        </row>
        <row r="4888">
          <cell r="L4888" t="str">
            <v>جورة الجواميس</v>
          </cell>
          <cell r="M4888" t="str">
            <v>C5601</v>
          </cell>
          <cell r="AC4888">
            <v>36.080688479999999</v>
          </cell>
          <cell r="AD4888">
            <v>34.893127440000001</v>
          </cell>
        </row>
        <row r="4889">
          <cell r="L4889" t="str">
            <v>بيت الراهب</v>
          </cell>
          <cell r="M4889" t="str">
            <v>C5602</v>
          </cell>
          <cell r="AC4889">
            <v>36.067687990000003</v>
          </cell>
          <cell r="AD4889">
            <v>34.903320309999998</v>
          </cell>
        </row>
        <row r="4890">
          <cell r="L4890" t="str">
            <v>ضهر مطرو</v>
          </cell>
          <cell r="M4890" t="str">
            <v>C5603</v>
          </cell>
          <cell r="AC4890">
            <v>36.04412842</v>
          </cell>
          <cell r="AD4890">
            <v>34.889892580000001</v>
          </cell>
        </row>
        <row r="4891">
          <cell r="L4891" t="str">
            <v>الملاجة</v>
          </cell>
          <cell r="M4891" t="str">
            <v>C5604</v>
          </cell>
          <cell r="AC4891">
            <v>36.024291990000002</v>
          </cell>
          <cell r="AD4891">
            <v>34.899719240000003</v>
          </cell>
        </row>
        <row r="4892">
          <cell r="L4892" t="str">
            <v>حبابة</v>
          </cell>
          <cell r="M4892" t="str">
            <v>C5605</v>
          </cell>
          <cell r="AC4892">
            <v>36.027709960000003</v>
          </cell>
          <cell r="AD4892">
            <v>34.914916990000002</v>
          </cell>
        </row>
        <row r="4893">
          <cell r="L4893" t="str">
            <v>المصطبة</v>
          </cell>
          <cell r="M4893" t="str">
            <v>C5606</v>
          </cell>
          <cell r="AC4893">
            <v>36.018920899999998</v>
          </cell>
          <cell r="AD4893">
            <v>34.891479490000002</v>
          </cell>
        </row>
        <row r="4894">
          <cell r="L4894" t="str">
            <v>حمين</v>
          </cell>
          <cell r="M4894" t="str">
            <v>C5607</v>
          </cell>
          <cell r="AC4894">
            <v>36.040283199999998</v>
          </cell>
          <cell r="AD4894">
            <v>34.901123050000002</v>
          </cell>
        </row>
        <row r="4895">
          <cell r="L4895" t="str">
            <v>بستان الصوج</v>
          </cell>
          <cell r="M4895" t="str">
            <v>C5608</v>
          </cell>
          <cell r="AC4895">
            <v>36.209716800000002</v>
          </cell>
          <cell r="AD4895">
            <v>34.938293459999997</v>
          </cell>
        </row>
        <row r="4896">
          <cell r="L4896" t="str">
            <v>عين الذهب</v>
          </cell>
          <cell r="M4896" t="str">
            <v>C5609</v>
          </cell>
          <cell r="AC4896">
            <v>36.264892580000001</v>
          </cell>
          <cell r="AD4896">
            <v>34.936523440000002</v>
          </cell>
        </row>
        <row r="4897">
          <cell r="L4897" t="str">
            <v>دوير رسلان</v>
          </cell>
          <cell r="M4897" t="str">
            <v>C5610</v>
          </cell>
          <cell r="AC4897">
            <v>36.239501949999998</v>
          </cell>
          <cell r="AD4897">
            <v>34.963317869999997</v>
          </cell>
        </row>
        <row r="4898">
          <cell r="L4898" t="str">
            <v>ديرونة</v>
          </cell>
          <cell r="M4898" t="str">
            <v>C5611</v>
          </cell>
          <cell r="AC4898">
            <v>36.215698240000002</v>
          </cell>
          <cell r="AD4898">
            <v>34.9453125</v>
          </cell>
        </row>
        <row r="4899">
          <cell r="L4899" t="str">
            <v>بيت الوقاف</v>
          </cell>
          <cell r="M4899" t="str">
            <v>C5612</v>
          </cell>
          <cell r="AC4899">
            <v>36.249328609999999</v>
          </cell>
          <cell r="AD4899">
            <v>34.947692869999997</v>
          </cell>
        </row>
        <row r="4900">
          <cell r="L4900" t="str">
            <v>حيلاتا</v>
          </cell>
          <cell r="M4900" t="str">
            <v>C5613</v>
          </cell>
          <cell r="AC4900">
            <v>36.228515629999997</v>
          </cell>
          <cell r="AD4900">
            <v>34.947875979999999</v>
          </cell>
        </row>
        <row r="4901">
          <cell r="L4901" t="str">
            <v>بنمرة - الدريكيش</v>
          </cell>
          <cell r="M4901" t="str">
            <v>C5614</v>
          </cell>
          <cell r="AC4901">
            <v>36.220520020000002</v>
          </cell>
          <cell r="AD4901">
            <v>34.949523929999998</v>
          </cell>
        </row>
        <row r="4902">
          <cell r="L4902" t="str">
            <v>المعمورة</v>
          </cell>
          <cell r="M4902" t="str">
            <v>C5615</v>
          </cell>
          <cell r="AC4902">
            <v>36.222290039999997</v>
          </cell>
          <cell r="AD4902">
            <v>34.937683110000002</v>
          </cell>
        </row>
        <row r="4903">
          <cell r="L4903" t="str">
            <v>حميص</v>
          </cell>
          <cell r="M4903" t="str">
            <v>C5616</v>
          </cell>
          <cell r="AC4903">
            <v>36.202087400000003</v>
          </cell>
          <cell r="AD4903">
            <v>34.944274900000003</v>
          </cell>
        </row>
        <row r="4904">
          <cell r="L4904" t="str">
            <v>بجنة الجرد</v>
          </cell>
          <cell r="M4904" t="str">
            <v>C5617</v>
          </cell>
          <cell r="AC4904">
            <v>36.23828125</v>
          </cell>
          <cell r="AD4904">
            <v>34.937927250000001</v>
          </cell>
        </row>
        <row r="4905">
          <cell r="L4905" t="str">
            <v>عوينات</v>
          </cell>
          <cell r="M4905" t="str">
            <v>C5618</v>
          </cell>
          <cell r="AC4905">
            <v>36.179321289999997</v>
          </cell>
          <cell r="AD4905">
            <v>34.948486330000001</v>
          </cell>
        </row>
        <row r="4906">
          <cell r="L4906" t="str">
            <v>بمنه</v>
          </cell>
          <cell r="M4906" t="str">
            <v>C5619</v>
          </cell>
          <cell r="AC4906">
            <v>36.209716800000002</v>
          </cell>
          <cell r="AD4906">
            <v>34.957702640000001</v>
          </cell>
        </row>
        <row r="4907">
          <cell r="L4907" t="str">
            <v>قليعة</v>
          </cell>
          <cell r="M4907" t="str">
            <v>C5620</v>
          </cell>
          <cell r="AC4907">
            <v>36.259521479999997</v>
          </cell>
          <cell r="AD4907">
            <v>34.952697749999999</v>
          </cell>
        </row>
        <row r="4908">
          <cell r="L4908" t="str">
            <v>تنغري</v>
          </cell>
          <cell r="M4908" t="str">
            <v>C5621</v>
          </cell>
          <cell r="AC4908">
            <v>36.14752197</v>
          </cell>
          <cell r="AD4908">
            <v>35.002502440000001</v>
          </cell>
        </row>
        <row r="4909">
          <cell r="L4909" t="str">
            <v>بيت القلع</v>
          </cell>
          <cell r="M4909" t="str">
            <v>C5622</v>
          </cell>
          <cell r="AC4909">
            <v>35.983886720000001</v>
          </cell>
          <cell r="AD4909">
            <v>35.016479490000002</v>
          </cell>
        </row>
        <row r="4910">
          <cell r="L4910" t="str">
            <v>عين الكبير</v>
          </cell>
          <cell r="M4910" t="str">
            <v>C5623</v>
          </cell>
          <cell r="AC4910">
            <v>36.007690429999997</v>
          </cell>
          <cell r="AD4910">
            <v>35.009277339999997</v>
          </cell>
        </row>
        <row r="4911">
          <cell r="L4911" t="str">
            <v>تاجية</v>
          </cell>
          <cell r="M4911" t="str">
            <v>C5624</v>
          </cell>
          <cell r="AC4911">
            <v>35.980896000000001</v>
          </cell>
          <cell r="AD4911">
            <v>35.00689697</v>
          </cell>
        </row>
        <row r="4912">
          <cell r="L4912" t="str">
            <v>المجيدل</v>
          </cell>
          <cell r="M4912" t="str">
            <v>C5625</v>
          </cell>
          <cell r="AC4912">
            <v>36.12268066</v>
          </cell>
          <cell r="AD4912">
            <v>35.016296390000001</v>
          </cell>
        </row>
        <row r="4913">
          <cell r="L4913" t="str">
            <v>بوردة</v>
          </cell>
          <cell r="M4913" t="str">
            <v>C5626</v>
          </cell>
          <cell r="AC4913">
            <v>36.100891109999999</v>
          </cell>
          <cell r="AD4913">
            <v>34.957885740000002</v>
          </cell>
        </row>
        <row r="4914">
          <cell r="L4914" t="str">
            <v>عسلية</v>
          </cell>
          <cell r="M4914" t="str">
            <v>C5627</v>
          </cell>
          <cell r="AC4914">
            <v>36.017883300000001</v>
          </cell>
          <cell r="AD4914">
            <v>35.00689697</v>
          </cell>
        </row>
        <row r="4915">
          <cell r="L4915" t="str">
            <v>النيحا</v>
          </cell>
          <cell r="M4915" t="str">
            <v>C5628</v>
          </cell>
          <cell r="AC4915">
            <v>36.137084960000003</v>
          </cell>
          <cell r="AD4915">
            <v>35.001525880000003</v>
          </cell>
        </row>
        <row r="4916">
          <cell r="L4916" t="str">
            <v>بنجارة</v>
          </cell>
          <cell r="M4916" t="str">
            <v>C5629</v>
          </cell>
          <cell r="AC4916">
            <v>36.13970947</v>
          </cell>
          <cell r="AD4916">
            <v>35.011291499999999</v>
          </cell>
        </row>
        <row r="4917">
          <cell r="L4917" t="str">
            <v>سريجس</v>
          </cell>
          <cell r="M4917" t="str">
            <v>C5630</v>
          </cell>
          <cell r="AC4917">
            <v>36.010070800000001</v>
          </cell>
          <cell r="AD4917">
            <v>35.084289550000001</v>
          </cell>
        </row>
        <row r="4918">
          <cell r="L4918" t="str">
            <v>الوردية</v>
          </cell>
          <cell r="M4918" t="str">
            <v>C5631</v>
          </cell>
          <cell r="AC4918">
            <v>36.051330569999998</v>
          </cell>
          <cell r="AD4918">
            <v>35.01171875</v>
          </cell>
        </row>
        <row r="4919">
          <cell r="L4919" t="str">
            <v>زريقة</v>
          </cell>
          <cell r="M4919" t="str">
            <v>C5632</v>
          </cell>
          <cell r="AC4919">
            <v>36.086914059999998</v>
          </cell>
          <cell r="AD4919">
            <v>35.036499020000001</v>
          </cell>
        </row>
        <row r="4920">
          <cell r="L4920" t="str">
            <v>بغمليخ_الغمامة</v>
          </cell>
          <cell r="M4920" t="str">
            <v>C5633</v>
          </cell>
          <cell r="AC4920">
            <v>36.091491699999999</v>
          </cell>
          <cell r="AD4920">
            <v>34.95727539</v>
          </cell>
        </row>
        <row r="4921">
          <cell r="L4921" t="str">
            <v>بعزرائيل</v>
          </cell>
          <cell r="M4921" t="str">
            <v>C5634</v>
          </cell>
          <cell r="AC4921">
            <v>36.003478999999999</v>
          </cell>
          <cell r="AD4921">
            <v>34.997924810000001</v>
          </cell>
        </row>
        <row r="4922">
          <cell r="L4922" t="str">
            <v>بطحانيه</v>
          </cell>
          <cell r="M4922" t="str">
            <v>C5635</v>
          </cell>
          <cell r="AC4922">
            <v>35.97930908</v>
          </cell>
          <cell r="AD4922">
            <v>35.024719240000003</v>
          </cell>
        </row>
        <row r="4923">
          <cell r="L4923" t="str">
            <v>دبيبية</v>
          </cell>
          <cell r="M4923" t="str">
            <v>C5636</v>
          </cell>
          <cell r="AC4923">
            <v>36.010681150000003</v>
          </cell>
          <cell r="AD4923">
            <v>35.018493650000003</v>
          </cell>
        </row>
        <row r="4924">
          <cell r="L4924" t="str">
            <v>النمرية</v>
          </cell>
          <cell r="M4924" t="str">
            <v>C5637</v>
          </cell>
          <cell r="AC4924">
            <v>36.026123050000002</v>
          </cell>
          <cell r="AD4924">
            <v>35.015502929999997</v>
          </cell>
        </row>
        <row r="4925">
          <cell r="L4925" t="str">
            <v>الشيخ بدر</v>
          </cell>
          <cell r="M4925" t="str">
            <v>C5638</v>
          </cell>
          <cell r="AC4925">
            <v>36.083312990000003</v>
          </cell>
          <cell r="AD4925">
            <v>34.990905759999997</v>
          </cell>
        </row>
        <row r="4926">
          <cell r="L4926" t="str">
            <v>القليعات</v>
          </cell>
          <cell r="M4926" t="str">
            <v>C5639</v>
          </cell>
          <cell r="AC4926">
            <v>36.083312990000003</v>
          </cell>
          <cell r="AD4926">
            <v>34.968078609999999</v>
          </cell>
        </row>
        <row r="4927">
          <cell r="L4927" t="str">
            <v>كوكب الهوى</v>
          </cell>
          <cell r="M4927" t="str">
            <v>C5640</v>
          </cell>
          <cell r="AC4927">
            <v>36.044311520000001</v>
          </cell>
          <cell r="AD4927">
            <v>34.975891109999999</v>
          </cell>
        </row>
        <row r="4928">
          <cell r="L4928" t="str">
            <v>فندارة</v>
          </cell>
          <cell r="M4928" t="str">
            <v>C5641</v>
          </cell>
          <cell r="AC4928">
            <v>36.117126470000002</v>
          </cell>
          <cell r="AD4928">
            <v>34.986877440000001</v>
          </cell>
        </row>
        <row r="4929">
          <cell r="L4929" t="str">
            <v>عين الجوز</v>
          </cell>
          <cell r="M4929" t="str">
            <v>C5642</v>
          </cell>
          <cell r="AC4929">
            <v>36.234497070000003</v>
          </cell>
          <cell r="AD4929">
            <v>35.049682619999999</v>
          </cell>
        </row>
        <row r="4930">
          <cell r="L4930" t="str">
            <v>الكنيسة - الشيخ بدر</v>
          </cell>
          <cell r="M4930" t="str">
            <v>C5643</v>
          </cell>
          <cell r="AC4930">
            <v>36.218688970000002</v>
          </cell>
          <cell r="AD4930">
            <v>35.04388428</v>
          </cell>
        </row>
        <row r="4931">
          <cell r="L4931" t="str">
            <v>الرقمة</v>
          </cell>
          <cell r="M4931" t="str">
            <v>C5644</v>
          </cell>
          <cell r="AC4931">
            <v>36.22772217</v>
          </cell>
          <cell r="AD4931">
            <v>35.033874509999997</v>
          </cell>
        </row>
        <row r="4932">
          <cell r="L4932" t="str">
            <v>تلة</v>
          </cell>
          <cell r="M4932" t="str">
            <v>C5645</v>
          </cell>
          <cell r="AC4932">
            <v>36.185485839999998</v>
          </cell>
          <cell r="AD4932">
            <v>35.055908199999998</v>
          </cell>
        </row>
        <row r="4933">
          <cell r="L4933" t="str">
            <v>برمانة المشايخ</v>
          </cell>
          <cell r="M4933" t="str">
            <v>C5646</v>
          </cell>
          <cell r="AC4933">
            <v>36.16912842</v>
          </cell>
          <cell r="AD4933">
            <v>35.015075680000002</v>
          </cell>
        </row>
        <row r="4934">
          <cell r="L4934" t="str">
            <v>السعنونية</v>
          </cell>
          <cell r="M4934" t="str">
            <v>C5647</v>
          </cell>
          <cell r="AC4934">
            <v>36.152526860000002</v>
          </cell>
          <cell r="AD4934">
            <v>35.041076660000002</v>
          </cell>
        </row>
        <row r="4935">
          <cell r="L4935" t="str">
            <v>بشمعة</v>
          </cell>
          <cell r="M4935" t="str">
            <v>C5648</v>
          </cell>
          <cell r="AC4935">
            <v>36.173095699999998</v>
          </cell>
          <cell r="AD4935">
            <v>35.040527339999997</v>
          </cell>
        </row>
        <row r="4936">
          <cell r="L4936" t="str">
            <v>الصوراني</v>
          </cell>
          <cell r="M4936" t="str">
            <v>C5649</v>
          </cell>
          <cell r="AC4936">
            <v>36.114685059999999</v>
          </cell>
          <cell r="AD4936">
            <v>35.030883789999997</v>
          </cell>
        </row>
        <row r="4937">
          <cell r="L4937" t="str">
            <v>عين فطيمة</v>
          </cell>
          <cell r="M4937" t="str">
            <v>C5650</v>
          </cell>
          <cell r="AC4937">
            <v>36.122497559999999</v>
          </cell>
          <cell r="AD4937">
            <v>35.040283199999998</v>
          </cell>
        </row>
        <row r="4938">
          <cell r="L4938" t="str">
            <v>الدردارة</v>
          </cell>
          <cell r="M4938" t="str">
            <v>C5651</v>
          </cell>
          <cell r="AC4938">
            <v>36.139282229999999</v>
          </cell>
          <cell r="AD4938">
            <v>35.030273440000002</v>
          </cell>
        </row>
        <row r="4939">
          <cell r="L4939" t="str">
            <v>حمام قنية</v>
          </cell>
          <cell r="M4939" t="str">
            <v>C5652</v>
          </cell>
          <cell r="AC4939">
            <v>36.200500490000003</v>
          </cell>
          <cell r="AD4939">
            <v>35.052490229999997</v>
          </cell>
        </row>
        <row r="4940">
          <cell r="L4940" t="str">
            <v>جوبة مجبر</v>
          </cell>
          <cell r="M4940" t="str">
            <v>C5653</v>
          </cell>
          <cell r="AC4940">
            <v>36.166076660000002</v>
          </cell>
          <cell r="AD4940">
            <v>35.029296879999997</v>
          </cell>
        </row>
        <row r="4941">
          <cell r="L4941" t="str">
            <v>المجدل</v>
          </cell>
          <cell r="M4941" t="str">
            <v>C5654</v>
          </cell>
          <cell r="AC4941">
            <v>36.239685059999999</v>
          </cell>
          <cell r="AD4941">
            <v>35.06091309</v>
          </cell>
        </row>
        <row r="4942">
          <cell r="L4942" t="str">
            <v>قنية</v>
          </cell>
          <cell r="M4942" t="str">
            <v>C5655</v>
          </cell>
          <cell r="AC4942">
            <v>36.20428467</v>
          </cell>
          <cell r="AD4942">
            <v>35.061096190000001</v>
          </cell>
        </row>
        <row r="4943">
          <cell r="L4943" t="str">
            <v>كاف الحمام</v>
          </cell>
          <cell r="M4943" t="str">
            <v>C5656</v>
          </cell>
          <cell r="AC4943">
            <v>36.106506349999997</v>
          </cell>
          <cell r="AD4943">
            <v>35.04528809</v>
          </cell>
        </row>
        <row r="4944">
          <cell r="L4944" t="str">
            <v>الصفلية</v>
          </cell>
          <cell r="M4944" t="str">
            <v>C5657</v>
          </cell>
          <cell r="AC4944">
            <v>36.034728999999999</v>
          </cell>
          <cell r="AD4944">
            <v>35.047485350000002</v>
          </cell>
        </row>
        <row r="4945">
          <cell r="L4945" t="str">
            <v>الموشة</v>
          </cell>
          <cell r="M4945" t="str">
            <v>C5658</v>
          </cell>
          <cell r="AC4945">
            <v>35.981079100000002</v>
          </cell>
          <cell r="AD4945">
            <v>35.06848145</v>
          </cell>
        </row>
        <row r="4946">
          <cell r="L4946" t="str">
            <v>الطراق</v>
          </cell>
          <cell r="M4946" t="str">
            <v>C5659</v>
          </cell>
          <cell r="AC4946">
            <v>36.004516600000002</v>
          </cell>
          <cell r="AD4946">
            <v>35.061096190000001</v>
          </cell>
        </row>
        <row r="4947">
          <cell r="L4947" t="str">
            <v>بيت العودية</v>
          </cell>
          <cell r="M4947" t="str">
            <v>C5660</v>
          </cell>
          <cell r="AC4947">
            <v>35.994689940000001</v>
          </cell>
          <cell r="AD4947">
            <v>35.05310059</v>
          </cell>
        </row>
        <row r="4948">
          <cell r="L4948" t="str">
            <v>القمصية</v>
          </cell>
          <cell r="M4948" t="str">
            <v>C5661</v>
          </cell>
          <cell r="AC4948">
            <v>36.005920410000002</v>
          </cell>
          <cell r="AD4948">
            <v>35.029479979999998</v>
          </cell>
        </row>
        <row r="4949">
          <cell r="L4949" t="str">
            <v>الجباب - الشيخ بدر</v>
          </cell>
          <cell r="M4949" t="str">
            <v>C5662</v>
          </cell>
          <cell r="AC4949">
            <v>36.015686039999999</v>
          </cell>
          <cell r="AD4949">
            <v>35.050476070000002</v>
          </cell>
        </row>
        <row r="4950">
          <cell r="L4950" t="str">
            <v>الكفرون</v>
          </cell>
          <cell r="M4950" t="str">
            <v>C5663</v>
          </cell>
          <cell r="AC4950">
            <v>35.990905759999997</v>
          </cell>
          <cell r="AD4950">
            <v>35.073486330000001</v>
          </cell>
        </row>
        <row r="4951">
          <cell r="L4951" t="str">
            <v>بلوزة - الشيخ بدر</v>
          </cell>
          <cell r="M4951" t="str">
            <v>C5664</v>
          </cell>
          <cell r="AC4951">
            <v>35.973327640000001</v>
          </cell>
          <cell r="AD4951">
            <v>35.056701660000002</v>
          </cell>
        </row>
        <row r="4952">
          <cell r="L4952" t="str">
            <v>درتي</v>
          </cell>
          <cell r="M4952" t="str">
            <v>C5665</v>
          </cell>
          <cell r="AC4952">
            <v>35.998718259999997</v>
          </cell>
          <cell r="AD4952">
            <v>35.08087158</v>
          </cell>
        </row>
        <row r="4953">
          <cell r="L4953" t="str">
            <v>بلاط</v>
          </cell>
          <cell r="M4953" t="str">
            <v>C5666</v>
          </cell>
          <cell r="AC4953">
            <v>36.035888669999999</v>
          </cell>
          <cell r="AD4953">
            <v>35.032470699999998</v>
          </cell>
        </row>
        <row r="4954">
          <cell r="L4954" t="str">
            <v>الشبوبية</v>
          </cell>
          <cell r="M4954" t="str">
            <v>C5667</v>
          </cell>
          <cell r="AC4954">
            <v>36.012512209999997</v>
          </cell>
          <cell r="AD4954">
            <v>35.066284179999997</v>
          </cell>
        </row>
        <row r="4955">
          <cell r="L4955" t="str">
            <v>القصيبة</v>
          </cell>
          <cell r="M4955" t="str">
            <v>C5668</v>
          </cell>
          <cell r="AC4955">
            <v>35.989501949999998</v>
          </cell>
          <cell r="AD4955">
            <v>35.089904789999999</v>
          </cell>
        </row>
        <row r="4956">
          <cell r="L4956" t="str">
            <v>عرقوب قمصو</v>
          </cell>
          <cell r="M4956" t="str">
            <v>C5669</v>
          </cell>
          <cell r="AC4956">
            <v>36.005310059999999</v>
          </cell>
          <cell r="AD4956">
            <v>35.04711914</v>
          </cell>
        </row>
        <row r="4957">
          <cell r="L4957" t="str">
            <v>بيت القليح</v>
          </cell>
          <cell r="M4957" t="str">
            <v>C5670</v>
          </cell>
          <cell r="AC4957">
            <v>35.96392822</v>
          </cell>
          <cell r="AD4957">
            <v>35.072326660000002</v>
          </cell>
        </row>
        <row r="4958">
          <cell r="L4958" t="str">
            <v>معتي</v>
          </cell>
          <cell r="M4958" t="str">
            <v>C5671</v>
          </cell>
          <cell r="AC4958">
            <v>35.973876949999998</v>
          </cell>
          <cell r="AD4958">
            <v>35.044311520000001</v>
          </cell>
        </row>
        <row r="4959">
          <cell r="L4959" t="str">
            <v>قمصو</v>
          </cell>
          <cell r="M4959" t="str">
            <v>C5672</v>
          </cell>
          <cell r="AC4959">
            <v>35.992919919999999</v>
          </cell>
          <cell r="AD4959">
            <v>35.036682130000003</v>
          </cell>
        </row>
        <row r="4960">
          <cell r="L4960" t="str">
            <v>الوديان</v>
          </cell>
          <cell r="M4960" t="str">
            <v>C5673</v>
          </cell>
          <cell r="AC4960">
            <v>38.647094729999999</v>
          </cell>
          <cell r="AD4960">
            <v>35.961486819999998</v>
          </cell>
        </row>
        <row r="4961">
          <cell r="L4961" t="str">
            <v>بئر سعيد</v>
          </cell>
          <cell r="M4961" t="str">
            <v>C5676</v>
          </cell>
          <cell r="AC4961">
            <v>39.211486819999998</v>
          </cell>
          <cell r="AD4961">
            <v>36.199279789999999</v>
          </cell>
        </row>
        <row r="4962">
          <cell r="L4962" t="str">
            <v>الأسدية</v>
          </cell>
          <cell r="M4962" t="str">
            <v>C5678</v>
          </cell>
          <cell r="AC4962">
            <v>39.018310550000002</v>
          </cell>
          <cell r="AD4962">
            <v>36.008300779999999</v>
          </cell>
        </row>
        <row r="4963">
          <cell r="L4963" t="str">
            <v>حفيرة الصقور</v>
          </cell>
          <cell r="M4963" t="str">
            <v>C5679</v>
          </cell>
          <cell r="AC4963">
            <v>38.873901369999999</v>
          </cell>
          <cell r="AD4963">
            <v>35.991699220000001</v>
          </cell>
        </row>
        <row r="4964">
          <cell r="L4964" t="str">
            <v>الوحدة</v>
          </cell>
          <cell r="M4964" t="str">
            <v>C5680</v>
          </cell>
          <cell r="AC4964">
            <v>38.96691895</v>
          </cell>
          <cell r="AD4964">
            <v>36.111877440000001</v>
          </cell>
        </row>
        <row r="4965">
          <cell r="L4965" t="str">
            <v>سكرية تل السمن</v>
          </cell>
          <cell r="M4965" t="str">
            <v>C5681</v>
          </cell>
          <cell r="AC4965">
            <v>38.964904789999999</v>
          </cell>
          <cell r="AD4965">
            <v>36.179870610000002</v>
          </cell>
        </row>
        <row r="4966">
          <cell r="L4966" t="str">
            <v>بعراني</v>
          </cell>
          <cell r="M4966" t="str">
            <v>C5684</v>
          </cell>
          <cell r="AC4966">
            <v>39.281311039999999</v>
          </cell>
          <cell r="AD4966">
            <v>36.171875</v>
          </cell>
        </row>
        <row r="4967">
          <cell r="L4967" t="str">
            <v>طاوي رمان</v>
          </cell>
          <cell r="M4967" t="str">
            <v>C5686</v>
          </cell>
          <cell r="AC4967">
            <v>39.095275880000003</v>
          </cell>
          <cell r="AD4967">
            <v>35.90509033</v>
          </cell>
        </row>
        <row r="4968">
          <cell r="L4968" t="str">
            <v>الخيالة الشرقية</v>
          </cell>
          <cell r="M4968" t="str">
            <v>C5687</v>
          </cell>
          <cell r="AC4968">
            <v>38.822326660000002</v>
          </cell>
          <cell r="AD4968">
            <v>35.96209717</v>
          </cell>
        </row>
        <row r="4969">
          <cell r="L4969" t="str">
            <v>الخيالة</v>
          </cell>
          <cell r="M4969" t="str">
            <v>C5688</v>
          </cell>
          <cell r="AC4969">
            <v>38.78747559</v>
          </cell>
          <cell r="AD4969">
            <v>35.954101559999998</v>
          </cell>
        </row>
        <row r="4970">
          <cell r="L4970" t="str">
            <v>تل السمن دحام</v>
          </cell>
          <cell r="M4970" t="str">
            <v>C5689</v>
          </cell>
          <cell r="AC4970">
            <v>38.973510740000002</v>
          </cell>
          <cell r="AD4970">
            <v>36.227294919999999</v>
          </cell>
        </row>
        <row r="4971">
          <cell r="L4971" t="str">
            <v>العطشانة</v>
          </cell>
          <cell r="M4971" t="str">
            <v>C5690</v>
          </cell>
          <cell r="AC4971">
            <v>38.747070309999998</v>
          </cell>
          <cell r="AD4971">
            <v>36.079101559999998</v>
          </cell>
        </row>
        <row r="4972">
          <cell r="L4972" t="str">
            <v>بئر الهشم</v>
          </cell>
          <cell r="M4972" t="str">
            <v>C5691</v>
          </cell>
          <cell r="AC4972">
            <v>38.900085449999999</v>
          </cell>
          <cell r="AD4972">
            <v>36.034728999999999</v>
          </cell>
        </row>
        <row r="4973">
          <cell r="L4973" t="str">
            <v>اليمامة</v>
          </cell>
          <cell r="M4973" t="str">
            <v>C5692</v>
          </cell>
          <cell r="AC4973">
            <v>38.673278809999999</v>
          </cell>
          <cell r="AD4973">
            <v>35.906677250000001</v>
          </cell>
        </row>
        <row r="4974">
          <cell r="L4974" t="str">
            <v>الفتيح</v>
          </cell>
          <cell r="M4974" t="str">
            <v>C5693</v>
          </cell>
          <cell r="AC4974">
            <v>38.692504880000001</v>
          </cell>
          <cell r="AD4974">
            <v>35.995910649999999</v>
          </cell>
        </row>
        <row r="4975">
          <cell r="L4975" t="str">
            <v>طالعة الأنصار</v>
          </cell>
          <cell r="M4975" t="str">
            <v>C5694</v>
          </cell>
          <cell r="AC4975">
            <v>38.797485350000002</v>
          </cell>
          <cell r="AD4975">
            <v>36.048522949999999</v>
          </cell>
        </row>
        <row r="4976">
          <cell r="L4976" t="str">
            <v>الشامية</v>
          </cell>
          <cell r="M4976" t="str">
            <v>C5695</v>
          </cell>
          <cell r="AC4976">
            <v>38.725097660000003</v>
          </cell>
          <cell r="AD4976">
            <v>36.24450684</v>
          </cell>
        </row>
        <row r="4977">
          <cell r="L4977" t="str">
            <v>الفارعة</v>
          </cell>
          <cell r="M4977" t="str">
            <v>C5696</v>
          </cell>
          <cell r="AC4977">
            <v>39.005310059999999</v>
          </cell>
          <cell r="AD4977">
            <v>35.911682130000003</v>
          </cell>
        </row>
        <row r="4978">
          <cell r="L4978" t="str">
            <v>الأعيوج</v>
          </cell>
          <cell r="M4978" t="str">
            <v>C5697</v>
          </cell>
          <cell r="AC4978">
            <v>38.676879880000001</v>
          </cell>
          <cell r="AD4978">
            <v>36.104675290000003</v>
          </cell>
        </row>
        <row r="4979">
          <cell r="L4979" t="str">
            <v>رقة سمرة</v>
          </cell>
          <cell r="M4979" t="str">
            <v>C5699</v>
          </cell>
          <cell r="AC4979">
            <v>39.091674810000001</v>
          </cell>
          <cell r="AD4979">
            <v>35.931884770000003</v>
          </cell>
        </row>
        <row r="4980">
          <cell r="L4980" t="str">
            <v>أم الحوية</v>
          </cell>
          <cell r="M4980" t="str">
            <v>C5700</v>
          </cell>
          <cell r="AC4980">
            <v>38.583923339999998</v>
          </cell>
          <cell r="AD4980">
            <v>36.183288570000002</v>
          </cell>
        </row>
        <row r="4981">
          <cell r="L4981" t="str">
            <v>اليرموك</v>
          </cell>
          <cell r="M4981" t="str">
            <v>C5701</v>
          </cell>
          <cell r="AC4981">
            <v>39.016296390000001</v>
          </cell>
          <cell r="AD4981">
            <v>36.050720220000002</v>
          </cell>
        </row>
        <row r="4982">
          <cell r="L4982" t="str">
            <v>حزيمة</v>
          </cell>
          <cell r="M4982" t="str">
            <v>C5702</v>
          </cell>
          <cell r="AC4982">
            <v>38.965881349999997</v>
          </cell>
          <cell r="AD4982">
            <v>36.131530759999997</v>
          </cell>
        </row>
        <row r="4983">
          <cell r="L4983" t="str">
            <v>حاوي الهوى</v>
          </cell>
          <cell r="M4983" t="str">
            <v>C5704</v>
          </cell>
          <cell r="AC4983">
            <v>38.910705569999998</v>
          </cell>
          <cell r="AD4983">
            <v>35.953491210000003</v>
          </cell>
        </row>
        <row r="4984">
          <cell r="L4984" t="str">
            <v>المشرفة</v>
          </cell>
          <cell r="M4984" t="str">
            <v>C5705</v>
          </cell>
          <cell r="AC4984">
            <v>38.716125490000003</v>
          </cell>
          <cell r="AD4984">
            <v>36.203491210000003</v>
          </cell>
        </row>
        <row r="4985">
          <cell r="L4985" t="str">
            <v>أبو رجب</v>
          </cell>
          <cell r="M4985" t="str">
            <v>C5706</v>
          </cell>
          <cell r="AC4985">
            <v>38.831298830000001</v>
          </cell>
          <cell r="AD4985">
            <v>35.913085940000002</v>
          </cell>
        </row>
        <row r="4986">
          <cell r="L4986" t="str">
            <v>حلو عبد</v>
          </cell>
          <cell r="M4986" t="str">
            <v>C5707</v>
          </cell>
          <cell r="AC4986">
            <v>39.028686520000001</v>
          </cell>
          <cell r="AD4986">
            <v>36.135070800000001</v>
          </cell>
        </row>
        <row r="4987">
          <cell r="L4987" t="str">
            <v>سويدية صغيرة</v>
          </cell>
          <cell r="M4987" t="str">
            <v>C5708</v>
          </cell>
          <cell r="AC4987">
            <v>38.5703125</v>
          </cell>
          <cell r="AD4987">
            <v>35.914123539999999</v>
          </cell>
        </row>
        <row r="4988">
          <cell r="L4988" t="str">
            <v>الرقة</v>
          </cell>
          <cell r="M4988" t="str">
            <v>C5710</v>
          </cell>
          <cell r="AC4988">
            <v>39.006103520000003</v>
          </cell>
          <cell r="AD4988">
            <v>35.953125</v>
          </cell>
        </row>
        <row r="4989">
          <cell r="L4989" t="str">
            <v>صفيان</v>
          </cell>
          <cell r="M4989" t="str">
            <v>C5711</v>
          </cell>
          <cell r="AC4989">
            <v>38.707519529999999</v>
          </cell>
          <cell r="AD4989">
            <v>36.141906740000003</v>
          </cell>
        </row>
        <row r="4990">
          <cell r="L4990" t="str">
            <v>الطويلعة</v>
          </cell>
          <cell r="M4990" t="str">
            <v>C5712</v>
          </cell>
          <cell r="AC4990">
            <v>38.970886229999998</v>
          </cell>
          <cell r="AD4990">
            <v>36.257507320000002</v>
          </cell>
        </row>
        <row r="4991">
          <cell r="L4991" t="str">
            <v>الجلاء</v>
          </cell>
          <cell r="M4991" t="str">
            <v>C5713</v>
          </cell>
          <cell r="AC4991">
            <v>38.905273440000002</v>
          </cell>
          <cell r="AD4991">
            <v>36.066894529999999</v>
          </cell>
        </row>
        <row r="4992">
          <cell r="L4992" t="str">
            <v>ربيعة</v>
          </cell>
          <cell r="M4992" t="str">
            <v>C5714</v>
          </cell>
          <cell r="AC4992">
            <v>38.91912842</v>
          </cell>
          <cell r="AD4992">
            <v>35.971679690000002</v>
          </cell>
        </row>
        <row r="4993">
          <cell r="L4993" t="str">
            <v>أبو كبرة-الرشيد</v>
          </cell>
          <cell r="M4993" t="str">
            <v>C5716</v>
          </cell>
          <cell r="AC4993">
            <v>38.698486330000001</v>
          </cell>
          <cell r="AD4993">
            <v>36.064514160000002</v>
          </cell>
        </row>
        <row r="4994">
          <cell r="L4994" t="str">
            <v>خنيز فوقاني</v>
          </cell>
          <cell r="M4994" t="str">
            <v>C5717</v>
          </cell>
          <cell r="AC4994">
            <v>39.052307130000003</v>
          </cell>
          <cell r="AD4994">
            <v>36.298522949999999</v>
          </cell>
        </row>
        <row r="4995">
          <cell r="L4995" t="str">
            <v>سويدية كبيرة</v>
          </cell>
          <cell r="M4995" t="str">
            <v>C5718</v>
          </cell>
          <cell r="AC4995">
            <v>38.615478520000003</v>
          </cell>
          <cell r="AD4995">
            <v>35.896484379999997</v>
          </cell>
        </row>
        <row r="4996">
          <cell r="L4996" t="str">
            <v>السحل</v>
          </cell>
          <cell r="M4996" t="str">
            <v>C5719</v>
          </cell>
          <cell r="AC4996">
            <v>38.922302250000001</v>
          </cell>
          <cell r="AD4996">
            <v>35.911926270000002</v>
          </cell>
        </row>
        <row r="4997">
          <cell r="L4997" t="str">
            <v>العدنانية</v>
          </cell>
          <cell r="M4997" t="str">
            <v>C5720</v>
          </cell>
          <cell r="AC4997">
            <v>38.885681150000003</v>
          </cell>
          <cell r="AD4997">
            <v>36.016113279999999</v>
          </cell>
        </row>
        <row r="4998">
          <cell r="L4998" t="str">
            <v>العبارة</v>
          </cell>
          <cell r="M4998" t="str">
            <v>C5721</v>
          </cell>
          <cell r="AC4998">
            <v>39.020507809999998</v>
          </cell>
          <cell r="AD4998">
            <v>36.158081060000001</v>
          </cell>
        </row>
        <row r="4999">
          <cell r="L4999" t="str">
            <v>ثلث خنيز</v>
          </cell>
          <cell r="M4999" t="str">
            <v>C5722</v>
          </cell>
          <cell r="AC4999">
            <v>39.020080569999998</v>
          </cell>
          <cell r="AD4999">
            <v>36.223083500000001</v>
          </cell>
        </row>
        <row r="5000">
          <cell r="L5000" t="str">
            <v>أبو سوسة</v>
          </cell>
          <cell r="M5000" t="str">
            <v>C5723</v>
          </cell>
          <cell r="AC5000">
            <v>38.700927729999997</v>
          </cell>
          <cell r="AD5000">
            <v>36.21990967</v>
          </cell>
        </row>
        <row r="5001">
          <cell r="L5001" t="str">
            <v>الرحيات</v>
          </cell>
          <cell r="M5001" t="str">
            <v>C5725</v>
          </cell>
          <cell r="AC5001">
            <v>39.055908199999998</v>
          </cell>
          <cell r="AD5001">
            <v>36.077514649999998</v>
          </cell>
        </row>
        <row r="5002">
          <cell r="L5002" t="str">
            <v>القحطانية</v>
          </cell>
          <cell r="M5002" t="str">
            <v>C5726</v>
          </cell>
          <cell r="AC5002">
            <v>38.923522949999999</v>
          </cell>
          <cell r="AD5002">
            <v>35.988098149999999</v>
          </cell>
        </row>
        <row r="5003">
          <cell r="L5003" t="str">
            <v>السلحبية غربية</v>
          </cell>
          <cell r="M5003" t="str">
            <v>C5727</v>
          </cell>
          <cell r="AC5003">
            <v>38.742126470000002</v>
          </cell>
          <cell r="AD5003">
            <v>35.927673339999998</v>
          </cell>
        </row>
        <row r="5004">
          <cell r="L5004" t="str">
            <v>الغوطة</v>
          </cell>
          <cell r="M5004" t="str">
            <v>C5728</v>
          </cell>
          <cell r="AC5004">
            <v>39.019103999999999</v>
          </cell>
          <cell r="AD5004">
            <v>35.904907229999999</v>
          </cell>
        </row>
        <row r="5005">
          <cell r="L5005" t="str">
            <v>الأندلس</v>
          </cell>
          <cell r="M5005" t="str">
            <v>C5729</v>
          </cell>
          <cell r="AC5005">
            <v>38.738098149999999</v>
          </cell>
          <cell r="AD5005">
            <v>35.992126470000002</v>
          </cell>
        </row>
        <row r="5006">
          <cell r="L5006" t="str">
            <v>الرشيد</v>
          </cell>
          <cell r="M5006" t="str">
            <v>C5730</v>
          </cell>
          <cell r="AC5006">
            <v>38.725708009999998</v>
          </cell>
          <cell r="AD5006">
            <v>36.04528809</v>
          </cell>
        </row>
        <row r="5007">
          <cell r="L5007" t="str">
            <v>تشرين</v>
          </cell>
          <cell r="M5007" t="str">
            <v>C5731</v>
          </cell>
          <cell r="AC5007">
            <v>38.868896479999997</v>
          </cell>
          <cell r="AD5007">
            <v>36.133300779999999</v>
          </cell>
        </row>
        <row r="5008">
          <cell r="L5008" t="str">
            <v>حويجة فرج</v>
          </cell>
          <cell r="M5008" t="str">
            <v>C5732</v>
          </cell>
          <cell r="AC5008">
            <v>38.756286619999997</v>
          </cell>
          <cell r="AD5008">
            <v>35.910888669999999</v>
          </cell>
        </row>
        <row r="5009">
          <cell r="L5009" t="str">
            <v>الرحمانية</v>
          </cell>
          <cell r="M5009" t="str">
            <v>C5733</v>
          </cell>
          <cell r="AC5009">
            <v>38.790710449999999</v>
          </cell>
          <cell r="AD5009">
            <v>36.206481930000002</v>
          </cell>
        </row>
        <row r="5010">
          <cell r="L5010" t="str">
            <v>مرج أبو شارب</v>
          </cell>
          <cell r="M5010" t="str">
            <v>C5734</v>
          </cell>
          <cell r="AC5010">
            <v>39.03009033</v>
          </cell>
          <cell r="AD5010">
            <v>36.148315429999997</v>
          </cell>
        </row>
        <row r="5011">
          <cell r="L5011" t="str">
            <v>كسرة شيخ الجمعة</v>
          </cell>
          <cell r="M5011" t="str">
            <v>C5735</v>
          </cell>
          <cell r="AC5011">
            <v>38.964294430000002</v>
          </cell>
          <cell r="AD5011">
            <v>35.906311039999999</v>
          </cell>
        </row>
        <row r="5012">
          <cell r="L5012" t="str">
            <v>ميسلون</v>
          </cell>
          <cell r="M5012" t="str">
            <v>C5736</v>
          </cell>
          <cell r="AC5012">
            <v>38.946105959999997</v>
          </cell>
          <cell r="AD5012">
            <v>36.05627441</v>
          </cell>
        </row>
        <row r="5013">
          <cell r="L5013" t="str">
            <v>لقطة</v>
          </cell>
          <cell r="M5013" t="str">
            <v>C5738</v>
          </cell>
          <cell r="AC5013">
            <v>39.249694820000002</v>
          </cell>
          <cell r="AD5013">
            <v>36.276489259999998</v>
          </cell>
        </row>
        <row r="5014">
          <cell r="L5014" t="str">
            <v>كديران</v>
          </cell>
          <cell r="M5014" t="str">
            <v>C5739</v>
          </cell>
          <cell r="AC5014">
            <v>38.723083500000001</v>
          </cell>
          <cell r="AD5014">
            <v>35.881530759999997</v>
          </cell>
        </row>
        <row r="5015">
          <cell r="L5015" t="str">
            <v>كردوس</v>
          </cell>
          <cell r="M5015" t="str">
            <v>C5740</v>
          </cell>
          <cell r="AC5015">
            <v>38.928710940000002</v>
          </cell>
          <cell r="AD5015">
            <v>36.310119630000003</v>
          </cell>
        </row>
        <row r="5016">
          <cell r="L5016" t="str">
            <v>معيزيلة</v>
          </cell>
          <cell r="M5016" t="str">
            <v>C5742</v>
          </cell>
          <cell r="AC5016">
            <v>39.181884770000003</v>
          </cell>
          <cell r="AD5016">
            <v>36.119079589999998</v>
          </cell>
        </row>
        <row r="5017">
          <cell r="L5017" t="str">
            <v>شمرة</v>
          </cell>
          <cell r="M5017" t="str">
            <v>C5743</v>
          </cell>
          <cell r="AC5017">
            <v>39.373107910000002</v>
          </cell>
          <cell r="AD5017">
            <v>35.813903809999999</v>
          </cell>
        </row>
        <row r="5018">
          <cell r="L5018" t="str">
            <v>الرابية</v>
          </cell>
          <cell r="M5018" t="str">
            <v>C5744</v>
          </cell>
          <cell r="AC5018">
            <v>39.401489259999998</v>
          </cell>
          <cell r="AD5018">
            <v>35.773315429999997</v>
          </cell>
        </row>
        <row r="5019">
          <cell r="L5019" t="str">
            <v>صفين_كسرة محمد آغا</v>
          </cell>
          <cell r="M5019" t="str">
            <v>C5745</v>
          </cell>
          <cell r="AC5019">
            <v>39.11169434</v>
          </cell>
          <cell r="AD5019">
            <v>35.860473630000001</v>
          </cell>
        </row>
        <row r="5020">
          <cell r="L5020" t="str">
            <v>الردة</v>
          </cell>
          <cell r="M5020" t="str">
            <v>C5746</v>
          </cell>
          <cell r="AC5020">
            <v>39.358276369999999</v>
          </cell>
          <cell r="AD5020">
            <v>35.827087400000003</v>
          </cell>
        </row>
        <row r="5021">
          <cell r="L5021" t="str">
            <v>السبخة</v>
          </cell>
          <cell r="M5021" t="str">
            <v>C5747</v>
          </cell>
          <cell r="AC5021">
            <v>39.264282229999999</v>
          </cell>
          <cell r="AD5021">
            <v>35.81091309</v>
          </cell>
        </row>
        <row r="5022">
          <cell r="L5022" t="str">
            <v>العجيل</v>
          </cell>
          <cell r="M5022" t="str">
            <v>C5748</v>
          </cell>
          <cell r="AC5022">
            <v>39.090515140000001</v>
          </cell>
          <cell r="AD5022">
            <v>35.865295410000002</v>
          </cell>
        </row>
        <row r="5023">
          <cell r="L5023" t="str">
            <v>الدلحة</v>
          </cell>
          <cell r="M5023" t="str">
            <v>C5750</v>
          </cell>
          <cell r="AC5023">
            <v>39.174926759999998</v>
          </cell>
          <cell r="AD5023">
            <v>35.846679690000002</v>
          </cell>
        </row>
        <row r="5024">
          <cell r="L5024" t="str">
            <v>الجبلي</v>
          </cell>
          <cell r="M5024" t="str">
            <v>C5751</v>
          </cell>
          <cell r="AC5024">
            <v>39.317077640000001</v>
          </cell>
          <cell r="AD5024">
            <v>35.79528809</v>
          </cell>
        </row>
        <row r="5025">
          <cell r="L5025" t="str">
            <v>العكيرشي</v>
          </cell>
          <cell r="M5025" t="str">
            <v>C5752</v>
          </cell>
          <cell r="AC5025">
            <v>39.131713869999999</v>
          </cell>
          <cell r="AD5025">
            <v>35.854492190000002</v>
          </cell>
        </row>
        <row r="5026">
          <cell r="L5026" t="str">
            <v>حويجة شنان</v>
          </cell>
          <cell r="M5026" t="str">
            <v>C5753</v>
          </cell>
          <cell r="AC5026">
            <v>39.215515140000001</v>
          </cell>
          <cell r="AD5026">
            <v>35.827270509999998</v>
          </cell>
        </row>
        <row r="5027">
          <cell r="L5027" t="str">
            <v>الرحبي</v>
          </cell>
          <cell r="M5027" t="str">
            <v>C5754</v>
          </cell>
          <cell r="AC5027">
            <v>39.240295410000002</v>
          </cell>
          <cell r="AD5027">
            <v>35.819274900000003</v>
          </cell>
        </row>
        <row r="5028">
          <cell r="L5028" t="str">
            <v>بئر السبخاوي</v>
          </cell>
          <cell r="M5028" t="str">
            <v>C5755</v>
          </cell>
          <cell r="AC5028">
            <v>39.236877440000001</v>
          </cell>
          <cell r="AD5028">
            <v>35.694519040000003</v>
          </cell>
        </row>
        <row r="5029">
          <cell r="L5029" t="str">
            <v>المسرة</v>
          </cell>
          <cell r="M5029" t="str">
            <v>C5756</v>
          </cell>
          <cell r="AC5029">
            <v>39.074523929999998</v>
          </cell>
          <cell r="AD5029">
            <v>35.873474119999997</v>
          </cell>
        </row>
        <row r="5030">
          <cell r="L5030" t="str">
            <v>جديدة كحيط</v>
          </cell>
          <cell r="M5030" t="str">
            <v>C5757</v>
          </cell>
          <cell r="AC5030">
            <v>39.418090820000003</v>
          </cell>
          <cell r="AD5030">
            <v>35.856079100000002</v>
          </cell>
        </row>
        <row r="5031">
          <cell r="L5031" t="str">
            <v>البلدية</v>
          </cell>
          <cell r="M5031" t="str">
            <v>C5758</v>
          </cell>
          <cell r="AC5031">
            <v>39.37591553</v>
          </cell>
          <cell r="AD5031">
            <v>35.857299810000001</v>
          </cell>
        </row>
        <row r="5032">
          <cell r="L5032" t="str">
            <v>بدر</v>
          </cell>
          <cell r="M5032" t="str">
            <v>C5759</v>
          </cell>
          <cell r="AC5032">
            <v>39.1348877</v>
          </cell>
          <cell r="AD5032">
            <v>35.945495610000002</v>
          </cell>
        </row>
        <row r="5033">
          <cell r="L5033" t="str">
            <v>جديدة خابور</v>
          </cell>
          <cell r="M5033" t="str">
            <v>C5760</v>
          </cell>
          <cell r="AC5033">
            <v>39.438293459999997</v>
          </cell>
          <cell r="AD5033">
            <v>35.850097660000003</v>
          </cell>
        </row>
        <row r="5034">
          <cell r="L5034" t="str">
            <v>أبو توتة</v>
          </cell>
          <cell r="M5034" t="str">
            <v>C5761</v>
          </cell>
          <cell r="AC5034">
            <v>39.639282229999999</v>
          </cell>
          <cell r="AD5034">
            <v>36.09490967</v>
          </cell>
        </row>
        <row r="5035">
          <cell r="L5035" t="str">
            <v>الناصرة</v>
          </cell>
          <cell r="M5035" t="str">
            <v>C5762</v>
          </cell>
          <cell r="AC5035">
            <v>39.164123539999999</v>
          </cell>
          <cell r="AD5035">
            <v>35.916076660000002</v>
          </cell>
        </row>
        <row r="5036">
          <cell r="L5036" t="str">
            <v>الهالة_خس هبال</v>
          </cell>
          <cell r="M5036" t="str">
            <v>C5763</v>
          </cell>
          <cell r="AC5036">
            <v>39.525085449999999</v>
          </cell>
          <cell r="AD5036">
            <v>35.824096679999997</v>
          </cell>
        </row>
        <row r="5037">
          <cell r="L5037" t="str">
            <v>الهامة</v>
          </cell>
          <cell r="M5037" t="str">
            <v>C5764</v>
          </cell>
          <cell r="AC5037">
            <v>39.651916499999999</v>
          </cell>
          <cell r="AD5037">
            <v>35.803283690000001</v>
          </cell>
        </row>
        <row r="5038">
          <cell r="L5038" t="str">
            <v>عوجة بتير</v>
          </cell>
          <cell r="M5038" t="str">
            <v>C5765</v>
          </cell>
          <cell r="AC5038">
            <v>39.470275880000003</v>
          </cell>
          <cell r="AD5038">
            <v>35.829895020000002</v>
          </cell>
        </row>
        <row r="5039">
          <cell r="L5039" t="str">
            <v>الكرامة</v>
          </cell>
          <cell r="M5039" t="str">
            <v>C5766</v>
          </cell>
          <cell r="AC5039">
            <v>39.281311039999999</v>
          </cell>
          <cell r="AD5039">
            <v>35.869873050000002</v>
          </cell>
        </row>
        <row r="5040">
          <cell r="L5040" t="str">
            <v>الغسانية</v>
          </cell>
          <cell r="M5040" t="str">
            <v>C5767</v>
          </cell>
          <cell r="AC5040">
            <v>39.343078609999999</v>
          </cell>
          <cell r="AD5040">
            <v>35.865722660000003</v>
          </cell>
        </row>
        <row r="5041">
          <cell r="L5041" t="str">
            <v>الشاهر</v>
          </cell>
          <cell r="M5041" t="str">
            <v>C5768</v>
          </cell>
          <cell r="AC5041">
            <v>39.648925779999999</v>
          </cell>
          <cell r="AD5041">
            <v>35.983703609999999</v>
          </cell>
        </row>
        <row r="5042">
          <cell r="L5042" t="str">
            <v>حمرة بلاسم</v>
          </cell>
          <cell r="M5042" t="str">
            <v>C5769</v>
          </cell>
          <cell r="AC5042">
            <v>39.197509770000003</v>
          </cell>
          <cell r="AD5042">
            <v>35.879516600000002</v>
          </cell>
        </row>
        <row r="5043">
          <cell r="L5043" t="str">
            <v>الاسماعيلية_فاطسة عبد الاسماعيل</v>
          </cell>
          <cell r="M5043" t="str">
            <v>C5770</v>
          </cell>
          <cell r="AC5043">
            <v>39.326721190000001</v>
          </cell>
          <cell r="AD5043">
            <v>35.854919430000002</v>
          </cell>
        </row>
        <row r="5044">
          <cell r="L5044" t="str">
            <v>السامرة_عويجة حمد العساف</v>
          </cell>
          <cell r="M5044" t="str">
            <v>C5771</v>
          </cell>
          <cell r="AC5044">
            <v>39.46069336</v>
          </cell>
          <cell r="AD5044">
            <v>35.844116210000003</v>
          </cell>
        </row>
        <row r="5045">
          <cell r="L5045" t="str">
            <v>القادسية الكجلة</v>
          </cell>
          <cell r="M5045" t="str">
            <v>C5772</v>
          </cell>
          <cell r="AC5045">
            <v>39.290100099999997</v>
          </cell>
          <cell r="AD5045">
            <v>35.976074220000001</v>
          </cell>
        </row>
        <row r="5046">
          <cell r="L5046" t="str">
            <v>البيدر_فاطسة بيرم</v>
          </cell>
          <cell r="M5046" t="str">
            <v>C5773</v>
          </cell>
          <cell r="AC5046">
            <v>39.310485839999998</v>
          </cell>
          <cell r="AD5046">
            <v>35.859497070000003</v>
          </cell>
        </row>
        <row r="5047">
          <cell r="L5047" t="str">
            <v>اليعربية_خس عجيل</v>
          </cell>
          <cell r="M5047" t="str">
            <v>C5774</v>
          </cell>
          <cell r="AC5047">
            <v>39.551086429999998</v>
          </cell>
          <cell r="AD5047">
            <v>35.820129399999999</v>
          </cell>
        </row>
        <row r="5048">
          <cell r="L5048" t="str">
            <v>لكسون</v>
          </cell>
          <cell r="M5048" t="str">
            <v>C5775</v>
          </cell>
          <cell r="AC5048">
            <v>39.256530759999997</v>
          </cell>
          <cell r="AD5048">
            <v>35.878112790000003</v>
          </cell>
        </row>
        <row r="5049">
          <cell r="L5049" t="str">
            <v>مضر</v>
          </cell>
          <cell r="M5049" t="str">
            <v>C5776</v>
          </cell>
          <cell r="AC5049">
            <v>39.22930908</v>
          </cell>
          <cell r="AD5049">
            <v>35.943908690000001</v>
          </cell>
        </row>
        <row r="5050">
          <cell r="L5050" t="str">
            <v>مطب البوراشد</v>
          </cell>
          <cell r="M5050" t="str">
            <v>C5777</v>
          </cell>
          <cell r="AC5050">
            <v>39.670898440000002</v>
          </cell>
          <cell r="AD5050">
            <v>35.800476070000002</v>
          </cell>
        </row>
        <row r="5051">
          <cell r="L5051" t="str">
            <v>الخميسية</v>
          </cell>
          <cell r="M5051" t="str">
            <v>C5778</v>
          </cell>
          <cell r="AC5051">
            <v>39.564270020000002</v>
          </cell>
          <cell r="AD5051">
            <v>35.758117679999998</v>
          </cell>
        </row>
        <row r="5052">
          <cell r="L5052" t="str">
            <v>6 تشرين</v>
          </cell>
          <cell r="M5052" t="str">
            <v>C5779</v>
          </cell>
          <cell r="AC5052">
            <v>39.533874509999997</v>
          </cell>
          <cell r="AD5052">
            <v>35.784301759999998</v>
          </cell>
        </row>
        <row r="5053">
          <cell r="L5053" t="str">
            <v>الدعمة</v>
          </cell>
          <cell r="M5053" t="str">
            <v>C5780</v>
          </cell>
          <cell r="AC5053">
            <v>39.470275880000003</v>
          </cell>
          <cell r="AD5053">
            <v>35.785095220000002</v>
          </cell>
        </row>
        <row r="5054">
          <cell r="L5054" t="str">
            <v>السويدة</v>
          </cell>
          <cell r="M5054" t="str">
            <v>C5781</v>
          </cell>
          <cell r="AC5054">
            <v>39.637695309999998</v>
          </cell>
          <cell r="AD5054">
            <v>35.7755127</v>
          </cell>
        </row>
        <row r="5055">
          <cell r="L5055" t="str">
            <v>النميصة</v>
          </cell>
          <cell r="M5055" t="str">
            <v>C5782</v>
          </cell>
          <cell r="AC5055">
            <v>39.515075680000002</v>
          </cell>
          <cell r="AD5055">
            <v>35.78607178</v>
          </cell>
        </row>
        <row r="5056">
          <cell r="L5056" t="str">
            <v>الحردان</v>
          </cell>
          <cell r="M5056" t="str">
            <v>C5783</v>
          </cell>
          <cell r="AC5056">
            <v>39.436706540000003</v>
          </cell>
          <cell r="AD5056">
            <v>35.786499020000001</v>
          </cell>
        </row>
        <row r="5057">
          <cell r="L5057" t="str">
            <v>الجابر</v>
          </cell>
          <cell r="M5057" t="str">
            <v>C5784</v>
          </cell>
          <cell r="AC5057">
            <v>39.544311520000001</v>
          </cell>
          <cell r="AD5057">
            <v>35.75872803</v>
          </cell>
        </row>
        <row r="5058">
          <cell r="L5058" t="str">
            <v>مغلة صغيرة</v>
          </cell>
          <cell r="M5058" t="str">
            <v>C5785</v>
          </cell>
          <cell r="AC5058">
            <v>39.48852539</v>
          </cell>
          <cell r="AD5058">
            <v>35.784118650000003</v>
          </cell>
        </row>
        <row r="5059">
          <cell r="L5059" t="str">
            <v>مغلة كبيرة</v>
          </cell>
          <cell r="M5059" t="str">
            <v>C5786</v>
          </cell>
          <cell r="AC5059">
            <v>39.498291020000003</v>
          </cell>
          <cell r="AD5059">
            <v>35.79272461</v>
          </cell>
        </row>
        <row r="5060">
          <cell r="L5060" t="str">
            <v>معدان</v>
          </cell>
          <cell r="M5060" t="str">
            <v>C5787</v>
          </cell>
          <cell r="AC5060">
            <v>39.607482910000002</v>
          </cell>
          <cell r="AD5060">
            <v>35.755310059999999</v>
          </cell>
        </row>
        <row r="5061">
          <cell r="L5061" t="str">
            <v>تل فندر</v>
          </cell>
          <cell r="M5061" t="str">
            <v>C5788</v>
          </cell>
          <cell r="AC5061">
            <v>38.879699709999997</v>
          </cell>
          <cell r="AD5061">
            <v>36.694885249999999</v>
          </cell>
        </row>
        <row r="5062">
          <cell r="L5062" t="str">
            <v>شعلة منكلي</v>
          </cell>
          <cell r="M5062" t="str">
            <v>C5789</v>
          </cell>
          <cell r="AC5062">
            <v>38.862304690000002</v>
          </cell>
          <cell r="AD5062">
            <v>36.585510249999999</v>
          </cell>
        </row>
        <row r="5063">
          <cell r="L5063" t="str">
            <v>شريعان</v>
          </cell>
          <cell r="M5063" t="str">
            <v>C5790</v>
          </cell>
          <cell r="AC5063">
            <v>38.998107910000002</v>
          </cell>
          <cell r="AD5063">
            <v>36.629882809999998</v>
          </cell>
        </row>
        <row r="5064">
          <cell r="L5064" t="str">
            <v>العلة</v>
          </cell>
          <cell r="M5064" t="str">
            <v>C5791</v>
          </cell>
          <cell r="AC5064">
            <v>38.851074220000001</v>
          </cell>
          <cell r="AD5064">
            <v>36.609680179999998</v>
          </cell>
        </row>
        <row r="5065">
          <cell r="L5065" t="str">
            <v>تل أبيض</v>
          </cell>
          <cell r="M5065" t="str">
            <v>C5792</v>
          </cell>
          <cell r="AC5065">
            <v>38.947692869999997</v>
          </cell>
          <cell r="AD5065">
            <v>36.690673830000001</v>
          </cell>
        </row>
        <row r="5066">
          <cell r="L5066" t="str">
            <v>تل الكبير</v>
          </cell>
          <cell r="M5066" t="str">
            <v>C5793</v>
          </cell>
          <cell r="AC5066">
            <v>38.736877440000001</v>
          </cell>
          <cell r="AD5066">
            <v>36.680908199999998</v>
          </cell>
        </row>
        <row r="5067">
          <cell r="L5067" t="str">
            <v>صهريجة</v>
          </cell>
          <cell r="M5067" t="str">
            <v>C5794</v>
          </cell>
          <cell r="AC5067">
            <v>38.80169678</v>
          </cell>
          <cell r="AD5067">
            <v>36.657470699999998</v>
          </cell>
        </row>
        <row r="5068">
          <cell r="L5068" t="str">
            <v>البديع</v>
          </cell>
          <cell r="M5068" t="str">
            <v>C5795</v>
          </cell>
          <cell r="AC5068">
            <v>38.924072270000003</v>
          </cell>
          <cell r="AD5068">
            <v>36.652526860000002</v>
          </cell>
        </row>
        <row r="5069">
          <cell r="L5069" t="str">
            <v>تل أحمر فوقاني</v>
          </cell>
          <cell r="M5069" t="str">
            <v>C5796</v>
          </cell>
          <cell r="AC5069">
            <v>38.800720220000002</v>
          </cell>
          <cell r="AD5069">
            <v>36.699096679999997</v>
          </cell>
        </row>
        <row r="5070">
          <cell r="L5070" t="str">
            <v>تل أخضر</v>
          </cell>
          <cell r="M5070" t="str">
            <v>C5797</v>
          </cell>
          <cell r="AC5070">
            <v>38.841308589999997</v>
          </cell>
          <cell r="AD5070">
            <v>36.68127441</v>
          </cell>
        </row>
        <row r="5071">
          <cell r="L5071" t="str">
            <v>المستديرة</v>
          </cell>
          <cell r="M5071" t="str">
            <v>C5798</v>
          </cell>
          <cell r="AC5071">
            <v>38.820129399999999</v>
          </cell>
          <cell r="AD5071">
            <v>36.687927250000001</v>
          </cell>
        </row>
        <row r="5072">
          <cell r="L5072" t="str">
            <v>خربة الفرس</v>
          </cell>
          <cell r="M5072" t="str">
            <v>C5799</v>
          </cell>
          <cell r="AC5072">
            <v>38.79528809</v>
          </cell>
          <cell r="AD5072">
            <v>36.624694820000002</v>
          </cell>
        </row>
        <row r="5073">
          <cell r="L5073" t="str">
            <v>عبادي</v>
          </cell>
          <cell r="M5073" t="str">
            <v>C5800</v>
          </cell>
          <cell r="AC5073">
            <v>38.781921390000001</v>
          </cell>
          <cell r="AD5073">
            <v>36.687072749999999</v>
          </cell>
        </row>
        <row r="5074">
          <cell r="L5074" t="str">
            <v>خربة الرز</v>
          </cell>
          <cell r="M5074" t="str">
            <v>C5801</v>
          </cell>
          <cell r="AC5074">
            <v>38.980285649999999</v>
          </cell>
          <cell r="AD5074">
            <v>36.58111572</v>
          </cell>
        </row>
        <row r="5075">
          <cell r="L5075" t="str">
            <v>عمورية</v>
          </cell>
          <cell r="M5075" t="str">
            <v>C5802</v>
          </cell>
          <cell r="AC5075">
            <v>38.727111819999998</v>
          </cell>
          <cell r="AD5075">
            <v>36.605529789999999</v>
          </cell>
        </row>
        <row r="5076">
          <cell r="L5076" t="str">
            <v>الزرزوري</v>
          </cell>
          <cell r="M5076" t="str">
            <v>C5803</v>
          </cell>
          <cell r="AC5076">
            <v>38.718872070000003</v>
          </cell>
          <cell r="AD5076">
            <v>36.69647217</v>
          </cell>
        </row>
        <row r="5077">
          <cell r="L5077" t="str">
            <v>ريحانة_صونة</v>
          </cell>
          <cell r="M5077" t="str">
            <v>C5804</v>
          </cell>
          <cell r="AC5077">
            <v>38.888488770000002</v>
          </cell>
          <cell r="AD5077">
            <v>36.672912599999997</v>
          </cell>
        </row>
        <row r="5078">
          <cell r="L5078" t="str">
            <v>حويجة عبدي</v>
          </cell>
          <cell r="M5078" t="str">
            <v>C5805</v>
          </cell>
          <cell r="AC5078">
            <v>38.973327640000001</v>
          </cell>
          <cell r="AD5078">
            <v>36.629272460000003</v>
          </cell>
        </row>
        <row r="5079">
          <cell r="L5079" t="str">
            <v>رجم حلاوة</v>
          </cell>
          <cell r="M5079" t="str">
            <v>C5806</v>
          </cell>
          <cell r="AC5079">
            <v>39.063476559999998</v>
          </cell>
          <cell r="AD5079">
            <v>36.636291499999999</v>
          </cell>
        </row>
        <row r="5080">
          <cell r="L5080" t="str">
            <v>الكنانة</v>
          </cell>
          <cell r="M5080" t="str">
            <v>C5807</v>
          </cell>
          <cell r="AC5080">
            <v>38.695678710000003</v>
          </cell>
          <cell r="AD5080">
            <v>36.709716800000002</v>
          </cell>
        </row>
        <row r="5081">
          <cell r="L5081" t="str">
            <v>بئر عاشق</v>
          </cell>
          <cell r="M5081" t="str">
            <v>C5808</v>
          </cell>
          <cell r="AC5081">
            <v>39.019470220000002</v>
          </cell>
          <cell r="AD5081">
            <v>36.680908199999998</v>
          </cell>
        </row>
        <row r="5082">
          <cell r="L5082" t="str">
            <v>بنات علي</v>
          </cell>
          <cell r="M5082" t="str">
            <v>C5809</v>
          </cell>
          <cell r="AC5082">
            <v>38.753723149999999</v>
          </cell>
          <cell r="AD5082">
            <v>36.625488279999999</v>
          </cell>
        </row>
        <row r="5083">
          <cell r="L5083" t="str">
            <v>بئر عرب</v>
          </cell>
          <cell r="M5083" t="str">
            <v>C5810</v>
          </cell>
          <cell r="AC5083">
            <v>38.714477539999997</v>
          </cell>
          <cell r="AD5083">
            <v>36.655517580000001</v>
          </cell>
        </row>
        <row r="5084">
          <cell r="L5084" t="str">
            <v>زنبقة غربي</v>
          </cell>
          <cell r="M5084" t="str">
            <v>C5811</v>
          </cell>
          <cell r="AC5084">
            <v>38.844726559999998</v>
          </cell>
          <cell r="AD5084">
            <v>36.581726070000002</v>
          </cell>
        </row>
        <row r="5085">
          <cell r="L5085" t="str">
            <v>جنداوي</v>
          </cell>
          <cell r="M5085" t="str">
            <v>C5812</v>
          </cell>
          <cell r="AC5085">
            <v>39.072082520000002</v>
          </cell>
          <cell r="AD5085">
            <v>36.699707029999999</v>
          </cell>
        </row>
        <row r="5086">
          <cell r="L5086" t="str">
            <v>جميلية</v>
          </cell>
          <cell r="M5086" t="str">
            <v>C5813</v>
          </cell>
          <cell r="AC5086">
            <v>38.715271000000001</v>
          </cell>
          <cell r="AD5086">
            <v>36.629516600000002</v>
          </cell>
        </row>
        <row r="5087">
          <cell r="L5087" t="str">
            <v>سراجية</v>
          </cell>
          <cell r="M5087" t="str">
            <v>C5814</v>
          </cell>
          <cell r="AC5087">
            <v>38.762512209999997</v>
          </cell>
          <cell r="AD5087">
            <v>36.641723630000001</v>
          </cell>
        </row>
        <row r="5088">
          <cell r="L5088" t="str">
            <v>الديك غربي</v>
          </cell>
          <cell r="M5088" t="str">
            <v>C5815</v>
          </cell>
          <cell r="AC5088">
            <v>38.841308589999997</v>
          </cell>
          <cell r="AD5088">
            <v>36.643127440000001</v>
          </cell>
        </row>
        <row r="5089">
          <cell r="L5089" t="str">
            <v>القيصرية</v>
          </cell>
          <cell r="M5089" t="str">
            <v>C5816</v>
          </cell>
          <cell r="AC5089">
            <v>38.953491210000003</v>
          </cell>
          <cell r="AD5089">
            <v>36.573730470000001</v>
          </cell>
        </row>
        <row r="5090">
          <cell r="L5090" t="str">
            <v>سعيدة</v>
          </cell>
          <cell r="M5090" t="str">
            <v>C5817</v>
          </cell>
          <cell r="AC5090">
            <v>39.061706540000003</v>
          </cell>
          <cell r="AD5090">
            <v>36.66888428</v>
          </cell>
        </row>
        <row r="5091">
          <cell r="L5091" t="str">
            <v>رأس كبير</v>
          </cell>
          <cell r="M5091" t="str">
            <v>C5818</v>
          </cell>
          <cell r="AC5091">
            <v>38.601684570000003</v>
          </cell>
          <cell r="AD5091">
            <v>36.671081540000003</v>
          </cell>
        </row>
        <row r="5092">
          <cell r="L5092" t="str">
            <v>خابورة</v>
          </cell>
          <cell r="M5092" t="str">
            <v>C5819</v>
          </cell>
          <cell r="AC5092">
            <v>38.975524900000003</v>
          </cell>
          <cell r="AD5092">
            <v>36.665893560000001</v>
          </cell>
        </row>
        <row r="5093">
          <cell r="L5093" t="str">
            <v>السكرية</v>
          </cell>
          <cell r="M5093" t="str">
            <v>C5820</v>
          </cell>
          <cell r="AC5093">
            <v>38.843872070000003</v>
          </cell>
          <cell r="AD5093">
            <v>36.66107178</v>
          </cell>
        </row>
        <row r="5094">
          <cell r="L5094" t="str">
            <v>بريغي</v>
          </cell>
          <cell r="M5094" t="str">
            <v>C5821</v>
          </cell>
          <cell r="AC5094">
            <v>38.992492679999998</v>
          </cell>
          <cell r="AD5094">
            <v>36.660278320000003</v>
          </cell>
        </row>
        <row r="5095">
          <cell r="L5095" t="str">
            <v>عباطين</v>
          </cell>
          <cell r="M5095" t="str">
            <v>C5822</v>
          </cell>
          <cell r="AC5095">
            <v>39.010314940000001</v>
          </cell>
          <cell r="AD5095">
            <v>36.663513180000002</v>
          </cell>
        </row>
        <row r="5096">
          <cell r="L5096" t="str">
            <v>سوسك</v>
          </cell>
          <cell r="M5096" t="str">
            <v>C5823</v>
          </cell>
          <cell r="AC5096">
            <v>38.832885740000002</v>
          </cell>
          <cell r="AD5096">
            <v>36.696716309999999</v>
          </cell>
        </row>
        <row r="5097">
          <cell r="L5097" t="str">
            <v>أبو حية</v>
          </cell>
          <cell r="M5097" t="str">
            <v>C5824</v>
          </cell>
          <cell r="AC5097">
            <v>38.703125</v>
          </cell>
          <cell r="AD5097">
            <v>36.59191895</v>
          </cell>
        </row>
        <row r="5098">
          <cell r="L5098" t="str">
            <v>قرنفل تحتاني</v>
          </cell>
          <cell r="M5098" t="str">
            <v>C5825</v>
          </cell>
          <cell r="AC5098">
            <v>38.723327640000001</v>
          </cell>
          <cell r="AD5098">
            <v>36.643493650000003</v>
          </cell>
        </row>
        <row r="5099">
          <cell r="L5099" t="str">
            <v>يابسة</v>
          </cell>
          <cell r="M5099" t="str">
            <v>C5826</v>
          </cell>
          <cell r="AC5099">
            <v>38.905700680000002</v>
          </cell>
          <cell r="AD5099">
            <v>36.691284179999997</v>
          </cell>
        </row>
        <row r="5100">
          <cell r="L5100" t="str">
            <v>يمامة كبيرة</v>
          </cell>
          <cell r="M5100" t="str">
            <v>C5827</v>
          </cell>
          <cell r="AC5100">
            <v>38.608093259999997</v>
          </cell>
          <cell r="AD5100">
            <v>36.630126949999998</v>
          </cell>
        </row>
        <row r="5101">
          <cell r="L5101" t="str">
            <v>مشرفة الشيخ</v>
          </cell>
          <cell r="M5101" t="str">
            <v>C5828</v>
          </cell>
          <cell r="AC5101">
            <v>39.029113770000002</v>
          </cell>
          <cell r="AD5101">
            <v>36.700500490000003</v>
          </cell>
        </row>
        <row r="5102">
          <cell r="L5102" t="str">
            <v>فرجة</v>
          </cell>
          <cell r="M5102" t="str">
            <v>C5829</v>
          </cell>
          <cell r="AC5102">
            <v>38.913513180000002</v>
          </cell>
          <cell r="AD5102">
            <v>36.630126949999998</v>
          </cell>
        </row>
        <row r="5103">
          <cell r="L5103" t="str">
            <v>قصاص غربي</v>
          </cell>
          <cell r="M5103" t="str">
            <v>C5830</v>
          </cell>
          <cell r="AC5103">
            <v>38.87268066</v>
          </cell>
          <cell r="AD5103">
            <v>36.625671390000001</v>
          </cell>
        </row>
        <row r="5104">
          <cell r="L5104" t="str">
            <v>ذيبان</v>
          </cell>
          <cell r="M5104" t="str">
            <v>C5832</v>
          </cell>
          <cell r="AC5104">
            <v>39.115905759999997</v>
          </cell>
          <cell r="AD5104">
            <v>36.634277339999997</v>
          </cell>
        </row>
        <row r="5105">
          <cell r="L5105" t="str">
            <v>خربة الناقة</v>
          </cell>
          <cell r="M5105" t="str">
            <v>C5833</v>
          </cell>
          <cell r="AC5105">
            <v>39.521728520000003</v>
          </cell>
          <cell r="AD5105">
            <v>36.630676270000002</v>
          </cell>
        </row>
        <row r="5106">
          <cell r="L5106" t="str">
            <v>الزعزوع</v>
          </cell>
          <cell r="M5106" t="str">
            <v>C5834</v>
          </cell>
          <cell r="AC5106">
            <v>39.226074220000001</v>
          </cell>
          <cell r="AD5106">
            <v>36.64428711</v>
          </cell>
        </row>
        <row r="5107">
          <cell r="L5107" t="str">
            <v>الزيدي</v>
          </cell>
          <cell r="M5107" t="str">
            <v>C5835</v>
          </cell>
          <cell r="AC5107">
            <v>39.506286619999997</v>
          </cell>
          <cell r="AD5107">
            <v>36.567687990000003</v>
          </cell>
        </row>
        <row r="5108">
          <cell r="L5108" t="str">
            <v>السرب الشرقية</v>
          </cell>
          <cell r="M5108" t="str">
            <v>C5836</v>
          </cell>
          <cell r="AC5108">
            <v>39.601928710000003</v>
          </cell>
          <cell r="AD5108">
            <v>36.445922850000002</v>
          </cell>
        </row>
        <row r="5109">
          <cell r="L5109" t="str">
            <v>خنيفس</v>
          </cell>
          <cell r="M5109" t="str">
            <v>C5837</v>
          </cell>
          <cell r="AC5109">
            <v>39.562927250000001</v>
          </cell>
          <cell r="AD5109">
            <v>36.391113279999999</v>
          </cell>
        </row>
        <row r="5110">
          <cell r="L5110" t="str">
            <v>أم حرمل</v>
          </cell>
          <cell r="M5110" t="str">
            <v>C5838</v>
          </cell>
          <cell r="AC5110">
            <v>39.646911619999997</v>
          </cell>
          <cell r="AD5110">
            <v>36.4453125</v>
          </cell>
        </row>
        <row r="5111">
          <cell r="L5111" t="str">
            <v>ددو</v>
          </cell>
          <cell r="M5111" t="str">
            <v>C5839</v>
          </cell>
          <cell r="AC5111">
            <v>39.380126949999998</v>
          </cell>
          <cell r="AD5111">
            <v>36.504699709999997</v>
          </cell>
        </row>
        <row r="5112">
          <cell r="L5112" t="str">
            <v>خربة جريدي</v>
          </cell>
          <cell r="M5112" t="str">
            <v>C5840</v>
          </cell>
          <cell r="AC5112">
            <v>39.104125979999999</v>
          </cell>
          <cell r="AD5112">
            <v>36.438476559999998</v>
          </cell>
        </row>
        <row r="5113">
          <cell r="L5113" t="str">
            <v>الخويتلة</v>
          </cell>
          <cell r="M5113" t="str">
            <v>C5841</v>
          </cell>
          <cell r="AC5113">
            <v>39.133300779999999</v>
          </cell>
          <cell r="AD5113">
            <v>36.650878910000003</v>
          </cell>
        </row>
        <row r="5114">
          <cell r="L5114" t="str">
            <v>أصيلم_البراشمة</v>
          </cell>
          <cell r="M5114" t="str">
            <v>C5842</v>
          </cell>
          <cell r="AC5114">
            <v>39.189514160000002</v>
          </cell>
          <cell r="AD5114">
            <v>36.401123050000002</v>
          </cell>
        </row>
        <row r="5115">
          <cell r="L5115" t="str">
            <v>سلوك</v>
          </cell>
          <cell r="M5115" t="str">
            <v>C5843</v>
          </cell>
          <cell r="AC5115">
            <v>39.126525880000003</v>
          </cell>
          <cell r="AD5115">
            <v>36.596679690000002</v>
          </cell>
        </row>
        <row r="5116">
          <cell r="L5116" t="str">
            <v>تل حمام</v>
          </cell>
          <cell r="M5116" t="str">
            <v>C5844</v>
          </cell>
          <cell r="AC5116">
            <v>39.053894040000003</v>
          </cell>
          <cell r="AD5116">
            <v>36.482910160000003</v>
          </cell>
        </row>
        <row r="5117">
          <cell r="L5117" t="str">
            <v>أم الحيايا</v>
          </cell>
          <cell r="M5117" t="str">
            <v>C5845</v>
          </cell>
          <cell r="AC5117">
            <v>39.47747803</v>
          </cell>
          <cell r="AD5117">
            <v>36.596923830000001</v>
          </cell>
        </row>
        <row r="5118">
          <cell r="L5118" t="str">
            <v>الشلخي</v>
          </cell>
          <cell r="M5118" t="str">
            <v>C5846</v>
          </cell>
          <cell r="AC5118">
            <v>39.133483890000001</v>
          </cell>
          <cell r="AD5118">
            <v>36.426879880000001</v>
          </cell>
        </row>
        <row r="5119">
          <cell r="L5119" t="str">
            <v>حواسي</v>
          </cell>
          <cell r="M5119" t="str">
            <v>C5847</v>
          </cell>
          <cell r="AC5119">
            <v>39.438476559999998</v>
          </cell>
          <cell r="AD5119">
            <v>36.60272217</v>
          </cell>
        </row>
        <row r="5120">
          <cell r="L5120" t="str">
            <v>الخويرة الصغيرة</v>
          </cell>
          <cell r="M5120" t="str">
            <v>C5848</v>
          </cell>
          <cell r="AC5120">
            <v>39.494323729999998</v>
          </cell>
          <cell r="AD5120">
            <v>36.669494630000003</v>
          </cell>
        </row>
        <row r="5121">
          <cell r="L5121" t="str">
            <v>الطيبة</v>
          </cell>
          <cell r="M5121" t="str">
            <v>C5849</v>
          </cell>
          <cell r="AC5121">
            <v>39.429077149999998</v>
          </cell>
          <cell r="AD5121">
            <v>36.628723149999999</v>
          </cell>
        </row>
        <row r="5122">
          <cell r="L5122" t="str">
            <v>الخاتون</v>
          </cell>
          <cell r="M5122" t="str">
            <v>C5850</v>
          </cell>
          <cell r="AC5122">
            <v>39.583923339999998</v>
          </cell>
          <cell r="AD5122">
            <v>36.562072749999999</v>
          </cell>
        </row>
        <row r="5123">
          <cell r="L5123" t="str">
            <v>رغيلان</v>
          </cell>
          <cell r="M5123" t="str">
            <v>C5851</v>
          </cell>
          <cell r="AC5123">
            <v>39.58410645</v>
          </cell>
          <cell r="AD5123">
            <v>36.311523440000002</v>
          </cell>
        </row>
        <row r="5124">
          <cell r="L5124" t="str">
            <v>شكيل</v>
          </cell>
          <cell r="M5124" t="str">
            <v>C5852</v>
          </cell>
          <cell r="AC5124">
            <v>39.333312990000003</v>
          </cell>
          <cell r="AD5124">
            <v>36.49127197</v>
          </cell>
        </row>
        <row r="5125">
          <cell r="L5125" t="str">
            <v>رجم عنوة</v>
          </cell>
          <cell r="M5125" t="str">
            <v>C5853</v>
          </cell>
          <cell r="AC5125">
            <v>39.465881349999997</v>
          </cell>
          <cell r="AD5125">
            <v>36.683288570000002</v>
          </cell>
        </row>
        <row r="5126">
          <cell r="L5126" t="str">
            <v>شمندور</v>
          </cell>
          <cell r="M5126" t="str">
            <v>C5854</v>
          </cell>
          <cell r="AC5126">
            <v>39.456298830000001</v>
          </cell>
          <cell r="AD5126">
            <v>36.348876949999998</v>
          </cell>
        </row>
        <row r="5127">
          <cell r="L5127" t="str">
            <v>خاتونية سلوك</v>
          </cell>
          <cell r="M5127" t="str">
            <v>C5855</v>
          </cell>
          <cell r="AC5127">
            <v>39.07928467</v>
          </cell>
          <cell r="AD5127">
            <v>36.604919430000002</v>
          </cell>
        </row>
        <row r="5128">
          <cell r="L5128" t="str">
            <v>الخويرة الكبيرة</v>
          </cell>
          <cell r="M5128" t="str">
            <v>C5856</v>
          </cell>
          <cell r="AC5128">
            <v>39.49127197</v>
          </cell>
          <cell r="AD5128">
            <v>36.643127440000001</v>
          </cell>
        </row>
        <row r="5129">
          <cell r="L5129" t="str">
            <v>بئر صفعك</v>
          </cell>
          <cell r="M5129" t="str">
            <v>C5857</v>
          </cell>
          <cell r="AC5129">
            <v>39.416320800000001</v>
          </cell>
          <cell r="AD5129">
            <v>36.520874020000001</v>
          </cell>
        </row>
        <row r="5130">
          <cell r="L5130" t="str">
            <v>البويدر</v>
          </cell>
          <cell r="M5130" t="str">
            <v>C5858</v>
          </cell>
          <cell r="AC5130">
            <v>39.5177002</v>
          </cell>
          <cell r="AD5130">
            <v>36.647705080000001</v>
          </cell>
        </row>
        <row r="5131">
          <cell r="L5131" t="str">
            <v>عيوة</v>
          </cell>
          <cell r="M5131" t="str">
            <v>C5859</v>
          </cell>
          <cell r="AC5131">
            <v>39.492675779999999</v>
          </cell>
          <cell r="AD5131">
            <v>36.434875490000003</v>
          </cell>
        </row>
        <row r="5132">
          <cell r="L5132" t="str">
            <v>بئر محمد الخضر</v>
          </cell>
          <cell r="M5132" t="str">
            <v>C5861</v>
          </cell>
          <cell r="AC5132">
            <v>39.104919430000002</v>
          </cell>
          <cell r="AD5132">
            <v>36.635314940000001</v>
          </cell>
        </row>
        <row r="5133">
          <cell r="L5133" t="str">
            <v>المالكية</v>
          </cell>
          <cell r="M5133" t="str">
            <v>C5863</v>
          </cell>
          <cell r="AC5133">
            <v>39.349670410000002</v>
          </cell>
          <cell r="AD5133">
            <v>36.495483399999998</v>
          </cell>
        </row>
        <row r="5134">
          <cell r="L5134" t="str">
            <v>بئر عاصي</v>
          </cell>
          <cell r="M5134" t="str">
            <v>C5864</v>
          </cell>
          <cell r="AC5134">
            <v>39.306091309999999</v>
          </cell>
          <cell r="AD5134">
            <v>36.586486819999998</v>
          </cell>
        </row>
        <row r="5135">
          <cell r="L5135" t="str">
            <v>الكيصوم</v>
          </cell>
          <cell r="M5135" t="str">
            <v>C5865</v>
          </cell>
          <cell r="AC5135">
            <v>39.307312009999997</v>
          </cell>
          <cell r="AD5135">
            <v>36.609680179999998</v>
          </cell>
        </row>
        <row r="5136">
          <cell r="L5136" t="str">
            <v>بطيمان</v>
          </cell>
          <cell r="M5136" t="str">
            <v>C5866</v>
          </cell>
          <cell r="AC5136">
            <v>39.748291020000003</v>
          </cell>
          <cell r="AD5136">
            <v>36.200927729999997</v>
          </cell>
        </row>
        <row r="5137">
          <cell r="L5137" t="str">
            <v>عربيد</v>
          </cell>
          <cell r="M5137" t="str">
            <v>C5867</v>
          </cell>
          <cell r="AC5137">
            <v>39.155517580000001</v>
          </cell>
          <cell r="AD5137">
            <v>36.570495610000002</v>
          </cell>
        </row>
        <row r="5138">
          <cell r="L5138" t="str">
            <v>طويل الشويخ</v>
          </cell>
          <cell r="M5138" t="str">
            <v>C5868</v>
          </cell>
          <cell r="AC5138">
            <v>39.150085449999999</v>
          </cell>
          <cell r="AD5138">
            <v>36.550292970000001</v>
          </cell>
        </row>
        <row r="5139">
          <cell r="L5139" t="str">
            <v>المالح</v>
          </cell>
          <cell r="M5139" t="str">
            <v>C5869</v>
          </cell>
          <cell r="AC5139">
            <v>39.001892089999998</v>
          </cell>
          <cell r="AD5139">
            <v>36.59490967</v>
          </cell>
        </row>
        <row r="5140">
          <cell r="L5140" t="str">
            <v>عايشة</v>
          </cell>
          <cell r="M5140" t="str">
            <v>C5870</v>
          </cell>
          <cell r="AC5140">
            <v>39.366699220000001</v>
          </cell>
          <cell r="AD5140">
            <v>36.645874020000001</v>
          </cell>
        </row>
        <row r="5141">
          <cell r="L5141" t="str">
            <v>الماكف</v>
          </cell>
          <cell r="M5141" t="str">
            <v>C5871</v>
          </cell>
          <cell r="AC5141">
            <v>39.431518560000001</v>
          </cell>
          <cell r="AD5141">
            <v>36.507080080000001</v>
          </cell>
        </row>
        <row r="5142">
          <cell r="L5142" t="str">
            <v>القنيطرة</v>
          </cell>
          <cell r="M5142" t="str">
            <v>C5872</v>
          </cell>
          <cell r="AC5142">
            <v>39.223876949999998</v>
          </cell>
          <cell r="AD5142">
            <v>36.664123539999999</v>
          </cell>
        </row>
        <row r="5143">
          <cell r="L5143" t="str">
            <v>عالية</v>
          </cell>
          <cell r="M5143" t="str">
            <v>C5873</v>
          </cell>
          <cell r="AC5143">
            <v>39.238891600000002</v>
          </cell>
          <cell r="AD5143">
            <v>36.630126949999998</v>
          </cell>
        </row>
        <row r="5144">
          <cell r="L5144" t="str">
            <v>أبو حيا</v>
          </cell>
          <cell r="M5144" t="str">
            <v>C5874</v>
          </cell>
          <cell r="AC5144">
            <v>39.391479490000002</v>
          </cell>
          <cell r="AD5144">
            <v>36.483703609999999</v>
          </cell>
        </row>
        <row r="5145">
          <cell r="L5145" t="str">
            <v>بئر المعاجلة</v>
          </cell>
          <cell r="M5145" t="str">
            <v>C5875</v>
          </cell>
          <cell r="AC5145">
            <v>39.193908690000001</v>
          </cell>
          <cell r="AD5145">
            <v>36.651489259999998</v>
          </cell>
        </row>
        <row r="5146">
          <cell r="L5146" t="str">
            <v>غزلان</v>
          </cell>
          <cell r="M5146" t="str">
            <v>C5876</v>
          </cell>
          <cell r="AC5146">
            <v>39.407470699999998</v>
          </cell>
          <cell r="AD5146">
            <v>36.677124020000001</v>
          </cell>
        </row>
        <row r="5147">
          <cell r="L5147" t="str">
            <v>العطشانة سلوك</v>
          </cell>
          <cell r="M5147" t="str">
            <v>C5877</v>
          </cell>
          <cell r="AC5147">
            <v>39.176330569999998</v>
          </cell>
          <cell r="AD5147">
            <v>36.63647461</v>
          </cell>
        </row>
        <row r="5148">
          <cell r="L5148" t="str">
            <v>بئر الخفاجي</v>
          </cell>
          <cell r="M5148" t="str">
            <v>C5878</v>
          </cell>
          <cell r="AC5148">
            <v>39.451110839999998</v>
          </cell>
          <cell r="AD5148">
            <v>36.495483399999998</v>
          </cell>
        </row>
        <row r="5149">
          <cell r="L5149" t="str">
            <v>الدهليز</v>
          </cell>
          <cell r="M5149" t="str">
            <v>C5879</v>
          </cell>
          <cell r="AC5149">
            <v>39.473327640000001</v>
          </cell>
          <cell r="AD5149">
            <v>36.560729979999998</v>
          </cell>
        </row>
        <row r="5150">
          <cell r="L5150" t="str">
            <v>الثديين</v>
          </cell>
          <cell r="M5150" t="str">
            <v>C5880</v>
          </cell>
          <cell r="AC5150">
            <v>39.157714839999997</v>
          </cell>
          <cell r="AD5150">
            <v>36.58111572</v>
          </cell>
        </row>
        <row r="5151">
          <cell r="L5151" t="str">
            <v>أبو حية الهوز</v>
          </cell>
          <cell r="M5151" t="str">
            <v>C5881</v>
          </cell>
          <cell r="AC5151">
            <v>39.18450928</v>
          </cell>
          <cell r="AD5151">
            <v>36.56091309</v>
          </cell>
        </row>
        <row r="5152">
          <cell r="L5152" t="str">
            <v>باب الخير</v>
          </cell>
          <cell r="M5152" t="str">
            <v>C5882</v>
          </cell>
          <cell r="AC5152">
            <v>39.32147217</v>
          </cell>
          <cell r="AD5152">
            <v>36.526489259999998</v>
          </cell>
        </row>
        <row r="5153">
          <cell r="L5153" t="str">
            <v>بديع سلوك</v>
          </cell>
          <cell r="M5153" t="str">
            <v>C5883</v>
          </cell>
          <cell r="AC5153">
            <v>39.385070800000001</v>
          </cell>
          <cell r="AD5153">
            <v>36.598876949999998</v>
          </cell>
        </row>
        <row r="5154">
          <cell r="L5154" t="str">
            <v>الهبة</v>
          </cell>
          <cell r="M5154" t="str">
            <v>C5884</v>
          </cell>
          <cell r="AC5154">
            <v>39.5255127</v>
          </cell>
          <cell r="AD5154">
            <v>36.308715820000003</v>
          </cell>
        </row>
        <row r="5155">
          <cell r="L5155" t="str">
            <v>العكل</v>
          </cell>
          <cell r="M5155" t="str">
            <v>C5885</v>
          </cell>
          <cell r="AC5155">
            <v>39.34350586</v>
          </cell>
          <cell r="AD5155">
            <v>36.631713869999999</v>
          </cell>
        </row>
        <row r="5156">
          <cell r="L5156" t="str">
            <v>صوفان</v>
          </cell>
          <cell r="M5156" t="str">
            <v>C5887</v>
          </cell>
          <cell r="AC5156">
            <v>39.182312009999997</v>
          </cell>
          <cell r="AD5156">
            <v>36.423889160000002</v>
          </cell>
        </row>
        <row r="5157">
          <cell r="L5157" t="str">
            <v>الدخيلانية</v>
          </cell>
          <cell r="M5157" t="str">
            <v>C5888</v>
          </cell>
          <cell r="AC5157">
            <v>39.477294919999999</v>
          </cell>
          <cell r="AD5157">
            <v>36.613891600000002</v>
          </cell>
        </row>
        <row r="5158">
          <cell r="L5158" t="str">
            <v>غويلان</v>
          </cell>
          <cell r="M5158" t="str">
            <v>C5889</v>
          </cell>
          <cell r="AC5158">
            <v>39.342285160000003</v>
          </cell>
          <cell r="AD5158">
            <v>36.674499509999997</v>
          </cell>
        </row>
        <row r="5159">
          <cell r="L5159" t="str">
            <v>هطيل الحمر</v>
          </cell>
          <cell r="M5159" t="str">
            <v>C5891</v>
          </cell>
          <cell r="AC5159">
            <v>39.497497559999999</v>
          </cell>
          <cell r="AD5159">
            <v>36.513671879999997</v>
          </cell>
        </row>
        <row r="5160">
          <cell r="L5160" t="str">
            <v>كطار</v>
          </cell>
          <cell r="M5160" t="str">
            <v>C5892</v>
          </cell>
          <cell r="AC5160">
            <v>39.205322270000003</v>
          </cell>
          <cell r="AD5160">
            <v>36.60131836</v>
          </cell>
        </row>
        <row r="5161">
          <cell r="L5161" t="str">
            <v>هكشة</v>
          </cell>
          <cell r="M5161" t="str">
            <v>C5893</v>
          </cell>
          <cell r="AC5161">
            <v>39.450317380000001</v>
          </cell>
          <cell r="AD5161">
            <v>36.642517089999998</v>
          </cell>
        </row>
        <row r="5162">
          <cell r="L5162" t="str">
            <v>بئر عيسى</v>
          </cell>
          <cell r="M5162" t="str">
            <v>C5894</v>
          </cell>
          <cell r="AC5162">
            <v>39.037292479999998</v>
          </cell>
          <cell r="AD5162">
            <v>36.438476559999998</v>
          </cell>
        </row>
        <row r="5163">
          <cell r="L5163" t="str">
            <v>أمية</v>
          </cell>
          <cell r="M5163" t="str">
            <v>C5895</v>
          </cell>
          <cell r="AC5163">
            <v>38.757873539999999</v>
          </cell>
          <cell r="AD5163">
            <v>36.509094240000003</v>
          </cell>
        </row>
        <row r="5164">
          <cell r="L5164" t="str">
            <v>سبع جفار</v>
          </cell>
          <cell r="M5164" t="str">
            <v>C5896</v>
          </cell>
          <cell r="AC5164">
            <v>38.679077149999998</v>
          </cell>
          <cell r="AD5164">
            <v>36.510925290000003</v>
          </cell>
        </row>
        <row r="5165">
          <cell r="L5165" t="str">
            <v>جرن الأسود تحتاني</v>
          </cell>
          <cell r="M5165" t="str">
            <v>C5897</v>
          </cell>
          <cell r="AC5165">
            <v>38.802490229999997</v>
          </cell>
          <cell r="AD5165">
            <v>36.550720220000002</v>
          </cell>
        </row>
        <row r="5166">
          <cell r="L5166" t="str">
            <v>أبو خرزة</v>
          </cell>
          <cell r="M5166" t="str">
            <v>C5898</v>
          </cell>
          <cell r="AC5166">
            <v>38.785095220000002</v>
          </cell>
          <cell r="AD5166">
            <v>36.507324220000001</v>
          </cell>
        </row>
        <row r="5167">
          <cell r="L5167" t="str">
            <v>عريضة عجيل</v>
          </cell>
          <cell r="M5167" t="str">
            <v>C5899</v>
          </cell>
          <cell r="AC5167">
            <v>38.834289550000001</v>
          </cell>
          <cell r="AD5167">
            <v>36.490295410000002</v>
          </cell>
        </row>
        <row r="5168">
          <cell r="L5168" t="str">
            <v>الناصرية</v>
          </cell>
          <cell r="M5168" t="str">
            <v>C5900</v>
          </cell>
          <cell r="AC5168">
            <v>38.758300779999999</v>
          </cell>
          <cell r="AD5168">
            <v>36.293090820000003</v>
          </cell>
        </row>
        <row r="5169">
          <cell r="L5169" t="str">
            <v>المهرة</v>
          </cell>
          <cell r="M5169" t="str">
            <v>C5902</v>
          </cell>
          <cell r="AC5169">
            <v>38.81848145</v>
          </cell>
          <cell r="AD5169">
            <v>36.572326660000002</v>
          </cell>
        </row>
        <row r="5170">
          <cell r="L5170" t="str">
            <v>عريضة أبو جرادة</v>
          </cell>
          <cell r="M5170" t="str">
            <v>C5903</v>
          </cell>
          <cell r="AC5170">
            <v>38.761901860000002</v>
          </cell>
          <cell r="AD5170">
            <v>36.536682130000003</v>
          </cell>
        </row>
        <row r="5171">
          <cell r="L5171" t="str">
            <v>الحجازية</v>
          </cell>
          <cell r="M5171" t="str">
            <v>C5904</v>
          </cell>
          <cell r="AC5171">
            <v>38.816101070000002</v>
          </cell>
          <cell r="AD5171">
            <v>36.599670410000002</v>
          </cell>
        </row>
        <row r="5172">
          <cell r="L5172" t="str">
            <v>عين عيسى</v>
          </cell>
          <cell r="M5172" t="str">
            <v>C5905</v>
          </cell>
          <cell r="AC5172">
            <v>38.862915039999997</v>
          </cell>
          <cell r="AD5172">
            <v>36.38372803</v>
          </cell>
        </row>
        <row r="5173">
          <cell r="L5173" t="str">
            <v>خربة هدلا</v>
          </cell>
          <cell r="M5173" t="str">
            <v>C5906</v>
          </cell>
          <cell r="AC5173">
            <v>38.660888669999999</v>
          </cell>
          <cell r="AD5173">
            <v>36.296508789999997</v>
          </cell>
        </row>
        <row r="5174">
          <cell r="L5174" t="str">
            <v>الزنباق</v>
          </cell>
          <cell r="M5174" t="str">
            <v>C5907</v>
          </cell>
          <cell r="AC5174">
            <v>38.958312990000003</v>
          </cell>
          <cell r="AD5174">
            <v>36.552917479999998</v>
          </cell>
        </row>
        <row r="5175">
          <cell r="L5175" t="str">
            <v>صخرة عبد الشيخ</v>
          </cell>
          <cell r="M5175" t="str">
            <v>C5908</v>
          </cell>
          <cell r="AC5175">
            <v>38.962890629999997</v>
          </cell>
          <cell r="AD5175">
            <v>36.51330566</v>
          </cell>
        </row>
        <row r="5176">
          <cell r="L5176" t="str">
            <v>السرامدة</v>
          </cell>
          <cell r="M5176" t="str">
            <v>C5909</v>
          </cell>
          <cell r="AC5176">
            <v>38.935485839999998</v>
          </cell>
          <cell r="AD5176">
            <v>36.407287599999997</v>
          </cell>
        </row>
        <row r="5177">
          <cell r="L5177" t="str">
            <v>بئر خات</v>
          </cell>
          <cell r="M5177" t="str">
            <v>C5910</v>
          </cell>
          <cell r="AC5177">
            <v>38.69689941</v>
          </cell>
          <cell r="AD5177">
            <v>36.551086429999998</v>
          </cell>
        </row>
        <row r="5178">
          <cell r="L5178" t="str">
            <v>الشركراك</v>
          </cell>
          <cell r="M5178" t="str">
            <v>C5911</v>
          </cell>
          <cell r="AC5178">
            <v>38.977111819999998</v>
          </cell>
          <cell r="AD5178">
            <v>36.434692380000001</v>
          </cell>
        </row>
        <row r="5179">
          <cell r="L5179" t="str">
            <v>الأمين</v>
          </cell>
          <cell r="M5179" t="str">
            <v>C5912</v>
          </cell>
          <cell r="AC5179">
            <v>38.983520509999998</v>
          </cell>
          <cell r="AD5179">
            <v>36.544311520000001</v>
          </cell>
        </row>
        <row r="5180">
          <cell r="L5180" t="str">
            <v>الفاطسة</v>
          </cell>
          <cell r="M5180" t="str">
            <v>C5913</v>
          </cell>
          <cell r="AC5180">
            <v>38.968078609999999</v>
          </cell>
          <cell r="AD5180">
            <v>36.4005127</v>
          </cell>
        </row>
        <row r="5181">
          <cell r="L5181" t="str">
            <v>أبو نيتولة</v>
          </cell>
          <cell r="M5181" t="str">
            <v>C5914</v>
          </cell>
          <cell r="AC5181">
            <v>38.722717289999999</v>
          </cell>
          <cell r="AD5181">
            <v>36.453918459999997</v>
          </cell>
        </row>
        <row r="5182">
          <cell r="L5182" t="str">
            <v>الجهجاه</v>
          </cell>
          <cell r="M5182" t="str">
            <v>C5915</v>
          </cell>
          <cell r="AC5182">
            <v>38.848083500000001</v>
          </cell>
          <cell r="AD5182">
            <v>36.526489259999998</v>
          </cell>
        </row>
        <row r="5183">
          <cell r="L5183" t="str">
            <v>خربة البيضا</v>
          </cell>
          <cell r="M5183" t="str">
            <v>C5916</v>
          </cell>
          <cell r="AC5183">
            <v>39.066284179999997</v>
          </cell>
          <cell r="AD5183">
            <v>36.415283199999998</v>
          </cell>
        </row>
        <row r="5184">
          <cell r="L5184" t="str">
            <v>أبو مسناتين</v>
          </cell>
          <cell r="M5184" t="str">
            <v>C5917</v>
          </cell>
          <cell r="AC5184">
            <v>38.975280759999997</v>
          </cell>
          <cell r="AD5184">
            <v>36.494689940000001</v>
          </cell>
        </row>
        <row r="5185">
          <cell r="L5185" t="str">
            <v>كفيفة</v>
          </cell>
          <cell r="M5185" t="str">
            <v>C5918</v>
          </cell>
          <cell r="AC5185">
            <v>38.754699709999997</v>
          </cell>
          <cell r="AD5185">
            <v>36.562072749999999</v>
          </cell>
        </row>
        <row r="5186">
          <cell r="L5186" t="str">
            <v>واسطة الهيجان</v>
          </cell>
          <cell r="M5186" t="str">
            <v>C5919</v>
          </cell>
          <cell r="AC5186">
            <v>38.90509033</v>
          </cell>
          <cell r="AD5186">
            <v>36.397705080000001</v>
          </cell>
        </row>
        <row r="5187">
          <cell r="L5187" t="str">
            <v>ميسلون عين عيسى</v>
          </cell>
          <cell r="M5187" t="str">
            <v>C5920</v>
          </cell>
          <cell r="AC5187">
            <v>38.889526369999999</v>
          </cell>
          <cell r="AD5187">
            <v>36.506713869999999</v>
          </cell>
        </row>
        <row r="5188">
          <cell r="L5188" t="str">
            <v>مغار</v>
          </cell>
          <cell r="M5188" t="str">
            <v>C5921</v>
          </cell>
          <cell r="AC5188">
            <v>38.65991211</v>
          </cell>
          <cell r="AD5188">
            <v>36.391906740000003</v>
          </cell>
        </row>
        <row r="5189">
          <cell r="L5189" t="str">
            <v>هنانو</v>
          </cell>
          <cell r="M5189" t="str">
            <v>C5922</v>
          </cell>
          <cell r="AC5189">
            <v>38.901489259999998</v>
          </cell>
          <cell r="AD5189">
            <v>36.513488770000002</v>
          </cell>
        </row>
        <row r="5190">
          <cell r="L5190" t="str">
            <v>فرحانية</v>
          </cell>
          <cell r="M5190" t="str">
            <v>C5923</v>
          </cell>
          <cell r="AC5190">
            <v>38.853088380000003</v>
          </cell>
          <cell r="AD5190">
            <v>36.326904300000002</v>
          </cell>
        </row>
        <row r="5191">
          <cell r="L5191" t="str">
            <v>لقطة</v>
          </cell>
          <cell r="M5191" t="str">
            <v>C5924</v>
          </cell>
          <cell r="AC5191">
            <v>38.701110839999998</v>
          </cell>
          <cell r="AD5191">
            <v>36.494873050000002</v>
          </cell>
        </row>
        <row r="5192">
          <cell r="L5192" t="str">
            <v>مدلج</v>
          </cell>
          <cell r="M5192" t="str">
            <v>C5925</v>
          </cell>
          <cell r="AC5192">
            <v>38.82928467</v>
          </cell>
          <cell r="AD5192">
            <v>36.514892580000001</v>
          </cell>
        </row>
        <row r="5193">
          <cell r="L5193" t="str">
            <v>مريران</v>
          </cell>
          <cell r="M5193" t="str">
            <v>C5926</v>
          </cell>
          <cell r="AC5193">
            <v>38.906127929999997</v>
          </cell>
          <cell r="AD5193">
            <v>36.552490229999997</v>
          </cell>
        </row>
        <row r="5194">
          <cell r="L5194" t="str">
            <v>هيشة</v>
          </cell>
          <cell r="M5194" t="str">
            <v>C5927</v>
          </cell>
          <cell r="AC5194">
            <v>39.018127440000001</v>
          </cell>
          <cell r="AD5194">
            <v>36.35430908</v>
          </cell>
        </row>
        <row r="5195">
          <cell r="L5195" t="str">
            <v>مشرفة الهزاع</v>
          </cell>
          <cell r="M5195" t="str">
            <v>C5928</v>
          </cell>
          <cell r="AC5195">
            <v>38.926513669999999</v>
          </cell>
          <cell r="AD5195">
            <v>36.329528809999999</v>
          </cell>
        </row>
        <row r="5196">
          <cell r="L5196" t="str">
            <v>الثورة</v>
          </cell>
          <cell r="M5196" t="str">
            <v>C5929</v>
          </cell>
          <cell r="AC5196">
            <v>38.540100099999997</v>
          </cell>
          <cell r="AD5196">
            <v>35.830322270000003</v>
          </cell>
        </row>
        <row r="5197">
          <cell r="L5197" t="str">
            <v>رمثان</v>
          </cell>
          <cell r="M5197" t="str">
            <v>C5930</v>
          </cell>
          <cell r="AC5197">
            <v>38.239685059999999</v>
          </cell>
          <cell r="AD5197">
            <v>35.751098630000001</v>
          </cell>
        </row>
        <row r="5198">
          <cell r="L5198" t="str">
            <v>دبسي فرج</v>
          </cell>
          <cell r="M5198" t="str">
            <v>C5931</v>
          </cell>
          <cell r="AC5198">
            <v>38.161926270000002</v>
          </cell>
          <cell r="AD5198">
            <v>35.878112790000003</v>
          </cell>
        </row>
        <row r="5199">
          <cell r="L5199" t="str">
            <v>أبو هريرة</v>
          </cell>
          <cell r="M5199" t="str">
            <v>C5932</v>
          </cell>
          <cell r="AC5199">
            <v>38.376098630000001</v>
          </cell>
          <cell r="AD5199">
            <v>35.823913570000002</v>
          </cell>
        </row>
        <row r="5200">
          <cell r="L5200" t="str">
            <v>بئر هدلة</v>
          </cell>
          <cell r="M5200" t="str">
            <v>C5933</v>
          </cell>
          <cell r="AC5200">
            <v>38.604919430000002</v>
          </cell>
          <cell r="AD5200">
            <v>35.71368408</v>
          </cell>
        </row>
        <row r="5201">
          <cell r="L5201" t="str">
            <v>الكرادي</v>
          </cell>
          <cell r="M5201" t="str">
            <v>C5934</v>
          </cell>
          <cell r="AC5201">
            <v>38.663330080000001</v>
          </cell>
          <cell r="AD5201">
            <v>35.638671879999997</v>
          </cell>
        </row>
        <row r="5202">
          <cell r="L5202" t="str">
            <v>جعيدين</v>
          </cell>
          <cell r="M5202" t="str">
            <v>C5935</v>
          </cell>
          <cell r="AC5202">
            <v>38.677307130000003</v>
          </cell>
          <cell r="AD5202">
            <v>35.676330569999998</v>
          </cell>
        </row>
        <row r="5203">
          <cell r="L5203" t="str">
            <v>أبو كبيع غربي</v>
          </cell>
          <cell r="M5203" t="str">
            <v>C5936</v>
          </cell>
          <cell r="AC5203">
            <v>38.84490967</v>
          </cell>
          <cell r="AD5203">
            <v>35.914123539999999</v>
          </cell>
        </row>
        <row r="5204">
          <cell r="L5204" t="str">
            <v>الهورة</v>
          </cell>
          <cell r="M5204" t="str">
            <v>C5937</v>
          </cell>
          <cell r="AC5204">
            <v>38.46691895</v>
          </cell>
          <cell r="AD5204">
            <v>35.692504880000001</v>
          </cell>
        </row>
        <row r="5205">
          <cell r="L5205" t="str">
            <v>الصفصافة</v>
          </cell>
          <cell r="M5205" t="str">
            <v>C5938</v>
          </cell>
          <cell r="AC5205">
            <v>38.611083979999997</v>
          </cell>
          <cell r="AD5205">
            <v>35.834472660000003</v>
          </cell>
        </row>
        <row r="5206">
          <cell r="L5206" t="str">
            <v>دبسي عفنان</v>
          </cell>
          <cell r="M5206" t="str">
            <v>C5939</v>
          </cell>
          <cell r="AC5206">
            <v>38.21691895</v>
          </cell>
          <cell r="AD5206">
            <v>35.81872559</v>
          </cell>
        </row>
        <row r="5207">
          <cell r="L5207" t="str">
            <v>بئر إنباج</v>
          </cell>
          <cell r="M5207" t="str">
            <v>C5940</v>
          </cell>
          <cell r="AC5207">
            <v>38.33752441</v>
          </cell>
          <cell r="AD5207">
            <v>35.562072749999999</v>
          </cell>
        </row>
        <row r="5208">
          <cell r="L5208" t="str">
            <v>الكرين</v>
          </cell>
          <cell r="M5208" t="str">
            <v>C5941</v>
          </cell>
          <cell r="AC5208">
            <v>38.435485839999998</v>
          </cell>
          <cell r="AD5208">
            <v>35.779296879999997</v>
          </cell>
        </row>
        <row r="5209">
          <cell r="L5209" t="str">
            <v>المنصورة</v>
          </cell>
          <cell r="M5209" t="str">
            <v>C5942</v>
          </cell>
          <cell r="AC5209">
            <v>38.744323729999998</v>
          </cell>
          <cell r="AD5209">
            <v>35.839477539999997</v>
          </cell>
        </row>
        <row r="5210">
          <cell r="L5210" t="str">
            <v>العميرات</v>
          </cell>
          <cell r="M5210" t="str">
            <v>C5943</v>
          </cell>
          <cell r="AC5210">
            <v>38.180114750000001</v>
          </cell>
          <cell r="AD5210">
            <v>35.85247803</v>
          </cell>
        </row>
        <row r="5211">
          <cell r="L5211" t="str">
            <v>غزالة شرقية</v>
          </cell>
          <cell r="M5211" t="str">
            <v>C5944</v>
          </cell>
          <cell r="AC5211">
            <v>38.244873050000002</v>
          </cell>
          <cell r="AD5211">
            <v>35.870727539999997</v>
          </cell>
        </row>
        <row r="5212">
          <cell r="L5212" t="str">
            <v>بئر خطاب</v>
          </cell>
          <cell r="M5212" t="str">
            <v>C5945</v>
          </cell>
          <cell r="AC5212">
            <v>38.178894040000003</v>
          </cell>
          <cell r="AD5212">
            <v>35.749877929999997</v>
          </cell>
        </row>
        <row r="5213">
          <cell r="L5213" t="str">
            <v>الغماميز</v>
          </cell>
          <cell r="M5213" t="str">
            <v>C5946</v>
          </cell>
          <cell r="AC5213">
            <v>38.198120119999999</v>
          </cell>
          <cell r="AD5213">
            <v>35.847106930000002</v>
          </cell>
        </row>
        <row r="5214">
          <cell r="L5214" t="str">
            <v>شعيب الذكر</v>
          </cell>
          <cell r="M5214" t="str">
            <v>C5947</v>
          </cell>
          <cell r="AC5214">
            <v>38.276672359999999</v>
          </cell>
          <cell r="AD5214">
            <v>35.805908199999998</v>
          </cell>
        </row>
        <row r="5215">
          <cell r="L5215" t="str">
            <v>الزملة الشرقية</v>
          </cell>
          <cell r="M5215" t="str">
            <v>C5948</v>
          </cell>
          <cell r="AC5215">
            <v>39.001098630000001</v>
          </cell>
          <cell r="AD5215">
            <v>35.50231934</v>
          </cell>
        </row>
        <row r="5216">
          <cell r="L5216" t="str">
            <v>بئر أبو كبرى</v>
          </cell>
          <cell r="M5216" t="str">
            <v>C5949</v>
          </cell>
          <cell r="AC5216">
            <v>38.671875</v>
          </cell>
          <cell r="AD5216">
            <v>35.566101070000002</v>
          </cell>
        </row>
        <row r="5217">
          <cell r="L5217" t="str">
            <v>مدحير</v>
          </cell>
          <cell r="M5217" t="str">
            <v>C5951</v>
          </cell>
          <cell r="AC5217">
            <v>38.234680179999998</v>
          </cell>
          <cell r="AD5217">
            <v>35.807922359999999</v>
          </cell>
        </row>
        <row r="5218">
          <cell r="L5218" t="str">
            <v>مشرفة الصعب</v>
          </cell>
          <cell r="M5218" t="str">
            <v>C5952</v>
          </cell>
          <cell r="AC5218">
            <v>38.206909179999997</v>
          </cell>
          <cell r="AD5218">
            <v>35.871276860000002</v>
          </cell>
        </row>
        <row r="5219">
          <cell r="L5219" t="str">
            <v>فخيخة</v>
          </cell>
          <cell r="M5219" t="str">
            <v>C5953</v>
          </cell>
          <cell r="AC5219">
            <v>38.184692380000001</v>
          </cell>
          <cell r="AD5219">
            <v>35.923522949999999</v>
          </cell>
        </row>
        <row r="5220">
          <cell r="L5220" t="str">
            <v>بئر العطشانة</v>
          </cell>
          <cell r="M5220" t="str">
            <v>C5954</v>
          </cell>
          <cell r="AC5220">
            <v>38.21252441</v>
          </cell>
          <cell r="AD5220">
            <v>36.069274900000003</v>
          </cell>
        </row>
        <row r="5221">
          <cell r="L5221" t="str">
            <v>بئر الخزام</v>
          </cell>
          <cell r="M5221" t="str">
            <v>C5955</v>
          </cell>
          <cell r="AC5221">
            <v>38.395874020000001</v>
          </cell>
          <cell r="AD5221">
            <v>35.975097660000003</v>
          </cell>
        </row>
        <row r="5222">
          <cell r="L5222" t="str">
            <v>زريجية شمس الدين</v>
          </cell>
          <cell r="M5222" t="str">
            <v>C5956</v>
          </cell>
          <cell r="AC5222">
            <v>38.13049316</v>
          </cell>
          <cell r="AD5222">
            <v>36.21392822</v>
          </cell>
        </row>
        <row r="5223">
          <cell r="L5223" t="str">
            <v>حزوم</v>
          </cell>
          <cell r="M5223" t="str">
            <v>C5957</v>
          </cell>
          <cell r="AC5223">
            <v>38.343688970000002</v>
          </cell>
          <cell r="AD5223">
            <v>35.992675779999999</v>
          </cell>
        </row>
        <row r="5224">
          <cell r="L5224" t="str">
            <v>الواسطة</v>
          </cell>
          <cell r="M5224" t="str">
            <v>C5958</v>
          </cell>
          <cell r="AC5224">
            <v>38.314697270000003</v>
          </cell>
          <cell r="AD5224">
            <v>35.982727050000001</v>
          </cell>
        </row>
        <row r="5225">
          <cell r="L5225" t="str">
            <v>النفيلة</v>
          </cell>
          <cell r="M5225" t="str">
            <v>C5959</v>
          </cell>
          <cell r="AC5225">
            <v>38.269897460000003</v>
          </cell>
          <cell r="AD5225">
            <v>36.254089360000002</v>
          </cell>
        </row>
        <row r="5226">
          <cell r="L5226" t="str">
            <v>المويلح</v>
          </cell>
          <cell r="M5226" t="str">
            <v>C5960</v>
          </cell>
          <cell r="AC5226">
            <v>38.23669434</v>
          </cell>
          <cell r="AD5226">
            <v>36.18908691</v>
          </cell>
        </row>
        <row r="5227">
          <cell r="L5227" t="str">
            <v>حويجة حلاوة</v>
          </cell>
          <cell r="M5227" t="str">
            <v>C5961</v>
          </cell>
          <cell r="AC5227">
            <v>38.095275880000003</v>
          </cell>
          <cell r="AD5227">
            <v>36.123291020000003</v>
          </cell>
        </row>
        <row r="5228">
          <cell r="L5228" t="str">
            <v>الكنو</v>
          </cell>
          <cell r="M5228" t="str">
            <v>C5962</v>
          </cell>
          <cell r="AC5228">
            <v>38.525085449999999</v>
          </cell>
          <cell r="AD5228">
            <v>36.097717289999999</v>
          </cell>
        </row>
        <row r="5229">
          <cell r="L5229" t="str">
            <v>رجم الحمام</v>
          </cell>
          <cell r="M5229" t="str">
            <v>C5963</v>
          </cell>
          <cell r="AC5229">
            <v>38.166076660000002</v>
          </cell>
          <cell r="AD5229">
            <v>36.060729979999998</v>
          </cell>
        </row>
        <row r="5230">
          <cell r="L5230" t="str">
            <v>خاتونية الجرنية</v>
          </cell>
          <cell r="M5230" t="str">
            <v>C5964</v>
          </cell>
          <cell r="AC5230">
            <v>38.281311039999999</v>
          </cell>
          <cell r="AD5230">
            <v>36.190673830000001</v>
          </cell>
        </row>
        <row r="5231">
          <cell r="L5231" t="str">
            <v>الجرنية</v>
          </cell>
          <cell r="M5231" t="str">
            <v>C5965</v>
          </cell>
          <cell r="AC5231">
            <v>38.233886720000001</v>
          </cell>
          <cell r="AD5231">
            <v>36.160278320000003</v>
          </cell>
        </row>
        <row r="5232">
          <cell r="L5232" t="str">
            <v>المشيرفة الجرنية</v>
          </cell>
          <cell r="M5232" t="str">
            <v>C5966</v>
          </cell>
          <cell r="AC5232">
            <v>38.267883300000001</v>
          </cell>
          <cell r="AD5232">
            <v>36.016296390000001</v>
          </cell>
        </row>
        <row r="5233">
          <cell r="L5233" t="str">
            <v>أبو الشامات_أبو الكالات</v>
          </cell>
          <cell r="M5233" t="str">
            <v>C5967</v>
          </cell>
          <cell r="AC5233">
            <v>38.313903809999999</v>
          </cell>
          <cell r="AD5233">
            <v>36.075317380000001</v>
          </cell>
        </row>
        <row r="5234">
          <cell r="L5234" t="str">
            <v>المحمودلي</v>
          </cell>
          <cell r="M5234" t="str">
            <v>C5968</v>
          </cell>
          <cell r="AC5234">
            <v>38.545104979999998</v>
          </cell>
          <cell r="AD5234">
            <v>36.01287842</v>
          </cell>
        </row>
        <row r="5235">
          <cell r="L5235" t="str">
            <v>دخان</v>
          </cell>
          <cell r="M5235" t="str">
            <v>C5969</v>
          </cell>
          <cell r="AC5235">
            <v>38.389099119999997</v>
          </cell>
          <cell r="AD5235">
            <v>36.044311520000001</v>
          </cell>
        </row>
        <row r="5236">
          <cell r="L5236" t="str">
            <v>بادية الشوعة</v>
          </cell>
          <cell r="M5236" t="str">
            <v>C5971</v>
          </cell>
          <cell r="AC5236">
            <v>38.231689449999998</v>
          </cell>
          <cell r="AD5236">
            <v>36.010498050000002</v>
          </cell>
        </row>
        <row r="5237">
          <cell r="L5237" t="str">
            <v>تل عثمان</v>
          </cell>
          <cell r="M5237" t="str">
            <v>C5972</v>
          </cell>
          <cell r="AC5237">
            <v>38.242919919999999</v>
          </cell>
          <cell r="AD5237">
            <v>36.247070309999998</v>
          </cell>
        </row>
        <row r="5238">
          <cell r="L5238" t="str">
            <v>ثلاث خراب</v>
          </cell>
          <cell r="M5238" t="str">
            <v>C5973</v>
          </cell>
          <cell r="AC5238">
            <v>38.234680179999998</v>
          </cell>
          <cell r="AD5238">
            <v>36.104675290000003</v>
          </cell>
        </row>
        <row r="5239">
          <cell r="L5239" t="str">
            <v>أبو صخرة</v>
          </cell>
          <cell r="M5239" t="str">
            <v>C5974</v>
          </cell>
          <cell r="AC5239">
            <v>38.44647217</v>
          </cell>
          <cell r="AD5239">
            <v>35.984924319999998</v>
          </cell>
        </row>
        <row r="5240">
          <cell r="L5240" t="str">
            <v>الرملة</v>
          </cell>
          <cell r="M5240" t="str">
            <v>C5975</v>
          </cell>
          <cell r="AC5240">
            <v>38.429870610000002</v>
          </cell>
          <cell r="AD5240">
            <v>36.129699709999997</v>
          </cell>
        </row>
        <row r="5241">
          <cell r="L5241" t="str">
            <v>طاوي</v>
          </cell>
          <cell r="M5241" t="str">
            <v>C5976</v>
          </cell>
          <cell r="AC5241">
            <v>38.11328125</v>
          </cell>
          <cell r="AD5241">
            <v>36.180297850000002</v>
          </cell>
        </row>
        <row r="5242">
          <cell r="L5242" t="str">
            <v>الحمرة</v>
          </cell>
          <cell r="M5242" t="str">
            <v>C5977</v>
          </cell>
          <cell r="AC5242">
            <v>38.186706540000003</v>
          </cell>
          <cell r="AD5242">
            <v>36.072082520000002</v>
          </cell>
        </row>
        <row r="5243">
          <cell r="L5243" t="str">
            <v>ضحوة</v>
          </cell>
          <cell r="M5243" t="str">
            <v>C5978</v>
          </cell>
          <cell r="AC5243">
            <v>38.540710449999999</v>
          </cell>
          <cell r="AD5243">
            <v>36.155883789999997</v>
          </cell>
        </row>
        <row r="5244">
          <cell r="L5244" t="str">
            <v>الصفرة</v>
          </cell>
          <cell r="M5244" t="str">
            <v>C5979</v>
          </cell>
          <cell r="AC5244">
            <v>38.381286619999997</v>
          </cell>
          <cell r="AD5244">
            <v>35.938903809999999</v>
          </cell>
        </row>
        <row r="5245">
          <cell r="L5245" t="str">
            <v>بصراوي</v>
          </cell>
          <cell r="M5245" t="str">
            <v>C5980</v>
          </cell>
          <cell r="AC5245">
            <v>38.287109379999997</v>
          </cell>
          <cell r="AD5245">
            <v>36.114929199999999</v>
          </cell>
        </row>
        <row r="5246">
          <cell r="L5246" t="str">
            <v>جعبر شرقي</v>
          </cell>
          <cell r="M5246" t="str">
            <v>C5981</v>
          </cell>
          <cell r="AC5246">
            <v>38.52111816</v>
          </cell>
          <cell r="AD5246">
            <v>35.924072270000003</v>
          </cell>
        </row>
        <row r="5247">
          <cell r="L5247" t="str">
            <v>جعبر غربي</v>
          </cell>
          <cell r="M5247" t="str">
            <v>C5982</v>
          </cell>
          <cell r="AC5247">
            <v>38.495483399999998</v>
          </cell>
          <cell r="AD5247">
            <v>35.9296875</v>
          </cell>
        </row>
        <row r="5248">
          <cell r="L5248" t="str">
            <v>جعيبر</v>
          </cell>
          <cell r="M5248" t="str">
            <v>C5983</v>
          </cell>
          <cell r="AC5248">
            <v>38.414123539999999</v>
          </cell>
          <cell r="AD5248">
            <v>36.059875490000003</v>
          </cell>
        </row>
        <row r="5249">
          <cell r="L5249" t="str">
            <v>بئر شلال</v>
          </cell>
          <cell r="M5249" t="str">
            <v>C5984</v>
          </cell>
          <cell r="AC5249">
            <v>38.494689940000001</v>
          </cell>
          <cell r="AD5249">
            <v>36.052673339999998</v>
          </cell>
        </row>
        <row r="5250">
          <cell r="L5250" t="str">
            <v>بئر حاج خليف</v>
          </cell>
          <cell r="M5250" t="str">
            <v>C5985</v>
          </cell>
          <cell r="AC5250">
            <v>38.19830322</v>
          </cell>
          <cell r="AD5250">
            <v>36.108276369999999</v>
          </cell>
        </row>
        <row r="5251">
          <cell r="L5251" t="str">
            <v>شهيد الله</v>
          </cell>
          <cell r="M5251" t="str">
            <v>C5986</v>
          </cell>
          <cell r="AC5251">
            <v>38.314514160000002</v>
          </cell>
          <cell r="AD5251">
            <v>36.113891600000002</v>
          </cell>
        </row>
        <row r="5252">
          <cell r="L5252" t="str">
            <v>الظاهرية</v>
          </cell>
          <cell r="M5252" t="str">
            <v>C5987</v>
          </cell>
          <cell r="AC5252">
            <v>38.151672359999999</v>
          </cell>
          <cell r="AD5252">
            <v>36.09191895</v>
          </cell>
        </row>
        <row r="5253">
          <cell r="L5253" t="str">
            <v>شمس الدين</v>
          </cell>
          <cell r="M5253" t="str">
            <v>C5988</v>
          </cell>
          <cell r="AC5253">
            <v>38.194885249999999</v>
          </cell>
          <cell r="AD5253">
            <v>36.238708500000001</v>
          </cell>
        </row>
        <row r="5254">
          <cell r="L5254" t="str">
            <v>العجاجية</v>
          </cell>
          <cell r="M5254" t="str">
            <v>C5989</v>
          </cell>
          <cell r="AC5254">
            <v>38.291076660000002</v>
          </cell>
          <cell r="AD5254">
            <v>36.235107419999999</v>
          </cell>
        </row>
        <row r="5255">
          <cell r="L5255" t="str">
            <v>فلاح ربو</v>
          </cell>
          <cell r="M5255" t="str">
            <v>C5990</v>
          </cell>
          <cell r="AC5255">
            <v>38.213073729999998</v>
          </cell>
          <cell r="AD5255">
            <v>36.158081060000001</v>
          </cell>
        </row>
        <row r="5256">
          <cell r="L5256" t="str">
            <v>مجيبنة العمياء</v>
          </cell>
          <cell r="M5256" t="str">
            <v>C5991</v>
          </cell>
          <cell r="AC5256">
            <v>38.450073240000002</v>
          </cell>
          <cell r="AD5256">
            <v>36.17211914</v>
          </cell>
        </row>
        <row r="5257">
          <cell r="L5257" t="str">
            <v>الطيبة</v>
          </cell>
          <cell r="M5257" t="str">
            <v>C5992</v>
          </cell>
          <cell r="AC5257">
            <v>36.243530270000001</v>
          </cell>
          <cell r="AD5257">
            <v>32.563720699999998</v>
          </cell>
        </row>
        <row r="5258">
          <cell r="L5258" t="str">
            <v>درعا</v>
          </cell>
          <cell r="M5258" t="str">
            <v>C5993</v>
          </cell>
          <cell r="AC5258">
            <v>36.104919430000002</v>
          </cell>
          <cell r="AD5258">
            <v>32.62408447</v>
          </cell>
        </row>
        <row r="5259">
          <cell r="L5259" t="str">
            <v>عتمان</v>
          </cell>
          <cell r="M5259" t="str">
            <v>C5994</v>
          </cell>
          <cell r="AC5259">
            <v>36.114501949999998</v>
          </cell>
          <cell r="AD5259">
            <v>32.663085940000002</v>
          </cell>
        </row>
        <row r="5260">
          <cell r="L5260" t="str">
            <v>صيدا</v>
          </cell>
          <cell r="M5260" t="str">
            <v>C5995</v>
          </cell>
          <cell r="AC5260">
            <v>36.223693849999997</v>
          </cell>
          <cell r="AD5260">
            <v>32.628723149999999</v>
          </cell>
        </row>
        <row r="5261">
          <cell r="L5261" t="str">
            <v>أم المياذن</v>
          </cell>
          <cell r="M5261" t="str">
            <v>C5996</v>
          </cell>
          <cell r="AC5261">
            <v>36.19647217</v>
          </cell>
          <cell r="AD5261">
            <v>32.583679199999999</v>
          </cell>
        </row>
        <row r="5262">
          <cell r="L5262" t="str">
            <v>النعيمة</v>
          </cell>
          <cell r="M5262" t="str">
            <v>C5997</v>
          </cell>
          <cell r="AC5262">
            <v>36.1583252</v>
          </cell>
          <cell r="AD5262">
            <v>32.632324220000001</v>
          </cell>
        </row>
        <row r="5263">
          <cell r="L5263" t="str">
            <v>كحيل</v>
          </cell>
          <cell r="M5263" t="str">
            <v>C5998</v>
          </cell>
          <cell r="AC5263">
            <v>36.265075680000002</v>
          </cell>
          <cell r="AD5263">
            <v>32.618530270000001</v>
          </cell>
        </row>
        <row r="5264">
          <cell r="L5264" t="str">
            <v>نصيب</v>
          </cell>
          <cell r="M5264" t="str">
            <v>C5999</v>
          </cell>
          <cell r="AC5264">
            <v>36.186889649999998</v>
          </cell>
          <cell r="AD5264">
            <v>32.551330569999998</v>
          </cell>
        </row>
        <row r="5265">
          <cell r="L5265" t="str">
            <v>طيسيا</v>
          </cell>
          <cell r="M5265" t="str">
            <v>C6000</v>
          </cell>
          <cell r="AC5265">
            <v>36.455322270000003</v>
          </cell>
          <cell r="AD5265">
            <v>32.415893560000001</v>
          </cell>
        </row>
        <row r="5266">
          <cell r="L5266" t="str">
            <v>السماقيات</v>
          </cell>
          <cell r="M5266" t="str">
            <v>C6001</v>
          </cell>
          <cell r="AC5266">
            <v>36.395874020000001</v>
          </cell>
          <cell r="AD5266">
            <v>32.428283690000001</v>
          </cell>
        </row>
        <row r="5267">
          <cell r="L5267" t="str">
            <v>بصرى الشام</v>
          </cell>
          <cell r="M5267" t="str">
            <v>C6002</v>
          </cell>
          <cell r="AC5267">
            <v>36.477905270000001</v>
          </cell>
          <cell r="AD5267">
            <v>32.51470947</v>
          </cell>
        </row>
        <row r="5268">
          <cell r="L5268" t="str">
            <v>سمج</v>
          </cell>
          <cell r="M5268" t="str">
            <v>C6003</v>
          </cell>
          <cell r="AC5268">
            <v>36.491699220000001</v>
          </cell>
          <cell r="AD5268">
            <v>32.442871089999997</v>
          </cell>
        </row>
        <row r="5269">
          <cell r="L5269" t="str">
            <v>صماد</v>
          </cell>
          <cell r="M5269" t="str">
            <v>C6004</v>
          </cell>
          <cell r="AC5269">
            <v>36.520080569999998</v>
          </cell>
          <cell r="AD5269">
            <v>32.476501470000002</v>
          </cell>
        </row>
        <row r="5270">
          <cell r="L5270" t="str">
            <v>جمرين</v>
          </cell>
          <cell r="M5270" t="str">
            <v>C6005</v>
          </cell>
          <cell r="AC5270">
            <v>36.494873050000002</v>
          </cell>
          <cell r="AD5270">
            <v>32.54571533</v>
          </cell>
        </row>
        <row r="5271">
          <cell r="L5271" t="str">
            <v>أبو كاتولة</v>
          </cell>
          <cell r="M5271" t="str">
            <v>C6006</v>
          </cell>
          <cell r="AC5271">
            <v>36.417114259999998</v>
          </cell>
          <cell r="AD5271">
            <v>32.404479979999998</v>
          </cell>
        </row>
        <row r="5272">
          <cell r="L5272" t="str">
            <v>ندى</v>
          </cell>
          <cell r="M5272" t="str">
            <v>C6007</v>
          </cell>
          <cell r="AC5272">
            <v>36.354492190000002</v>
          </cell>
          <cell r="AD5272">
            <v>32.449279789999999</v>
          </cell>
        </row>
        <row r="5273">
          <cell r="L5273" t="str">
            <v>معربة</v>
          </cell>
          <cell r="M5273" t="str">
            <v>C6008</v>
          </cell>
          <cell r="AC5273">
            <v>36.427917479999998</v>
          </cell>
          <cell r="AD5273">
            <v>32.54571533</v>
          </cell>
        </row>
        <row r="5274">
          <cell r="L5274" t="str">
            <v>الغارية الشرقية</v>
          </cell>
          <cell r="M5274" t="str">
            <v>C6009</v>
          </cell>
          <cell r="AC5274">
            <v>36.26147461</v>
          </cell>
          <cell r="AD5274">
            <v>32.67669678</v>
          </cell>
        </row>
        <row r="5275">
          <cell r="L5275" t="str">
            <v>الغارية الغريبة</v>
          </cell>
          <cell r="M5275" t="str">
            <v>C6010</v>
          </cell>
          <cell r="AC5275">
            <v>36.223510740000002</v>
          </cell>
          <cell r="AD5275">
            <v>32.686279300000002</v>
          </cell>
        </row>
        <row r="5276">
          <cell r="L5276" t="str">
            <v>علما</v>
          </cell>
          <cell r="M5276" t="str">
            <v>C6011</v>
          </cell>
          <cell r="AC5276">
            <v>36.240722660000003</v>
          </cell>
          <cell r="AD5276">
            <v>32.75091553</v>
          </cell>
        </row>
        <row r="5277">
          <cell r="L5277" t="str">
            <v>خربة غزالة</v>
          </cell>
          <cell r="M5277" t="str">
            <v>C6012</v>
          </cell>
          <cell r="AC5277">
            <v>36.203308110000002</v>
          </cell>
          <cell r="AD5277">
            <v>32.734680179999998</v>
          </cell>
        </row>
        <row r="5278">
          <cell r="L5278" t="str">
            <v>حيط</v>
          </cell>
          <cell r="M5278" t="str">
            <v>C6013</v>
          </cell>
          <cell r="AC5278">
            <v>35.913085940000002</v>
          </cell>
          <cell r="AD5278">
            <v>32.753295899999998</v>
          </cell>
        </row>
        <row r="5279">
          <cell r="L5279" t="str">
            <v>عين ذكر</v>
          </cell>
          <cell r="M5279" t="str">
            <v>C6014</v>
          </cell>
          <cell r="AC5279">
            <v>35.9083252</v>
          </cell>
          <cell r="AD5279">
            <v>32.858703609999999</v>
          </cell>
        </row>
        <row r="5280">
          <cell r="L5280" t="str">
            <v>اللويحق</v>
          </cell>
          <cell r="M5280" t="str">
            <v>C6015</v>
          </cell>
          <cell r="AC5280">
            <v>35.87109375</v>
          </cell>
          <cell r="AD5280">
            <v>32.830505369999997</v>
          </cell>
        </row>
        <row r="5281">
          <cell r="L5281" t="str">
            <v>العارضه</v>
          </cell>
          <cell r="M5281" t="str">
            <v>C6016</v>
          </cell>
          <cell r="AC5281">
            <v>35.816711429999998</v>
          </cell>
          <cell r="AD5281">
            <v>32.774475099999997</v>
          </cell>
        </row>
        <row r="5282">
          <cell r="L5282" t="str">
            <v>القصير</v>
          </cell>
          <cell r="M5282" t="str">
            <v>C6017</v>
          </cell>
          <cell r="AC5282">
            <v>35.882324220000001</v>
          </cell>
          <cell r="AD5282">
            <v>32.742492679999998</v>
          </cell>
        </row>
        <row r="5283">
          <cell r="L5283" t="str">
            <v>سحم الجولان</v>
          </cell>
          <cell r="M5283" t="str">
            <v>C6018</v>
          </cell>
          <cell r="AC5283">
            <v>35.934082029999999</v>
          </cell>
          <cell r="AD5283">
            <v>32.78149414</v>
          </cell>
        </row>
        <row r="5284">
          <cell r="L5284" t="str">
            <v>الشبرق</v>
          </cell>
          <cell r="M5284" t="str">
            <v>C6019</v>
          </cell>
          <cell r="AC5284">
            <v>35.895874020000001</v>
          </cell>
          <cell r="AD5284">
            <v>32.835327149999998</v>
          </cell>
        </row>
        <row r="5285">
          <cell r="L5285" t="str">
            <v>أبو حارتين</v>
          </cell>
          <cell r="M5285" t="str">
            <v>C6020</v>
          </cell>
          <cell r="AC5285">
            <v>35.890319820000002</v>
          </cell>
          <cell r="AD5285">
            <v>32.857299810000001</v>
          </cell>
        </row>
        <row r="5286">
          <cell r="L5286" t="str">
            <v>الشجرة</v>
          </cell>
          <cell r="M5286" t="str">
            <v>C6021</v>
          </cell>
          <cell r="AC5286">
            <v>35.881530759999997</v>
          </cell>
          <cell r="AD5286">
            <v>32.776123050000002</v>
          </cell>
        </row>
        <row r="5287">
          <cell r="L5287" t="str">
            <v>بيت أرة</v>
          </cell>
          <cell r="M5287" t="str">
            <v>C6022</v>
          </cell>
          <cell r="AC5287">
            <v>35.83868408</v>
          </cell>
          <cell r="AD5287">
            <v>32.756286619999997</v>
          </cell>
        </row>
        <row r="5288">
          <cell r="L5288" t="str">
            <v>عابدين</v>
          </cell>
          <cell r="M5288" t="str">
            <v>C6023</v>
          </cell>
          <cell r="AC5288">
            <v>35.826721190000001</v>
          </cell>
          <cell r="AD5288">
            <v>32.779907229999999</v>
          </cell>
        </row>
        <row r="5289">
          <cell r="L5289" t="str">
            <v>جملة</v>
          </cell>
          <cell r="M5289" t="str">
            <v>C6024</v>
          </cell>
          <cell r="AC5289">
            <v>35.856689449999998</v>
          </cell>
          <cell r="AD5289">
            <v>32.8046875</v>
          </cell>
        </row>
        <row r="5290">
          <cell r="L5290" t="str">
            <v>كويا</v>
          </cell>
          <cell r="M5290" t="str">
            <v>C6025</v>
          </cell>
          <cell r="AC5290">
            <v>35.812683110000002</v>
          </cell>
          <cell r="AD5290">
            <v>32.748291020000003</v>
          </cell>
        </row>
        <row r="5291">
          <cell r="L5291" t="str">
            <v>مسيرتية</v>
          </cell>
          <cell r="M5291" t="str">
            <v>C6026</v>
          </cell>
          <cell r="AC5291">
            <v>35.862915039999997</v>
          </cell>
          <cell r="AD5291">
            <v>32.832092289999999</v>
          </cell>
        </row>
        <row r="5292">
          <cell r="L5292" t="str">
            <v>منشية كويا</v>
          </cell>
          <cell r="M5292" t="str">
            <v>C6027</v>
          </cell>
          <cell r="AC5292">
            <v>35.805480959999997</v>
          </cell>
          <cell r="AD5292">
            <v>32.759521479999997</v>
          </cell>
        </row>
        <row r="5293">
          <cell r="L5293" t="str">
            <v>نافعة</v>
          </cell>
          <cell r="M5293" t="str">
            <v>C6028</v>
          </cell>
          <cell r="AC5293">
            <v>35.894103999999999</v>
          </cell>
          <cell r="AD5293">
            <v>32.809692380000001</v>
          </cell>
        </row>
        <row r="5294">
          <cell r="L5294" t="str">
            <v>معرية</v>
          </cell>
          <cell r="M5294" t="str">
            <v>C6029</v>
          </cell>
          <cell r="AC5294">
            <v>35.800720220000002</v>
          </cell>
          <cell r="AD5294">
            <v>32.76470947</v>
          </cell>
        </row>
        <row r="5295">
          <cell r="L5295" t="str">
            <v>داعل</v>
          </cell>
          <cell r="M5295" t="str">
            <v>C6030</v>
          </cell>
          <cell r="AC5295">
            <v>36.131286619999997</v>
          </cell>
          <cell r="AD5295">
            <v>32.754516600000002</v>
          </cell>
        </row>
        <row r="5296">
          <cell r="L5296" t="str">
            <v>أبطع</v>
          </cell>
          <cell r="M5296" t="str">
            <v>C6031</v>
          </cell>
          <cell r="AC5296">
            <v>36.151123050000002</v>
          </cell>
          <cell r="AD5296">
            <v>32.792480470000001</v>
          </cell>
        </row>
        <row r="5297">
          <cell r="L5297" t="str">
            <v>اليادودة</v>
          </cell>
          <cell r="M5297" t="str">
            <v>C6032</v>
          </cell>
          <cell r="AC5297">
            <v>36.060119630000003</v>
          </cell>
          <cell r="AD5297">
            <v>32.66888428</v>
          </cell>
        </row>
        <row r="5298">
          <cell r="L5298" t="str">
            <v>تل شهاب</v>
          </cell>
          <cell r="M5298" t="str">
            <v>C6033</v>
          </cell>
          <cell r="AC5298">
            <v>35.984497070000003</v>
          </cell>
          <cell r="AD5298">
            <v>32.68908691</v>
          </cell>
        </row>
        <row r="5299">
          <cell r="L5299" t="str">
            <v>طفس</v>
          </cell>
          <cell r="M5299" t="str">
            <v>C6034</v>
          </cell>
          <cell r="AC5299">
            <v>36.06732178</v>
          </cell>
          <cell r="AD5299">
            <v>32.736328129999997</v>
          </cell>
        </row>
        <row r="5300">
          <cell r="L5300" t="str">
            <v>العجمي</v>
          </cell>
          <cell r="M5300" t="str">
            <v>C6035</v>
          </cell>
          <cell r="AC5300">
            <v>35.985900880000003</v>
          </cell>
          <cell r="AD5300">
            <v>32.736083979999997</v>
          </cell>
        </row>
        <row r="5301">
          <cell r="L5301" t="str">
            <v>الطبريات</v>
          </cell>
          <cell r="M5301" t="str">
            <v>C6036</v>
          </cell>
          <cell r="AC5301">
            <v>35.947509770000003</v>
          </cell>
          <cell r="AD5301">
            <v>32.715881349999997</v>
          </cell>
        </row>
        <row r="5302">
          <cell r="L5302" t="str">
            <v>زيزون</v>
          </cell>
          <cell r="M5302" t="str">
            <v>C6037</v>
          </cell>
          <cell r="AC5302">
            <v>35.941284179999997</v>
          </cell>
          <cell r="AD5302">
            <v>32.730529789999999</v>
          </cell>
        </row>
        <row r="5303">
          <cell r="L5303" t="str">
            <v>جلين</v>
          </cell>
          <cell r="M5303" t="str">
            <v>C6038</v>
          </cell>
          <cell r="AC5303">
            <v>35.994323729999998</v>
          </cell>
          <cell r="AD5303">
            <v>32.757873539999999</v>
          </cell>
        </row>
        <row r="5304">
          <cell r="L5304" t="str">
            <v>مزيريب</v>
          </cell>
          <cell r="M5304" t="str">
            <v>C6039</v>
          </cell>
          <cell r="AC5304">
            <v>36.026672359999999</v>
          </cell>
          <cell r="AD5304">
            <v>32.706909179999997</v>
          </cell>
        </row>
        <row r="5305">
          <cell r="L5305" t="str">
            <v>نهج</v>
          </cell>
          <cell r="M5305" t="str">
            <v>C6040</v>
          </cell>
          <cell r="AC5305">
            <v>35.988098149999999</v>
          </cell>
          <cell r="AD5305">
            <v>32.703674319999998</v>
          </cell>
        </row>
        <row r="5306">
          <cell r="L5306" t="str">
            <v>المتاعية</v>
          </cell>
          <cell r="M5306" t="str">
            <v>C6041</v>
          </cell>
          <cell r="AC5306">
            <v>36.290527339999997</v>
          </cell>
          <cell r="AD5306">
            <v>32.497070309999998</v>
          </cell>
        </row>
        <row r="5307">
          <cell r="L5307" t="str">
            <v>غصم</v>
          </cell>
          <cell r="M5307" t="str">
            <v>C6042</v>
          </cell>
          <cell r="AC5307">
            <v>36.373107910000002</v>
          </cell>
          <cell r="AD5307">
            <v>32.547302250000001</v>
          </cell>
        </row>
        <row r="5308">
          <cell r="L5308" t="str">
            <v>الجيزة</v>
          </cell>
          <cell r="M5308" t="str">
            <v>C6043</v>
          </cell>
          <cell r="AC5308">
            <v>36.31549072</v>
          </cell>
          <cell r="AD5308">
            <v>32.56848145</v>
          </cell>
        </row>
        <row r="5309">
          <cell r="L5309" t="str">
            <v>المسيفرة</v>
          </cell>
          <cell r="M5309" t="str">
            <v>C6044</v>
          </cell>
          <cell r="AC5309">
            <v>36.339477539999997</v>
          </cell>
          <cell r="AD5309">
            <v>32.630676270000002</v>
          </cell>
        </row>
        <row r="5310">
          <cell r="L5310" t="str">
            <v>السهوة</v>
          </cell>
          <cell r="M5310" t="str">
            <v>C6045</v>
          </cell>
          <cell r="AC5310">
            <v>36.366882320000002</v>
          </cell>
          <cell r="AD5310">
            <v>32.59790039</v>
          </cell>
        </row>
        <row r="5311">
          <cell r="L5311" t="str">
            <v>أم ولد</v>
          </cell>
          <cell r="M5311" t="str">
            <v>C6046</v>
          </cell>
          <cell r="AC5311">
            <v>36.433105470000001</v>
          </cell>
          <cell r="AD5311">
            <v>32.659484859999999</v>
          </cell>
        </row>
        <row r="5312">
          <cell r="L5312" t="str">
            <v>الكرك</v>
          </cell>
          <cell r="M5312" t="str">
            <v>C6047</v>
          </cell>
          <cell r="AC5312">
            <v>36.350097660000003</v>
          </cell>
          <cell r="AD5312">
            <v>32.686279300000002</v>
          </cell>
        </row>
        <row r="5313">
          <cell r="L5313" t="str">
            <v>الحارة</v>
          </cell>
          <cell r="M5313" t="str">
            <v>C6048</v>
          </cell>
          <cell r="AC5313">
            <v>36.005676270000002</v>
          </cell>
          <cell r="AD5313">
            <v>33.055297850000002</v>
          </cell>
        </row>
        <row r="5314">
          <cell r="L5314" t="str">
            <v>زمرين</v>
          </cell>
          <cell r="M5314" t="str">
            <v>C6049</v>
          </cell>
          <cell r="AC5314">
            <v>36.076477050000001</v>
          </cell>
          <cell r="AD5314">
            <v>33.061523440000002</v>
          </cell>
        </row>
        <row r="5315">
          <cell r="L5315" t="str">
            <v>القنية</v>
          </cell>
          <cell r="M5315" t="str">
            <v>C6050</v>
          </cell>
          <cell r="AC5315">
            <v>36.185119630000003</v>
          </cell>
          <cell r="AD5315">
            <v>33.010925290000003</v>
          </cell>
        </row>
        <row r="5316">
          <cell r="L5316" t="str">
            <v>الصنمين</v>
          </cell>
          <cell r="M5316" t="str">
            <v>C6051</v>
          </cell>
          <cell r="AC5316">
            <v>36.183288570000002</v>
          </cell>
          <cell r="AD5316">
            <v>33.071105959999997</v>
          </cell>
        </row>
        <row r="5317">
          <cell r="L5317" t="str">
            <v>برقة</v>
          </cell>
          <cell r="M5317" t="str">
            <v>C6052</v>
          </cell>
          <cell r="AC5317">
            <v>36.13647461</v>
          </cell>
          <cell r="AD5317">
            <v>32.929321289999997</v>
          </cell>
        </row>
        <row r="5318">
          <cell r="L5318" t="str">
            <v>خبب</v>
          </cell>
          <cell r="M5318" t="str">
            <v>C6053</v>
          </cell>
          <cell r="AC5318">
            <v>36.273498539999999</v>
          </cell>
          <cell r="AD5318">
            <v>33.01470947</v>
          </cell>
        </row>
        <row r="5319">
          <cell r="L5319" t="str">
            <v>ايب</v>
          </cell>
          <cell r="M5319" t="str">
            <v>C6054</v>
          </cell>
          <cell r="AC5319">
            <v>36.304504399999999</v>
          </cell>
          <cell r="AD5319">
            <v>33.046691899999999</v>
          </cell>
        </row>
        <row r="5320">
          <cell r="L5320" t="str">
            <v>سملين</v>
          </cell>
          <cell r="M5320" t="str">
            <v>C6055</v>
          </cell>
          <cell r="AC5320">
            <v>36.098083500000001</v>
          </cell>
          <cell r="AD5320">
            <v>33.041503910000003</v>
          </cell>
        </row>
        <row r="5321">
          <cell r="L5321" t="str">
            <v>بصير</v>
          </cell>
          <cell r="M5321" t="str">
            <v>C6056</v>
          </cell>
          <cell r="AC5321">
            <v>36.232482910000002</v>
          </cell>
          <cell r="AD5321">
            <v>33.062927250000001</v>
          </cell>
        </row>
        <row r="5322">
          <cell r="L5322" t="str">
            <v>تبنه</v>
          </cell>
          <cell r="M5322" t="str">
            <v>C6057</v>
          </cell>
          <cell r="AC5322">
            <v>36.217285160000003</v>
          </cell>
          <cell r="AD5322">
            <v>32.993713380000003</v>
          </cell>
        </row>
        <row r="5323">
          <cell r="L5323" t="str">
            <v>أنخل</v>
          </cell>
          <cell r="M5323" t="str">
            <v>C6058</v>
          </cell>
          <cell r="AC5323">
            <v>36.12731934</v>
          </cell>
          <cell r="AD5323">
            <v>33.018920899999998</v>
          </cell>
        </row>
        <row r="5324">
          <cell r="L5324" t="str">
            <v>جديا</v>
          </cell>
          <cell r="M5324" t="str">
            <v>C6059</v>
          </cell>
          <cell r="AC5324">
            <v>36.109313970000002</v>
          </cell>
          <cell r="AD5324">
            <v>33.06549072</v>
          </cell>
        </row>
        <row r="5325">
          <cell r="L5325" t="str">
            <v>الجسري</v>
          </cell>
          <cell r="M5325" t="str">
            <v>C6060</v>
          </cell>
          <cell r="AC5325">
            <v>36.354675290000003</v>
          </cell>
          <cell r="AD5325">
            <v>33.009277339999997</v>
          </cell>
        </row>
        <row r="5326">
          <cell r="L5326" t="str">
            <v>قيطة</v>
          </cell>
          <cell r="M5326" t="str">
            <v>C6061</v>
          </cell>
          <cell r="AC5326">
            <v>36.13671875</v>
          </cell>
          <cell r="AD5326">
            <v>33.07189941</v>
          </cell>
        </row>
        <row r="5327">
          <cell r="L5327" t="str">
            <v>كريم الجنوبي</v>
          </cell>
          <cell r="M5327" t="str">
            <v>C6062</v>
          </cell>
          <cell r="AC5327">
            <v>36.313293459999997</v>
          </cell>
          <cell r="AD5327">
            <v>33.060729979999998</v>
          </cell>
        </row>
        <row r="5328">
          <cell r="L5328" t="str">
            <v>كفر شمس</v>
          </cell>
          <cell r="M5328" t="str">
            <v>C6063</v>
          </cell>
          <cell r="AC5328">
            <v>36.107299810000001</v>
          </cell>
          <cell r="AD5328">
            <v>33.116699220000001</v>
          </cell>
        </row>
        <row r="5329">
          <cell r="L5329" t="str">
            <v>الزبيدية</v>
          </cell>
          <cell r="M5329" t="str">
            <v>C6064</v>
          </cell>
          <cell r="AC5329">
            <v>36.41290283</v>
          </cell>
          <cell r="AD5329">
            <v>33.235107419999999</v>
          </cell>
        </row>
        <row r="5330">
          <cell r="L5330" t="str">
            <v>ساكرة</v>
          </cell>
          <cell r="M5330" t="str">
            <v>C6065</v>
          </cell>
          <cell r="AC5330">
            <v>36.45288086</v>
          </cell>
          <cell r="AD5330">
            <v>33.171875</v>
          </cell>
        </row>
        <row r="5331">
          <cell r="L5331" t="str">
            <v>أم القصور</v>
          </cell>
          <cell r="M5331" t="str">
            <v>C6066</v>
          </cell>
          <cell r="AC5331">
            <v>36.33227539</v>
          </cell>
          <cell r="AD5331">
            <v>33.186889649999998</v>
          </cell>
        </row>
        <row r="5332">
          <cell r="L5332" t="str">
            <v>شعارة</v>
          </cell>
          <cell r="M5332" t="str">
            <v>C6067</v>
          </cell>
          <cell r="AC5332">
            <v>36.319885249999999</v>
          </cell>
          <cell r="AD5332">
            <v>33.092712400000003</v>
          </cell>
        </row>
        <row r="5333">
          <cell r="L5333" t="str">
            <v>المسمية</v>
          </cell>
          <cell r="M5333" t="str">
            <v>C6068</v>
          </cell>
          <cell r="AC5333">
            <v>36.380126949999998</v>
          </cell>
          <cell r="AD5333">
            <v>33.130676270000002</v>
          </cell>
        </row>
        <row r="5334">
          <cell r="L5334" t="str">
            <v>الشقرانية</v>
          </cell>
          <cell r="M5334" t="str">
            <v>C6069</v>
          </cell>
          <cell r="AC5334">
            <v>36.486877440000001</v>
          </cell>
          <cell r="AD5334">
            <v>33.248107910000002</v>
          </cell>
        </row>
        <row r="5335">
          <cell r="L5335" t="str">
            <v>الطف</v>
          </cell>
          <cell r="M5335" t="str">
            <v>C6070</v>
          </cell>
          <cell r="AC5335">
            <v>36.430480959999997</v>
          </cell>
          <cell r="AD5335">
            <v>33.106872559999999</v>
          </cell>
        </row>
        <row r="5336">
          <cell r="L5336" t="str">
            <v>حوش حماد</v>
          </cell>
          <cell r="M5336" t="str">
            <v>C6071</v>
          </cell>
          <cell r="AC5336">
            <v>36.505310059999999</v>
          </cell>
          <cell r="AD5336">
            <v>33.050109859999999</v>
          </cell>
        </row>
        <row r="5337">
          <cell r="L5337" t="str">
            <v>براق</v>
          </cell>
          <cell r="M5337" t="str">
            <v>C6072</v>
          </cell>
          <cell r="AC5337">
            <v>36.481506349999997</v>
          </cell>
          <cell r="AD5337">
            <v>33.183471679999997</v>
          </cell>
        </row>
        <row r="5338">
          <cell r="L5338" t="str">
            <v>بويضان</v>
          </cell>
          <cell r="M5338" t="str">
            <v>C6073</v>
          </cell>
          <cell r="AC5338">
            <v>36.428283690000001</v>
          </cell>
          <cell r="AD5338">
            <v>33.199096679999997</v>
          </cell>
        </row>
        <row r="5339">
          <cell r="L5339" t="str">
            <v>السويمرة</v>
          </cell>
          <cell r="M5339" t="str">
            <v>C6074</v>
          </cell>
          <cell r="AC5339">
            <v>36.528076169999999</v>
          </cell>
          <cell r="AD5339">
            <v>33.217712400000003</v>
          </cell>
        </row>
        <row r="5340">
          <cell r="L5340" t="str">
            <v>بلي</v>
          </cell>
          <cell r="M5340" t="str">
            <v>C6075</v>
          </cell>
          <cell r="AC5340">
            <v>36.461303710000003</v>
          </cell>
          <cell r="AD5340">
            <v>33.224304199999999</v>
          </cell>
        </row>
        <row r="5341">
          <cell r="L5341" t="str">
            <v>الشرائع</v>
          </cell>
          <cell r="M5341" t="str">
            <v>C6076</v>
          </cell>
          <cell r="AC5341">
            <v>36.340698240000002</v>
          </cell>
          <cell r="AD5341">
            <v>33.109313970000002</v>
          </cell>
        </row>
        <row r="5342">
          <cell r="L5342" t="str">
            <v>معرة البيضة</v>
          </cell>
          <cell r="M5342" t="str">
            <v>C6077</v>
          </cell>
          <cell r="AC5342">
            <v>36.409484859999999</v>
          </cell>
          <cell r="AD5342">
            <v>33.182495119999999</v>
          </cell>
        </row>
        <row r="5343">
          <cell r="L5343" t="str">
            <v>كريم الشمالي</v>
          </cell>
          <cell r="M5343" t="str">
            <v>C6078</v>
          </cell>
          <cell r="AC5343">
            <v>36.321289059999998</v>
          </cell>
          <cell r="AD5343">
            <v>33.069091800000002</v>
          </cell>
        </row>
        <row r="5344">
          <cell r="L5344" t="str">
            <v>عقربا</v>
          </cell>
          <cell r="M5344" t="str">
            <v>C6079</v>
          </cell>
          <cell r="AC5344">
            <v>36.007324220000001</v>
          </cell>
          <cell r="AD5344">
            <v>33.112304690000002</v>
          </cell>
        </row>
        <row r="5345">
          <cell r="L5345" t="str">
            <v>المال</v>
          </cell>
          <cell r="M5345" t="str">
            <v>C6080</v>
          </cell>
          <cell r="AC5345">
            <v>36.010498050000002</v>
          </cell>
          <cell r="AD5345">
            <v>33.13372803</v>
          </cell>
        </row>
        <row r="5346">
          <cell r="L5346" t="str">
            <v>دير العدس</v>
          </cell>
          <cell r="M5346" t="str">
            <v>C6081</v>
          </cell>
          <cell r="AC5346">
            <v>36.125671390000001</v>
          </cell>
          <cell r="AD5346">
            <v>33.160522460000003</v>
          </cell>
        </row>
        <row r="5347">
          <cell r="L5347" t="str">
            <v>دير البخت</v>
          </cell>
          <cell r="M5347" t="str">
            <v>C6082</v>
          </cell>
          <cell r="AC5347">
            <v>36.188903809999999</v>
          </cell>
          <cell r="AD5347">
            <v>33.145874020000001</v>
          </cell>
        </row>
        <row r="5348">
          <cell r="L5348" t="str">
            <v>غباغب</v>
          </cell>
          <cell r="M5348" t="str">
            <v>C6083</v>
          </cell>
          <cell r="AC5348">
            <v>36.227294919999999</v>
          </cell>
          <cell r="AD5348">
            <v>33.182922359999999</v>
          </cell>
        </row>
        <row r="5349">
          <cell r="L5349" t="str">
            <v>عالقين</v>
          </cell>
          <cell r="M5349" t="str">
            <v>C6084</v>
          </cell>
          <cell r="AC5349">
            <v>36.264099119999997</v>
          </cell>
          <cell r="AD5349">
            <v>33.224121089999997</v>
          </cell>
        </row>
        <row r="5350">
          <cell r="L5350" t="str">
            <v>الطيحة</v>
          </cell>
          <cell r="M5350" t="str">
            <v>C6085</v>
          </cell>
          <cell r="AC5350">
            <v>35.99768066</v>
          </cell>
          <cell r="AD5350">
            <v>33.147705080000001</v>
          </cell>
        </row>
        <row r="5351">
          <cell r="L5351" t="str">
            <v>جباب</v>
          </cell>
          <cell r="M5351" t="str">
            <v>C6086</v>
          </cell>
          <cell r="AC5351">
            <v>36.266479490000002</v>
          </cell>
          <cell r="AD5351">
            <v>33.11029053</v>
          </cell>
        </row>
        <row r="5352">
          <cell r="L5352" t="str">
            <v>كمونة</v>
          </cell>
          <cell r="M5352" t="str">
            <v>C6087</v>
          </cell>
          <cell r="AC5352">
            <v>36.23828125</v>
          </cell>
          <cell r="AD5352">
            <v>33.246521000000001</v>
          </cell>
        </row>
        <row r="5353">
          <cell r="L5353" t="str">
            <v>موثبين</v>
          </cell>
          <cell r="M5353" t="str">
            <v>C6088</v>
          </cell>
          <cell r="AC5353">
            <v>36.246276860000002</v>
          </cell>
          <cell r="AD5353">
            <v>33.141906740000003</v>
          </cell>
        </row>
        <row r="5354">
          <cell r="L5354" t="str">
            <v>كفر ناسج</v>
          </cell>
          <cell r="M5354" t="str">
            <v>C6089</v>
          </cell>
          <cell r="AC5354">
            <v>36.03747559</v>
          </cell>
          <cell r="AD5354">
            <v>33.150329589999998</v>
          </cell>
        </row>
        <row r="5355">
          <cell r="L5355" t="str">
            <v>منشية السبيل</v>
          </cell>
          <cell r="M5355" t="str">
            <v>C6090</v>
          </cell>
          <cell r="AC5355">
            <v>36.223083500000001</v>
          </cell>
          <cell r="AD5355">
            <v>33.249511720000001</v>
          </cell>
        </row>
        <row r="5356">
          <cell r="L5356" t="str">
            <v>منكت الحطب</v>
          </cell>
          <cell r="M5356" t="str">
            <v>C6091</v>
          </cell>
          <cell r="AC5356">
            <v>36.296875</v>
          </cell>
          <cell r="AD5356">
            <v>33.20910645</v>
          </cell>
        </row>
        <row r="5357">
          <cell r="L5357" t="str">
            <v>رويسات</v>
          </cell>
          <cell r="M5357" t="str">
            <v>C6092</v>
          </cell>
          <cell r="AC5357">
            <v>36.3125</v>
          </cell>
          <cell r="AD5357">
            <v>32.975708009999998</v>
          </cell>
        </row>
        <row r="5358">
          <cell r="L5358" t="str">
            <v>المطلة</v>
          </cell>
          <cell r="M5358" t="str">
            <v>C6093</v>
          </cell>
          <cell r="AC5358">
            <v>36.324523929999998</v>
          </cell>
          <cell r="AD5358">
            <v>32.98828125</v>
          </cell>
        </row>
        <row r="5359">
          <cell r="L5359" t="str">
            <v>حامر</v>
          </cell>
          <cell r="M5359" t="str">
            <v>C6094</v>
          </cell>
          <cell r="AC5359">
            <v>36.291503910000003</v>
          </cell>
          <cell r="AD5359">
            <v>32.94647217</v>
          </cell>
        </row>
        <row r="5360">
          <cell r="L5360" t="str">
            <v>الزباير</v>
          </cell>
          <cell r="M5360" t="str">
            <v>C6095</v>
          </cell>
          <cell r="AC5360">
            <v>36.300292970000001</v>
          </cell>
          <cell r="AD5360">
            <v>32.987487790000003</v>
          </cell>
        </row>
        <row r="5361">
          <cell r="L5361" t="str">
            <v>جدل</v>
          </cell>
          <cell r="M5361" t="str">
            <v>C6096</v>
          </cell>
          <cell r="AC5361">
            <v>36.365295410000002</v>
          </cell>
          <cell r="AD5361">
            <v>32.971923830000001</v>
          </cell>
        </row>
        <row r="5362">
          <cell r="L5362" t="str">
            <v>الملزومة</v>
          </cell>
          <cell r="M5362" t="str">
            <v>C6097</v>
          </cell>
          <cell r="AC5362">
            <v>36.260070800000001</v>
          </cell>
          <cell r="AD5362">
            <v>32.897705080000001</v>
          </cell>
        </row>
        <row r="5363">
          <cell r="L5363" t="str">
            <v>صور</v>
          </cell>
          <cell r="M5363" t="str">
            <v>C6098</v>
          </cell>
          <cell r="AC5363">
            <v>36.304321289999997</v>
          </cell>
          <cell r="AD5363">
            <v>32.958496089999997</v>
          </cell>
        </row>
        <row r="5364">
          <cell r="L5364" t="str">
            <v>شقرا</v>
          </cell>
          <cell r="M5364" t="str">
            <v>C6099</v>
          </cell>
          <cell r="AC5364">
            <v>36.237304690000002</v>
          </cell>
          <cell r="AD5364">
            <v>32.906921390000001</v>
          </cell>
        </row>
        <row r="5365">
          <cell r="L5365" t="str">
            <v>النجيح</v>
          </cell>
          <cell r="M5365" t="str">
            <v>C6100</v>
          </cell>
          <cell r="AC5365">
            <v>36.25231934</v>
          </cell>
          <cell r="AD5365">
            <v>32.93127441</v>
          </cell>
        </row>
        <row r="5366">
          <cell r="L5366" t="str">
            <v>ازرع</v>
          </cell>
          <cell r="M5366" t="str">
            <v>C6101</v>
          </cell>
          <cell r="AC5366">
            <v>36.254089360000002</v>
          </cell>
          <cell r="AD5366">
            <v>32.867675779999999</v>
          </cell>
        </row>
        <row r="5367">
          <cell r="L5367" t="str">
            <v>المجيدل</v>
          </cell>
          <cell r="M5367" t="str">
            <v>C6102</v>
          </cell>
          <cell r="AC5367">
            <v>36.254699709999997</v>
          </cell>
          <cell r="AD5367">
            <v>32.962890629999997</v>
          </cell>
        </row>
        <row r="5368">
          <cell r="L5368" t="str">
            <v>عاسم</v>
          </cell>
          <cell r="M5368" t="str">
            <v>C6103</v>
          </cell>
          <cell r="AC5368">
            <v>36.323486330000001</v>
          </cell>
          <cell r="AD5368">
            <v>32.948486330000001</v>
          </cell>
        </row>
        <row r="5369">
          <cell r="L5369" t="str">
            <v>البوير</v>
          </cell>
          <cell r="M5369" t="str">
            <v>C6104</v>
          </cell>
          <cell r="AC5369">
            <v>36.286682130000003</v>
          </cell>
          <cell r="AD5369">
            <v>32.932495119999999</v>
          </cell>
        </row>
        <row r="5370">
          <cell r="L5370" t="str">
            <v>بصرالحرير</v>
          </cell>
          <cell r="M5370" t="str">
            <v>C6105</v>
          </cell>
          <cell r="AC5370">
            <v>36.340271000000001</v>
          </cell>
          <cell r="AD5370">
            <v>32.83892822</v>
          </cell>
        </row>
        <row r="5371">
          <cell r="L5371" t="str">
            <v>الوراد</v>
          </cell>
          <cell r="M5371" t="str">
            <v>C6106</v>
          </cell>
          <cell r="AC5371">
            <v>36.285888669999999</v>
          </cell>
          <cell r="AD5371">
            <v>32.900878910000003</v>
          </cell>
        </row>
        <row r="5372">
          <cell r="L5372" t="str">
            <v>محجة</v>
          </cell>
          <cell r="M5372" t="str">
            <v>C6107</v>
          </cell>
          <cell r="AC5372">
            <v>36.222290039999997</v>
          </cell>
          <cell r="AD5372">
            <v>32.958312990000003</v>
          </cell>
        </row>
        <row r="5373">
          <cell r="L5373" t="str">
            <v>مليحة العطش</v>
          </cell>
          <cell r="M5373" t="str">
            <v>C6108</v>
          </cell>
          <cell r="AC5373">
            <v>36.293701169999999</v>
          </cell>
          <cell r="AD5373">
            <v>32.824523929999998</v>
          </cell>
        </row>
        <row r="5374">
          <cell r="L5374" t="str">
            <v>قيراطة</v>
          </cell>
          <cell r="M5374" t="str">
            <v>C6109</v>
          </cell>
          <cell r="AC5374">
            <v>36.267517089999998</v>
          </cell>
          <cell r="AD5374">
            <v>32.949279789999999</v>
          </cell>
        </row>
        <row r="5375">
          <cell r="L5375" t="str">
            <v>مسيكة</v>
          </cell>
          <cell r="M5375" t="str">
            <v>C6110</v>
          </cell>
          <cell r="AC5375">
            <v>36.312072749999999</v>
          </cell>
          <cell r="AD5375">
            <v>32.921325680000002</v>
          </cell>
        </row>
        <row r="5376">
          <cell r="L5376" t="str">
            <v>جاسم</v>
          </cell>
          <cell r="M5376" t="str">
            <v>C6111</v>
          </cell>
          <cell r="AC5376">
            <v>36.060302729999997</v>
          </cell>
          <cell r="AD5376">
            <v>32.991088869999999</v>
          </cell>
        </row>
        <row r="5377">
          <cell r="L5377" t="str">
            <v>نمر</v>
          </cell>
          <cell r="M5377" t="str">
            <v>C6112</v>
          </cell>
          <cell r="AC5377">
            <v>36.026672359999999</v>
          </cell>
          <cell r="AD5377">
            <v>33.022888180000002</v>
          </cell>
        </row>
        <row r="5378">
          <cell r="L5378" t="str">
            <v>رخم</v>
          </cell>
          <cell r="M5378" t="str">
            <v>C6113</v>
          </cell>
          <cell r="AC5378">
            <v>36.344482419999999</v>
          </cell>
          <cell r="AD5378">
            <v>32.718688970000002</v>
          </cell>
        </row>
        <row r="5379">
          <cell r="L5379" t="str">
            <v>المليحة الغربية</v>
          </cell>
          <cell r="M5379" t="str">
            <v>C6114</v>
          </cell>
          <cell r="AC5379">
            <v>36.344116210000003</v>
          </cell>
          <cell r="AD5379">
            <v>32.75091553</v>
          </cell>
        </row>
        <row r="5380">
          <cell r="L5380" t="str">
            <v>الصورة</v>
          </cell>
          <cell r="M5380" t="str">
            <v>C6115</v>
          </cell>
          <cell r="AC5380">
            <v>36.260925290000003</v>
          </cell>
          <cell r="AD5380">
            <v>32.750488279999999</v>
          </cell>
        </row>
        <row r="5381">
          <cell r="L5381" t="str">
            <v>الحراك</v>
          </cell>
          <cell r="M5381" t="str">
            <v>C6116</v>
          </cell>
          <cell r="AC5381">
            <v>36.304077149999998</v>
          </cell>
          <cell r="AD5381">
            <v>32.750671390000001</v>
          </cell>
        </row>
        <row r="5382">
          <cell r="L5382" t="str">
            <v>المليحة الشرقية</v>
          </cell>
          <cell r="M5382" t="str">
            <v>C6117</v>
          </cell>
          <cell r="AC5382">
            <v>36.365905759999997</v>
          </cell>
          <cell r="AD5382">
            <v>32.757690429999997</v>
          </cell>
        </row>
        <row r="5383">
          <cell r="L5383" t="str">
            <v>ناحتة</v>
          </cell>
          <cell r="M5383" t="str">
            <v>C6118</v>
          </cell>
          <cell r="AC5383">
            <v>36.349304199999999</v>
          </cell>
          <cell r="AD5383">
            <v>32.788085940000002</v>
          </cell>
        </row>
        <row r="5384">
          <cell r="L5384" t="str">
            <v>عدوان</v>
          </cell>
          <cell r="M5384" t="str">
            <v>C6119</v>
          </cell>
          <cell r="AC5384">
            <v>35.997314449999998</v>
          </cell>
          <cell r="AD5384">
            <v>32.820129399999999</v>
          </cell>
        </row>
        <row r="5385">
          <cell r="L5385" t="str">
            <v>الشيخ سعد</v>
          </cell>
          <cell r="M5385" t="str">
            <v>C6120</v>
          </cell>
          <cell r="AC5385">
            <v>36.035888669999999</v>
          </cell>
          <cell r="AD5385">
            <v>32.83752441</v>
          </cell>
        </row>
        <row r="5386">
          <cell r="L5386" t="str">
            <v>الجبيلية</v>
          </cell>
          <cell r="M5386" t="str">
            <v>C6121</v>
          </cell>
          <cell r="AC5386">
            <v>35.947875979999999</v>
          </cell>
          <cell r="AD5386">
            <v>32.873107910000002</v>
          </cell>
        </row>
        <row r="5387">
          <cell r="L5387" t="str">
            <v>السكرية</v>
          </cell>
          <cell r="M5387" t="str">
            <v>C6122</v>
          </cell>
          <cell r="AC5387">
            <v>35.981689449999998</v>
          </cell>
          <cell r="AD5387">
            <v>32.926086429999998</v>
          </cell>
        </row>
        <row r="5388">
          <cell r="L5388" t="str">
            <v>الناصرية</v>
          </cell>
          <cell r="M5388" t="str">
            <v>C6123</v>
          </cell>
          <cell r="AC5388">
            <v>35.957519529999999</v>
          </cell>
          <cell r="AD5388">
            <v>32.938293459999997</v>
          </cell>
        </row>
        <row r="5389">
          <cell r="L5389" t="str">
            <v>نوى</v>
          </cell>
          <cell r="M5389" t="str">
            <v>C6124</v>
          </cell>
          <cell r="AC5389">
            <v>36.041076660000002</v>
          </cell>
          <cell r="AD5389">
            <v>32.88830566</v>
          </cell>
        </row>
        <row r="5390">
          <cell r="L5390" t="str">
            <v>الدلي</v>
          </cell>
          <cell r="M5390" t="str">
            <v>C6125</v>
          </cell>
          <cell r="AC5390">
            <v>36.155883789999997</v>
          </cell>
          <cell r="AD5390">
            <v>32.90393066</v>
          </cell>
        </row>
        <row r="5391">
          <cell r="L5391" t="str">
            <v>الشيخ مسكين</v>
          </cell>
          <cell r="M5391" t="str">
            <v>C6126</v>
          </cell>
          <cell r="AC5391">
            <v>36.157470699999998</v>
          </cell>
          <cell r="AD5391">
            <v>32.83111572</v>
          </cell>
        </row>
        <row r="5392">
          <cell r="L5392" t="str">
            <v>الفقيع</v>
          </cell>
          <cell r="M5392" t="str">
            <v>C6127</v>
          </cell>
          <cell r="AC5392">
            <v>36.167480470000001</v>
          </cell>
          <cell r="AD5392">
            <v>32.946289059999998</v>
          </cell>
        </row>
        <row r="5393">
          <cell r="L5393" t="str">
            <v>السحيلية</v>
          </cell>
          <cell r="M5393" t="str">
            <v>C6128</v>
          </cell>
          <cell r="AC5393">
            <v>36.155883789999997</v>
          </cell>
          <cell r="AD5393">
            <v>32.888488770000002</v>
          </cell>
        </row>
        <row r="5394">
          <cell r="L5394" t="str">
            <v>نامر</v>
          </cell>
          <cell r="M5394" t="str">
            <v>C6129</v>
          </cell>
          <cell r="AC5394">
            <v>36.217895509999998</v>
          </cell>
          <cell r="AD5394">
            <v>32.793701169999999</v>
          </cell>
        </row>
        <row r="5395">
          <cell r="L5395" t="str">
            <v>قرفا</v>
          </cell>
          <cell r="M5395" t="str">
            <v>C6130</v>
          </cell>
          <cell r="AC5395">
            <v>36.198486330000001</v>
          </cell>
          <cell r="AD5395">
            <v>32.815307619999999</v>
          </cell>
        </row>
        <row r="5396">
          <cell r="L5396" t="str">
            <v>تسيل</v>
          </cell>
          <cell r="M5396" t="str">
            <v>C6131</v>
          </cell>
          <cell r="AC5396">
            <v>35.971679690000002</v>
          </cell>
          <cell r="AD5396">
            <v>32.835510249999999</v>
          </cell>
        </row>
        <row r="5397">
          <cell r="L5397" t="str">
            <v>البكار</v>
          </cell>
          <cell r="M5397" t="str">
            <v>C6132</v>
          </cell>
          <cell r="AC5397">
            <v>35.930114750000001</v>
          </cell>
          <cell r="AD5397">
            <v>32.881713869999999</v>
          </cell>
        </row>
        <row r="5398">
          <cell r="L5398" t="str">
            <v>البكار شرقي</v>
          </cell>
          <cell r="M5398" t="str">
            <v>C6133</v>
          </cell>
          <cell r="AC5398">
            <v>35.927917479999998</v>
          </cell>
          <cell r="AD5398">
            <v>32.873718259999997</v>
          </cell>
        </row>
        <row r="5399">
          <cell r="L5399" t="str">
            <v>المجيمر</v>
          </cell>
          <cell r="M5399" t="str">
            <v>C6134</v>
          </cell>
          <cell r="AC5399">
            <v>36.533691410000003</v>
          </cell>
          <cell r="AD5399">
            <v>32.59490967</v>
          </cell>
        </row>
        <row r="5400">
          <cell r="L5400" t="str">
            <v>الدارة</v>
          </cell>
          <cell r="M5400" t="str">
            <v>C6135</v>
          </cell>
          <cell r="AC5400">
            <v>36.404907229999999</v>
          </cell>
          <cell r="AD5400">
            <v>32.720092770000001</v>
          </cell>
        </row>
        <row r="5401">
          <cell r="L5401" t="str">
            <v>جبيب</v>
          </cell>
          <cell r="M5401" t="str">
            <v>C6136</v>
          </cell>
          <cell r="AC5401">
            <v>36.427124020000001</v>
          </cell>
          <cell r="AD5401">
            <v>32.62408447</v>
          </cell>
        </row>
        <row r="5402">
          <cell r="L5402" t="str">
            <v>سليم</v>
          </cell>
          <cell r="M5402" t="str">
            <v>C6137</v>
          </cell>
          <cell r="AC5402">
            <v>36.579101559999998</v>
          </cell>
          <cell r="AD5402">
            <v>32.792480470000001</v>
          </cell>
        </row>
        <row r="5403">
          <cell r="L5403" t="str">
            <v>عرى</v>
          </cell>
          <cell r="M5403" t="str">
            <v>C6138</v>
          </cell>
          <cell r="AC5403">
            <v>36.5333252</v>
          </cell>
          <cell r="AD5403">
            <v>32.617675779999999</v>
          </cell>
        </row>
        <row r="5404">
          <cell r="L5404" t="str">
            <v>سهوة الخضر</v>
          </cell>
          <cell r="M5404" t="str">
            <v>C6139</v>
          </cell>
          <cell r="AC5404">
            <v>36.708496089999997</v>
          </cell>
          <cell r="AD5404">
            <v>32.602111819999998</v>
          </cell>
        </row>
        <row r="5405">
          <cell r="L5405" t="str">
            <v>الثعلة</v>
          </cell>
          <cell r="M5405" t="str">
            <v>C6140</v>
          </cell>
          <cell r="AC5405">
            <v>36.44830322</v>
          </cell>
          <cell r="AD5405">
            <v>32.711914059999998</v>
          </cell>
        </row>
        <row r="5406">
          <cell r="L5406" t="str">
            <v>الرحى</v>
          </cell>
          <cell r="M5406" t="str">
            <v>C6141</v>
          </cell>
          <cell r="AC5406">
            <v>36.600524900000003</v>
          </cell>
          <cell r="AD5406">
            <v>32.679870610000002</v>
          </cell>
        </row>
        <row r="5407">
          <cell r="L5407" t="str">
            <v>الاصلحا</v>
          </cell>
          <cell r="M5407" t="str">
            <v>C6142</v>
          </cell>
          <cell r="AC5407">
            <v>36.480529789999999</v>
          </cell>
          <cell r="AD5407">
            <v>32.687072749999999</v>
          </cell>
        </row>
        <row r="5408">
          <cell r="L5408" t="str">
            <v>الكفر</v>
          </cell>
          <cell r="M5408" t="str">
            <v>C6143</v>
          </cell>
          <cell r="AC5408">
            <v>36.642883300000001</v>
          </cell>
          <cell r="AD5408">
            <v>32.631713869999999</v>
          </cell>
        </row>
        <row r="5409">
          <cell r="L5409" t="str">
            <v>سهوة بلاطة</v>
          </cell>
          <cell r="M5409" t="str">
            <v>C6144</v>
          </cell>
          <cell r="AC5409">
            <v>36.60388184</v>
          </cell>
          <cell r="AD5409">
            <v>32.639282229999999</v>
          </cell>
        </row>
        <row r="5410">
          <cell r="L5410" t="str">
            <v>عتيل</v>
          </cell>
          <cell r="M5410" t="str">
            <v>C6145</v>
          </cell>
          <cell r="AC5410">
            <v>36.578125</v>
          </cell>
          <cell r="AD5410">
            <v>32.75689697</v>
          </cell>
        </row>
        <row r="5411">
          <cell r="L5411" t="str">
            <v>رساس</v>
          </cell>
          <cell r="M5411" t="str">
            <v>C6146</v>
          </cell>
          <cell r="AC5411">
            <v>36.572692869999997</v>
          </cell>
          <cell r="AD5411">
            <v>32.64611816</v>
          </cell>
        </row>
        <row r="5412">
          <cell r="L5412" t="str">
            <v>السويداء</v>
          </cell>
          <cell r="M5412" t="str">
            <v>C6147</v>
          </cell>
          <cell r="AC5412">
            <v>36.568115229999997</v>
          </cell>
          <cell r="AD5412">
            <v>32.706909179999997</v>
          </cell>
        </row>
        <row r="5413">
          <cell r="L5413" t="str">
            <v>ريمة حازم</v>
          </cell>
          <cell r="M5413" t="str">
            <v>C6148</v>
          </cell>
          <cell r="AC5413">
            <v>36.535278320000003</v>
          </cell>
          <cell r="AD5413">
            <v>32.757690429999997</v>
          </cell>
        </row>
        <row r="5414">
          <cell r="L5414" t="str">
            <v>حبران</v>
          </cell>
          <cell r="M5414" t="str">
            <v>C6149</v>
          </cell>
          <cell r="AC5414">
            <v>36.641906740000003</v>
          </cell>
          <cell r="AD5414">
            <v>32.606079100000002</v>
          </cell>
        </row>
        <row r="5415">
          <cell r="L5415" t="str">
            <v>خربا</v>
          </cell>
          <cell r="M5415" t="str">
            <v>C6150</v>
          </cell>
          <cell r="AC5415">
            <v>36.442687990000003</v>
          </cell>
          <cell r="AD5415">
            <v>32.58709717</v>
          </cell>
        </row>
        <row r="5416">
          <cell r="L5416" t="str">
            <v>السكاكة</v>
          </cell>
          <cell r="M5416" t="str">
            <v>C6151</v>
          </cell>
          <cell r="AC5416">
            <v>36.37731934</v>
          </cell>
          <cell r="AD5416">
            <v>32.707885740000002</v>
          </cell>
        </row>
        <row r="5417">
          <cell r="L5417" t="str">
            <v>ولغا</v>
          </cell>
          <cell r="M5417" t="str">
            <v>C6152</v>
          </cell>
          <cell r="AC5417">
            <v>36.525695800000001</v>
          </cell>
          <cell r="AD5417">
            <v>32.746521000000001</v>
          </cell>
        </row>
        <row r="5418">
          <cell r="L5418" t="str">
            <v>مفعلة</v>
          </cell>
          <cell r="M5418" t="str">
            <v>C6153</v>
          </cell>
          <cell r="AC5418">
            <v>36.643493650000003</v>
          </cell>
          <cell r="AD5418">
            <v>32.77227783</v>
          </cell>
        </row>
        <row r="5419">
          <cell r="L5419" t="str">
            <v>قنوات</v>
          </cell>
          <cell r="M5419" t="str">
            <v>C6154</v>
          </cell>
          <cell r="AC5419">
            <v>36.615905759999997</v>
          </cell>
          <cell r="AD5419">
            <v>32.755676270000002</v>
          </cell>
        </row>
        <row r="5420">
          <cell r="L5420" t="str">
            <v>كناكر</v>
          </cell>
          <cell r="M5420" t="str">
            <v>C6155</v>
          </cell>
          <cell r="AC5420">
            <v>36.509277339999997</v>
          </cell>
          <cell r="AD5420">
            <v>32.665100099999997</v>
          </cell>
        </row>
        <row r="5421">
          <cell r="L5421" t="str">
            <v>مصاد</v>
          </cell>
          <cell r="M5421" t="str">
            <v>C6156</v>
          </cell>
          <cell r="AC5421">
            <v>36.598510740000002</v>
          </cell>
          <cell r="AD5421">
            <v>32.695922850000002</v>
          </cell>
        </row>
        <row r="5422">
          <cell r="L5422" t="str">
            <v>مياماس</v>
          </cell>
          <cell r="M5422" t="str">
            <v>C6157</v>
          </cell>
          <cell r="AC5422">
            <v>36.689270020000002</v>
          </cell>
          <cell r="AD5422">
            <v>32.614929199999999</v>
          </cell>
        </row>
        <row r="5423">
          <cell r="L5423" t="str">
            <v>كفر اللحف</v>
          </cell>
          <cell r="M5423" t="str">
            <v>C6158</v>
          </cell>
          <cell r="AC5423">
            <v>36.53631592</v>
          </cell>
          <cell r="AD5423">
            <v>32.806701660000002</v>
          </cell>
        </row>
        <row r="5424">
          <cell r="L5424" t="str">
            <v>ريمة اللحف</v>
          </cell>
          <cell r="M5424" t="str">
            <v>C6159</v>
          </cell>
          <cell r="AC5424">
            <v>36.524719240000003</v>
          </cell>
          <cell r="AD5424">
            <v>32.830078129999997</v>
          </cell>
        </row>
        <row r="5425">
          <cell r="L5425" t="str">
            <v>الدور</v>
          </cell>
          <cell r="M5425" t="str">
            <v>C6160</v>
          </cell>
          <cell r="AC5425">
            <v>36.406677250000001</v>
          </cell>
          <cell r="AD5425">
            <v>32.805908199999998</v>
          </cell>
        </row>
        <row r="5426">
          <cell r="L5426" t="str">
            <v>الطيرة</v>
          </cell>
          <cell r="M5426" t="str">
            <v>C6161</v>
          </cell>
          <cell r="AC5426">
            <v>36.441101070000002</v>
          </cell>
          <cell r="AD5426">
            <v>32.76171875</v>
          </cell>
        </row>
        <row r="5427">
          <cell r="L5427" t="str">
            <v>سميع</v>
          </cell>
          <cell r="M5427" t="str">
            <v>C6162</v>
          </cell>
          <cell r="AC5427">
            <v>36.422485350000002</v>
          </cell>
          <cell r="AD5427">
            <v>32.78930664</v>
          </cell>
        </row>
        <row r="5428">
          <cell r="L5428" t="str">
            <v>الدويرة</v>
          </cell>
          <cell r="M5428" t="str">
            <v>C6163</v>
          </cell>
          <cell r="AC5428">
            <v>36.395507809999998</v>
          </cell>
          <cell r="AD5428">
            <v>32.850280759999997</v>
          </cell>
        </row>
        <row r="5429">
          <cell r="L5429" t="str">
            <v>المزرعة_السجن</v>
          </cell>
          <cell r="M5429" t="str">
            <v>C6164</v>
          </cell>
          <cell r="AC5429">
            <v>36.480102539999997</v>
          </cell>
          <cell r="AD5429">
            <v>32.782104490000002</v>
          </cell>
        </row>
        <row r="5430">
          <cell r="L5430" t="str">
            <v>المجدل 6</v>
          </cell>
          <cell r="M5430" t="str">
            <v>C6165</v>
          </cell>
          <cell r="AC5430">
            <v>36.503723149999999</v>
          </cell>
          <cell r="AD5430">
            <v>32.792907720000002</v>
          </cell>
        </row>
        <row r="5431">
          <cell r="L5431" t="str">
            <v>تعارة</v>
          </cell>
          <cell r="M5431" t="str">
            <v>C6166</v>
          </cell>
          <cell r="AC5431">
            <v>36.396911619999997</v>
          </cell>
          <cell r="AD5431">
            <v>32.82788086</v>
          </cell>
        </row>
        <row r="5432">
          <cell r="L5432" t="str">
            <v>جديا</v>
          </cell>
          <cell r="M5432" t="str">
            <v>C6167</v>
          </cell>
          <cell r="AC5432">
            <v>36.533691410000003</v>
          </cell>
          <cell r="AD5432">
            <v>32.863098149999999</v>
          </cell>
        </row>
        <row r="5433">
          <cell r="L5433" t="str">
            <v>نجران</v>
          </cell>
          <cell r="M5433" t="str">
            <v>C6168</v>
          </cell>
          <cell r="AC5433">
            <v>36.450927729999997</v>
          </cell>
          <cell r="AD5433">
            <v>32.841125490000003</v>
          </cell>
        </row>
        <row r="5434">
          <cell r="L5434" t="str">
            <v>قراصة</v>
          </cell>
          <cell r="M5434" t="str">
            <v>C6169</v>
          </cell>
          <cell r="AC5434">
            <v>36.416320800000001</v>
          </cell>
          <cell r="AD5434">
            <v>32.830505369999997</v>
          </cell>
        </row>
        <row r="5435">
          <cell r="L5435" t="str">
            <v>الطيبة</v>
          </cell>
          <cell r="M5435" t="str">
            <v>C6170</v>
          </cell>
          <cell r="AC5435">
            <v>36.722290039999997</v>
          </cell>
          <cell r="AD5435">
            <v>32.766113279999999</v>
          </cell>
        </row>
        <row r="5436">
          <cell r="L5436" t="str">
            <v>الشريحي</v>
          </cell>
          <cell r="M5436" t="str">
            <v>C6171</v>
          </cell>
          <cell r="AC5436">
            <v>36.82330322</v>
          </cell>
          <cell r="AD5436">
            <v>32.725280759999997</v>
          </cell>
        </row>
        <row r="5437">
          <cell r="L5437" t="str">
            <v>المشنف</v>
          </cell>
          <cell r="M5437" t="str">
            <v>C6172</v>
          </cell>
          <cell r="AC5437">
            <v>36.776489259999998</v>
          </cell>
          <cell r="AD5437">
            <v>32.741516109999999</v>
          </cell>
        </row>
        <row r="5438">
          <cell r="L5438" t="str">
            <v>رامي</v>
          </cell>
          <cell r="M5438" t="str">
            <v>C6173</v>
          </cell>
          <cell r="AC5438">
            <v>36.794921879999997</v>
          </cell>
          <cell r="AD5438">
            <v>32.742675779999999</v>
          </cell>
        </row>
        <row r="5439">
          <cell r="L5439" t="str">
            <v>العجيلات</v>
          </cell>
          <cell r="M5439" t="str">
            <v>C6174</v>
          </cell>
          <cell r="AC5439">
            <v>36.781127929999997</v>
          </cell>
          <cell r="AD5439">
            <v>32.763671879999997</v>
          </cell>
        </row>
        <row r="5440">
          <cell r="L5440" t="str">
            <v>طربا</v>
          </cell>
          <cell r="M5440" t="str">
            <v>C6175</v>
          </cell>
          <cell r="AC5440">
            <v>36.77227783</v>
          </cell>
          <cell r="AD5440">
            <v>32.800109859999999</v>
          </cell>
        </row>
        <row r="5441">
          <cell r="L5441" t="str">
            <v>الكسيب</v>
          </cell>
          <cell r="M5441" t="str">
            <v>C6176</v>
          </cell>
          <cell r="AC5441">
            <v>36.783508300000001</v>
          </cell>
          <cell r="AD5441">
            <v>32.799682619999999</v>
          </cell>
        </row>
        <row r="5442">
          <cell r="L5442" t="str">
            <v>سالة</v>
          </cell>
          <cell r="M5442" t="str">
            <v>C6177</v>
          </cell>
          <cell r="AC5442">
            <v>36.773498539999999</v>
          </cell>
          <cell r="AD5442">
            <v>32.648315429999997</v>
          </cell>
        </row>
        <row r="5443">
          <cell r="L5443" t="str">
            <v>السعنا</v>
          </cell>
          <cell r="M5443" t="str">
            <v>C6178</v>
          </cell>
          <cell r="AC5443">
            <v>36.840698240000002</v>
          </cell>
          <cell r="AD5443">
            <v>32.690917970000001</v>
          </cell>
        </row>
        <row r="5444">
          <cell r="L5444" t="str">
            <v>بوسان</v>
          </cell>
          <cell r="M5444" t="str">
            <v>C6179</v>
          </cell>
          <cell r="AC5444">
            <v>36.789916990000002</v>
          </cell>
          <cell r="AD5444">
            <v>32.68908691</v>
          </cell>
        </row>
        <row r="5445">
          <cell r="L5445" t="str">
            <v>أم رواق</v>
          </cell>
          <cell r="M5445" t="str">
            <v>C6180</v>
          </cell>
          <cell r="AC5445">
            <v>36.783874509999997</v>
          </cell>
          <cell r="AD5445">
            <v>32.78491211</v>
          </cell>
        </row>
        <row r="5446">
          <cell r="L5446" t="str">
            <v>الشبكي</v>
          </cell>
          <cell r="M5446" t="str">
            <v>C6181</v>
          </cell>
          <cell r="AC5446">
            <v>36.839721679999997</v>
          </cell>
          <cell r="AD5446">
            <v>32.710876470000002</v>
          </cell>
        </row>
        <row r="5447">
          <cell r="L5447" t="str">
            <v>الرشيدة</v>
          </cell>
          <cell r="M5447" t="str">
            <v>C6182</v>
          </cell>
          <cell r="AC5447">
            <v>36.843078609999999</v>
          </cell>
          <cell r="AD5447">
            <v>32.667907720000002</v>
          </cell>
        </row>
        <row r="5448">
          <cell r="L5448" t="str">
            <v>الغيضة</v>
          </cell>
          <cell r="M5448" t="str">
            <v>C6183</v>
          </cell>
          <cell r="AC5448">
            <v>36.804077149999998</v>
          </cell>
          <cell r="AD5448">
            <v>32.7598877</v>
          </cell>
        </row>
        <row r="5449">
          <cell r="L5449" t="str">
            <v>صلخد</v>
          </cell>
          <cell r="M5449" t="str">
            <v>C6184</v>
          </cell>
          <cell r="AC5449">
            <v>36.712280270000001</v>
          </cell>
          <cell r="AD5449">
            <v>32.491088869999999</v>
          </cell>
        </row>
        <row r="5450">
          <cell r="L5450" t="str">
            <v>الكارس</v>
          </cell>
          <cell r="M5450" t="str">
            <v>C6185</v>
          </cell>
          <cell r="AC5450">
            <v>36.68908691</v>
          </cell>
          <cell r="AD5450">
            <v>32.534118650000003</v>
          </cell>
        </row>
        <row r="5451">
          <cell r="L5451" t="str">
            <v>عرمان</v>
          </cell>
          <cell r="M5451" t="str">
            <v>C6186</v>
          </cell>
          <cell r="AC5451">
            <v>36.760681150000003</v>
          </cell>
          <cell r="AD5451">
            <v>32.510070800000001</v>
          </cell>
        </row>
        <row r="5452">
          <cell r="L5452" t="str">
            <v>عوس</v>
          </cell>
          <cell r="M5452" t="str">
            <v>C6187</v>
          </cell>
          <cell r="AC5452">
            <v>36.771911619999997</v>
          </cell>
          <cell r="AD5452">
            <v>32.469116210000003</v>
          </cell>
        </row>
        <row r="5453">
          <cell r="L5453" t="str">
            <v>صما البردان</v>
          </cell>
          <cell r="M5453" t="str">
            <v>C6188</v>
          </cell>
          <cell r="AC5453">
            <v>36.770080569999998</v>
          </cell>
          <cell r="AD5453">
            <v>32.414489750000001</v>
          </cell>
        </row>
        <row r="5454">
          <cell r="L5454" t="str">
            <v>امتان</v>
          </cell>
          <cell r="M5454" t="str">
            <v>C6189</v>
          </cell>
          <cell r="AC5454">
            <v>36.817077640000001</v>
          </cell>
          <cell r="AD5454">
            <v>32.419494630000003</v>
          </cell>
        </row>
        <row r="5455">
          <cell r="L5455" t="str">
            <v>الرافقة</v>
          </cell>
          <cell r="M5455" t="str">
            <v>C6190</v>
          </cell>
          <cell r="AC5455">
            <v>36.674682619999999</v>
          </cell>
          <cell r="AD5455">
            <v>32.458923339999998</v>
          </cell>
        </row>
        <row r="5456">
          <cell r="L5456" t="str">
            <v>العانات</v>
          </cell>
          <cell r="M5456" t="str">
            <v>C6191</v>
          </cell>
          <cell r="AC5456">
            <v>36.80767822</v>
          </cell>
          <cell r="AD5456">
            <v>32.351928710000003</v>
          </cell>
        </row>
        <row r="5457">
          <cell r="L5457" t="str">
            <v>المنيذرة</v>
          </cell>
          <cell r="M5457" t="str">
            <v>C6192</v>
          </cell>
          <cell r="AC5457">
            <v>36.659484859999999</v>
          </cell>
          <cell r="AD5457">
            <v>32.505676270000002</v>
          </cell>
        </row>
        <row r="5458">
          <cell r="L5458" t="str">
            <v>عيون</v>
          </cell>
          <cell r="M5458" t="str">
            <v>C6193</v>
          </cell>
          <cell r="AC5458">
            <v>36.71209717</v>
          </cell>
          <cell r="AD5458">
            <v>32.52850342</v>
          </cell>
        </row>
        <row r="5459">
          <cell r="L5459" t="str">
            <v>تحولا</v>
          </cell>
          <cell r="M5459" t="str">
            <v>C6194</v>
          </cell>
          <cell r="AC5459">
            <v>36.757873539999999</v>
          </cell>
          <cell r="AD5459">
            <v>32.44689941</v>
          </cell>
        </row>
        <row r="5460">
          <cell r="L5460" t="str">
            <v>المشقوق</v>
          </cell>
          <cell r="M5460" t="str">
            <v>C6195</v>
          </cell>
          <cell r="AC5460">
            <v>36.72930908</v>
          </cell>
          <cell r="AD5460">
            <v>32.427673339999998</v>
          </cell>
        </row>
        <row r="5461">
          <cell r="L5461" t="str">
            <v>شنيرة</v>
          </cell>
          <cell r="M5461" t="str">
            <v>C6196</v>
          </cell>
          <cell r="AC5461">
            <v>36.76470947</v>
          </cell>
          <cell r="AD5461">
            <v>32.380310059999999</v>
          </cell>
        </row>
        <row r="5462">
          <cell r="L5462" t="str">
            <v>برد</v>
          </cell>
          <cell r="M5462" t="str">
            <v>C6197</v>
          </cell>
          <cell r="AC5462">
            <v>36.542480470000001</v>
          </cell>
          <cell r="AD5462">
            <v>32.509094240000003</v>
          </cell>
        </row>
        <row r="5463">
          <cell r="L5463" t="str">
            <v>العفينة</v>
          </cell>
          <cell r="M5463" t="str">
            <v>C6198</v>
          </cell>
          <cell r="AC5463">
            <v>36.590698240000002</v>
          </cell>
          <cell r="AD5463">
            <v>32.599487310000001</v>
          </cell>
        </row>
        <row r="5464">
          <cell r="L5464" t="str">
            <v>حوط</v>
          </cell>
          <cell r="M5464" t="str">
            <v>C6199</v>
          </cell>
          <cell r="AC5464">
            <v>36.609680179999998</v>
          </cell>
          <cell r="AD5464">
            <v>32.491088869999999</v>
          </cell>
        </row>
        <row r="5465">
          <cell r="L5465" t="str">
            <v>القريا</v>
          </cell>
          <cell r="M5465" t="str">
            <v>C6200</v>
          </cell>
          <cell r="AC5465">
            <v>36.596313479999999</v>
          </cell>
          <cell r="AD5465">
            <v>32.542907720000002</v>
          </cell>
        </row>
        <row r="5466">
          <cell r="L5466" t="str">
            <v>الغارية</v>
          </cell>
          <cell r="M5466" t="str">
            <v>C6201</v>
          </cell>
          <cell r="AC5466">
            <v>36.648071289999997</v>
          </cell>
          <cell r="AD5466">
            <v>32.395324709999997</v>
          </cell>
        </row>
        <row r="5467">
          <cell r="L5467" t="str">
            <v>عنز</v>
          </cell>
          <cell r="M5467" t="str">
            <v>C6202</v>
          </cell>
          <cell r="AC5467">
            <v>36.686523440000002</v>
          </cell>
          <cell r="AD5467">
            <v>32.404113770000002</v>
          </cell>
        </row>
        <row r="5468">
          <cell r="L5468" t="str">
            <v>خربة عواد</v>
          </cell>
          <cell r="M5468" t="str">
            <v>C6203</v>
          </cell>
          <cell r="AC5468">
            <v>36.708923339999998</v>
          </cell>
          <cell r="AD5468">
            <v>32.328918459999997</v>
          </cell>
        </row>
        <row r="5469">
          <cell r="L5469" t="str">
            <v>المغير</v>
          </cell>
          <cell r="M5469" t="str">
            <v>C6204</v>
          </cell>
          <cell r="AC5469">
            <v>36.68908691</v>
          </cell>
          <cell r="AD5469">
            <v>32.349670410000002</v>
          </cell>
        </row>
        <row r="5470">
          <cell r="L5470" t="str">
            <v>ذيبين</v>
          </cell>
          <cell r="M5470" t="str">
            <v>C6205</v>
          </cell>
          <cell r="AC5470">
            <v>36.565124509999997</v>
          </cell>
          <cell r="AD5470">
            <v>32.43908691</v>
          </cell>
        </row>
        <row r="5471">
          <cell r="L5471" t="str">
            <v>بكا</v>
          </cell>
          <cell r="M5471" t="str">
            <v>C6206</v>
          </cell>
          <cell r="AC5471">
            <v>36.572509770000003</v>
          </cell>
          <cell r="AD5471">
            <v>32.484313970000002</v>
          </cell>
        </row>
        <row r="5472">
          <cell r="L5472" t="str">
            <v>أم الرمان</v>
          </cell>
          <cell r="M5472" t="str">
            <v>C6207</v>
          </cell>
          <cell r="AC5472">
            <v>36.623291020000003</v>
          </cell>
          <cell r="AD5472">
            <v>32.423889160000002</v>
          </cell>
        </row>
        <row r="5473">
          <cell r="L5473" t="str">
            <v>الشعاب</v>
          </cell>
          <cell r="M5473" t="str">
            <v>C6208</v>
          </cell>
          <cell r="AC5473">
            <v>36.971923830000001</v>
          </cell>
          <cell r="AD5473">
            <v>32.525695800000001</v>
          </cell>
        </row>
        <row r="5474">
          <cell r="L5474" t="str">
            <v>الهويا</v>
          </cell>
          <cell r="M5474" t="str">
            <v>C6209</v>
          </cell>
          <cell r="AC5474">
            <v>36.866088869999999</v>
          </cell>
          <cell r="AD5474">
            <v>32.55767822</v>
          </cell>
        </row>
        <row r="5475">
          <cell r="L5475" t="str">
            <v>أم شامة</v>
          </cell>
          <cell r="M5475" t="str">
            <v>C6210</v>
          </cell>
          <cell r="AC5475">
            <v>36.981079100000002</v>
          </cell>
          <cell r="AD5475">
            <v>32.472473149999999</v>
          </cell>
        </row>
        <row r="5476">
          <cell r="L5476" t="str">
            <v>خازمة</v>
          </cell>
          <cell r="M5476" t="str">
            <v>C6211</v>
          </cell>
          <cell r="AC5476">
            <v>36.86627197</v>
          </cell>
          <cell r="AD5476">
            <v>32.444274900000003</v>
          </cell>
        </row>
        <row r="5477">
          <cell r="L5477" t="str">
            <v>أبو زريق</v>
          </cell>
          <cell r="M5477" t="str">
            <v>C6212</v>
          </cell>
          <cell r="AC5477">
            <v>36.797302250000001</v>
          </cell>
          <cell r="AD5477">
            <v>32.587280270000001</v>
          </cell>
        </row>
        <row r="5478">
          <cell r="L5478" t="str">
            <v>بهم</v>
          </cell>
          <cell r="M5478" t="str">
            <v>C6213</v>
          </cell>
          <cell r="AC5478">
            <v>36.816284179999997</v>
          </cell>
          <cell r="AD5478">
            <v>32.561096190000001</v>
          </cell>
        </row>
        <row r="5479">
          <cell r="L5479" t="str">
            <v>طليلين</v>
          </cell>
          <cell r="M5479" t="str">
            <v>C6214</v>
          </cell>
          <cell r="AC5479">
            <v>36.771301270000002</v>
          </cell>
          <cell r="AD5479">
            <v>32.606506349999997</v>
          </cell>
        </row>
        <row r="5480">
          <cell r="L5480" t="str">
            <v>الحريسة</v>
          </cell>
          <cell r="M5480" t="str">
            <v>C6215</v>
          </cell>
          <cell r="AC5480">
            <v>36.85571289</v>
          </cell>
          <cell r="AD5480">
            <v>32.597106930000002</v>
          </cell>
        </row>
        <row r="5481">
          <cell r="L5481" t="str">
            <v>تل اللوز</v>
          </cell>
          <cell r="M5481" t="str">
            <v>C6216</v>
          </cell>
          <cell r="AC5481">
            <v>36.781127929999997</v>
          </cell>
          <cell r="AD5481">
            <v>32.578491210000003</v>
          </cell>
        </row>
        <row r="5482">
          <cell r="L5482" t="str">
            <v>شعف</v>
          </cell>
          <cell r="M5482" t="str">
            <v>C6217</v>
          </cell>
          <cell r="AC5482">
            <v>36.850891109999999</v>
          </cell>
          <cell r="AD5482">
            <v>32.616882320000002</v>
          </cell>
        </row>
        <row r="5483">
          <cell r="L5483" t="str">
            <v>قيصما</v>
          </cell>
          <cell r="M5483" t="str">
            <v>C6218</v>
          </cell>
          <cell r="AC5483">
            <v>36.839294430000002</v>
          </cell>
          <cell r="AD5483">
            <v>32.533691410000003</v>
          </cell>
        </row>
        <row r="5484">
          <cell r="L5484" t="str">
            <v>ملح</v>
          </cell>
          <cell r="M5484" t="str">
            <v>C6219</v>
          </cell>
          <cell r="AC5484">
            <v>36.850097660000003</v>
          </cell>
          <cell r="AD5484">
            <v>32.507873539999999</v>
          </cell>
        </row>
        <row r="5485">
          <cell r="L5485" t="str">
            <v>بريكة</v>
          </cell>
          <cell r="M5485" t="str">
            <v>C6220</v>
          </cell>
          <cell r="AC5485">
            <v>36.568298339999998</v>
          </cell>
          <cell r="AD5485">
            <v>32.838073729999998</v>
          </cell>
        </row>
        <row r="5486">
          <cell r="L5486" t="str">
            <v>المتونة</v>
          </cell>
          <cell r="M5486" t="str">
            <v>C6221</v>
          </cell>
          <cell r="AC5486">
            <v>36.60247803</v>
          </cell>
          <cell r="AD5486">
            <v>32.949707029999999</v>
          </cell>
        </row>
        <row r="5487">
          <cell r="L5487" t="str">
            <v>أم ضبيب</v>
          </cell>
          <cell r="M5487" t="str">
            <v>C6222</v>
          </cell>
          <cell r="AC5487">
            <v>36.74127197</v>
          </cell>
          <cell r="AD5487">
            <v>32.827697749999999</v>
          </cell>
        </row>
        <row r="5488">
          <cell r="L5488" t="str">
            <v>صلاخد</v>
          </cell>
          <cell r="M5488" t="str">
            <v>C6223</v>
          </cell>
          <cell r="AC5488">
            <v>36.571716309999999</v>
          </cell>
          <cell r="AD5488">
            <v>32.870910649999999</v>
          </cell>
        </row>
        <row r="5489">
          <cell r="L5489" t="str">
            <v>عمرة</v>
          </cell>
          <cell r="M5489" t="str">
            <v>C6224</v>
          </cell>
          <cell r="AC5489">
            <v>36.641113279999999</v>
          </cell>
          <cell r="AD5489">
            <v>32.900878910000003</v>
          </cell>
        </row>
        <row r="5490">
          <cell r="L5490" t="str">
            <v>تيما</v>
          </cell>
          <cell r="M5490" t="str">
            <v>C6225</v>
          </cell>
          <cell r="AC5490">
            <v>36.76147461</v>
          </cell>
          <cell r="AD5490">
            <v>32.83569336</v>
          </cell>
        </row>
        <row r="5491">
          <cell r="L5491" t="str">
            <v>شهبا</v>
          </cell>
          <cell r="M5491" t="str">
            <v>C6226</v>
          </cell>
          <cell r="AC5491">
            <v>36.6270752</v>
          </cell>
          <cell r="AD5491">
            <v>32.854675290000003</v>
          </cell>
        </row>
        <row r="5492">
          <cell r="L5492" t="str">
            <v>أم الزيتون</v>
          </cell>
          <cell r="M5492" t="str">
            <v>C6227</v>
          </cell>
          <cell r="AC5492">
            <v>36.60388184</v>
          </cell>
          <cell r="AD5492">
            <v>32.907470699999998</v>
          </cell>
        </row>
        <row r="5493">
          <cell r="L5493" t="str">
            <v>السويمرة</v>
          </cell>
          <cell r="M5493" t="str">
            <v>C6228</v>
          </cell>
          <cell r="AC5493">
            <v>36.600097660000003</v>
          </cell>
          <cell r="AD5493">
            <v>32.928894040000003</v>
          </cell>
        </row>
        <row r="5494">
          <cell r="L5494" t="str">
            <v>مردك</v>
          </cell>
          <cell r="M5494" t="str">
            <v>C6229</v>
          </cell>
          <cell r="AC5494">
            <v>36.59649658</v>
          </cell>
          <cell r="AD5494">
            <v>32.826721190000001</v>
          </cell>
        </row>
        <row r="5495">
          <cell r="L5495" t="str">
            <v>مجادل</v>
          </cell>
          <cell r="M5495" t="str">
            <v>C6230</v>
          </cell>
          <cell r="AC5495">
            <v>36.551086429999998</v>
          </cell>
          <cell r="AD5495">
            <v>32.916320800000001</v>
          </cell>
        </row>
        <row r="5496">
          <cell r="L5496" t="str">
            <v>نمرة</v>
          </cell>
          <cell r="M5496" t="str">
            <v>C6231</v>
          </cell>
          <cell r="AC5496">
            <v>36.704101559999998</v>
          </cell>
          <cell r="AD5496">
            <v>32.82629395</v>
          </cell>
        </row>
        <row r="5497">
          <cell r="L5497" t="str">
            <v>البثينة</v>
          </cell>
          <cell r="M5497" t="str">
            <v>C6232</v>
          </cell>
          <cell r="AC5497">
            <v>36.696105959999997</v>
          </cell>
          <cell r="AD5497">
            <v>32.952270509999998</v>
          </cell>
        </row>
        <row r="5498">
          <cell r="L5498" t="str">
            <v>شقا</v>
          </cell>
          <cell r="M5498" t="str">
            <v>C6233</v>
          </cell>
          <cell r="AC5498">
            <v>36.694274900000003</v>
          </cell>
          <cell r="AD5498">
            <v>32.895874020000001</v>
          </cell>
        </row>
        <row r="5499">
          <cell r="L5499" t="str">
            <v>عراجة</v>
          </cell>
          <cell r="M5499" t="str">
            <v>C6234</v>
          </cell>
          <cell r="AC5499">
            <v>36.770874020000001</v>
          </cell>
          <cell r="AD5499">
            <v>32.868896479999997</v>
          </cell>
        </row>
        <row r="5500">
          <cell r="L5500" t="str">
            <v>تعلا</v>
          </cell>
          <cell r="M5500" t="str">
            <v>C6235</v>
          </cell>
          <cell r="AC5500">
            <v>36.679870610000002</v>
          </cell>
          <cell r="AD5500">
            <v>32.962280270000001</v>
          </cell>
        </row>
        <row r="5501">
          <cell r="L5501" t="str">
            <v>دوما</v>
          </cell>
          <cell r="M5501" t="str">
            <v>C6236</v>
          </cell>
          <cell r="AC5501">
            <v>36.773498539999999</v>
          </cell>
          <cell r="AD5501">
            <v>32.852111819999998</v>
          </cell>
        </row>
        <row r="5502">
          <cell r="L5502" t="str">
            <v>بارك</v>
          </cell>
          <cell r="M5502" t="str">
            <v>C6237</v>
          </cell>
          <cell r="AC5502">
            <v>36.760498050000002</v>
          </cell>
          <cell r="AD5502">
            <v>32.91888428</v>
          </cell>
        </row>
        <row r="5503">
          <cell r="L5503" t="str">
            <v>القصر</v>
          </cell>
          <cell r="M5503" t="str">
            <v>C6238</v>
          </cell>
          <cell r="AC5503">
            <v>36.739501949999998</v>
          </cell>
          <cell r="AD5503">
            <v>33.006286619999997</v>
          </cell>
        </row>
        <row r="5504">
          <cell r="L5504" t="str">
            <v>الهيات</v>
          </cell>
          <cell r="M5504" t="str">
            <v>C6239</v>
          </cell>
          <cell r="AC5504">
            <v>36.656127929999997</v>
          </cell>
          <cell r="AD5504">
            <v>32.938903809999999</v>
          </cell>
        </row>
        <row r="5505">
          <cell r="L5505" t="str">
            <v>الرضيمة</v>
          </cell>
          <cell r="M5505" t="str">
            <v>C6240</v>
          </cell>
          <cell r="AC5505">
            <v>36.770874020000001</v>
          </cell>
          <cell r="AD5505">
            <v>32.896728520000003</v>
          </cell>
        </row>
        <row r="5506">
          <cell r="L5506" t="str">
            <v>الجنينة</v>
          </cell>
          <cell r="M5506" t="str">
            <v>C6241</v>
          </cell>
          <cell r="AC5506">
            <v>36.738891600000002</v>
          </cell>
          <cell r="AD5506">
            <v>32.901306150000003</v>
          </cell>
        </row>
        <row r="5507">
          <cell r="L5507" t="str">
            <v>الهيت</v>
          </cell>
          <cell r="M5507" t="str">
            <v>C6242</v>
          </cell>
          <cell r="AC5507">
            <v>36.675109859999999</v>
          </cell>
          <cell r="AD5507">
            <v>32.924682619999999</v>
          </cell>
        </row>
        <row r="5508">
          <cell r="L5508" t="str">
            <v>العريقة</v>
          </cell>
          <cell r="M5508" t="str">
            <v>C6243</v>
          </cell>
          <cell r="AC5508">
            <v>36.484313970000002</v>
          </cell>
          <cell r="AD5508">
            <v>32.888122559999999</v>
          </cell>
        </row>
        <row r="5509">
          <cell r="L5509" t="str">
            <v>صميد</v>
          </cell>
          <cell r="M5509" t="str">
            <v>C6244</v>
          </cell>
          <cell r="AC5509">
            <v>36.51330566</v>
          </cell>
          <cell r="AD5509">
            <v>32.945922850000002</v>
          </cell>
        </row>
        <row r="5510">
          <cell r="L5510" t="str">
            <v>جرين</v>
          </cell>
          <cell r="M5510" t="str">
            <v>C6245</v>
          </cell>
          <cell r="AC5510">
            <v>36.404479979999998</v>
          </cell>
          <cell r="AD5510">
            <v>32.930297850000002</v>
          </cell>
        </row>
        <row r="5511">
          <cell r="L5511" t="str">
            <v>حران</v>
          </cell>
          <cell r="M5511" t="str">
            <v>C6246</v>
          </cell>
          <cell r="AC5511">
            <v>36.385314940000001</v>
          </cell>
          <cell r="AD5511">
            <v>32.888488770000002</v>
          </cell>
        </row>
        <row r="5512">
          <cell r="L5512" t="str">
            <v>دير داما</v>
          </cell>
          <cell r="M5512" t="str">
            <v>C6247</v>
          </cell>
          <cell r="AC5512">
            <v>36.449096679999997</v>
          </cell>
          <cell r="AD5512">
            <v>32.972106930000002</v>
          </cell>
        </row>
        <row r="5513">
          <cell r="L5513" t="str">
            <v>الخرسا</v>
          </cell>
          <cell r="M5513" t="str">
            <v>C6248</v>
          </cell>
          <cell r="AC5513">
            <v>36.493286130000001</v>
          </cell>
          <cell r="AD5513">
            <v>32.92852783</v>
          </cell>
        </row>
        <row r="5514">
          <cell r="L5514" t="str">
            <v>داما</v>
          </cell>
          <cell r="M5514" t="str">
            <v>C6249</v>
          </cell>
          <cell r="AC5514">
            <v>36.431091309999999</v>
          </cell>
          <cell r="AD5514">
            <v>32.950073240000002</v>
          </cell>
        </row>
        <row r="5515">
          <cell r="L5515" t="str">
            <v>وقم</v>
          </cell>
          <cell r="M5515" t="str">
            <v>C6250</v>
          </cell>
          <cell r="AC5515">
            <v>36.485473630000001</v>
          </cell>
          <cell r="AD5515">
            <v>32.951904300000002</v>
          </cell>
        </row>
        <row r="5516">
          <cell r="L5516" t="str">
            <v>لبين</v>
          </cell>
          <cell r="M5516" t="str">
            <v>C6251</v>
          </cell>
          <cell r="AC5516">
            <v>36.395080569999998</v>
          </cell>
          <cell r="AD5516">
            <v>32.91888428</v>
          </cell>
        </row>
        <row r="5517">
          <cell r="L5517" t="str">
            <v>اشيهب الشمالي</v>
          </cell>
          <cell r="M5517" t="str">
            <v>C6252</v>
          </cell>
          <cell r="AC5517">
            <v>36.673706060000001</v>
          </cell>
          <cell r="AD5517">
            <v>33.083312990000003</v>
          </cell>
        </row>
        <row r="5518">
          <cell r="L5518" t="str">
            <v>خلخلة</v>
          </cell>
          <cell r="M5518" t="str">
            <v>C6253</v>
          </cell>
          <cell r="AC5518">
            <v>36.531677250000001</v>
          </cell>
          <cell r="AD5518">
            <v>33.066528320000003</v>
          </cell>
        </row>
        <row r="5519">
          <cell r="L5519" t="str">
            <v>السالمية</v>
          </cell>
          <cell r="M5519" t="str">
            <v>C6254</v>
          </cell>
          <cell r="AC5519">
            <v>36.680908199999998</v>
          </cell>
          <cell r="AD5519">
            <v>33.01287842</v>
          </cell>
        </row>
        <row r="5520">
          <cell r="L5520" t="str">
            <v>ذكير</v>
          </cell>
          <cell r="M5520" t="str">
            <v>C6255</v>
          </cell>
          <cell r="AC5520">
            <v>36.549926759999998</v>
          </cell>
          <cell r="AD5520">
            <v>33.045104979999998</v>
          </cell>
        </row>
        <row r="5521">
          <cell r="L5521" t="str">
            <v>الخالدية</v>
          </cell>
          <cell r="M5521" t="str">
            <v>C6256</v>
          </cell>
          <cell r="AC5521">
            <v>36.643676759999998</v>
          </cell>
          <cell r="AD5521">
            <v>33.00091553</v>
          </cell>
        </row>
        <row r="5522">
          <cell r="L5522" t="str">
            <v>رضيمة اللواء</v>
          </cell>
          <cell r="M5522" t="str">
            <v>C6257</v>
          </cell>
          <cell r="AC5522">
            <v>36.57928467</v>
          </cell>
          <cell r="AD5522">
            <v>33.02069092</v>
          </cell>
        </row>
        <row r="5523">
          <cell r="L5523" t="str">
            <v>حزم</v>
          </cell>
          <cell r="M5523" t="str">
            <v>C6258</v>
          </cell>
          <cell r="AC5523">
            <v>36.519470220000002</v>
          </cell>
          <cell r="AD5523">
            <v>33.099121089999997</v>
          </cell>
        </row>
        <row r="5524">
          <cell r="L5524" t="str">
            <v>الصورة الصغيرة</v>
          </cell>
          <cell r="M5524" t="str">
            <v>C6259</v>
          </cell>
          <cell r="AC5524">
            <v>36.573486330000001</v>
          </cell>
          <cell r="AD5524">
            <v>33.033874509999997</v>
          </cell>
        </row>
        <row r="5525">
          <cell r="L5525" t="str">
            <v>الحقف</v>
          </cell>
          <cell r="M5525" t="str">
            <v>C6260</v>
          </cell>
          <cell r="AC5525">
            <v>36.709899900000003</v>
          </cell>
          <cell r="AD5525">
            <v>33.001708979999997</v>
          </cell>
        </row>
        <row r="5526">
          <cell r="L5526" t="str">
            <v>الصورة الكبيرة</v>
          </cell>
          <cell r="M5526" t="str">
            <v>C6261</v>
          </cell>
          <cell r="AC5526">
            <v>36.52252197</v>
          </cell>
          <cell r="AD5526">
            <v>33.129089360000002</v>
          </cell>
        </row>
        <row r="5527">
          <cell r="L5527" t="str">
            <v>أم حارتين</v>
          </cell>
          <cell r="M5527" t="str">
            <v>C6262</v>
          </cell>
          <cell r="AC5527">
            <v>36.52252197</v>
          </cell>
          <cell r="AD5527">
            <v>33.080078129999997</v>
          </cell>
        </row>
        <row r="5528">
          <cell r="L5528" t="str">
            <v>لاهثة</v>
          </cell>
          <cell r="M5528" t="str">
            <v>C6263</v>
          </cell>
          <cell r="AC5528">
            <v>36.583496089999997</v>
          </cell>
          <cell r="AD5528">
            <v>32.991699220000001</v>
          </cell>
        </row>
        <row r="5529">
          <cell r="L5529" t="str">
            <v>رويحينة</v>
          </cell>
          <cell r="M5529" t="str">
            <v>C6264</v>
          </cell>
          <cell r="AC5529">
            <v>35.87268066</v>
          </cell>
          <cell r="AD5529">
            <v>33.086303710000003</v>
          </cell>
        </row>
        <row r="5530">
          <cell r="L5530" t="str">
            <v>الحميدية</v>
          </cell>
          <cell r="M5530" t="str">
            <v>C6265</v>
          </cell>
          <cell r="AC5530">
            <v>35.847106930000002</v>
          </cell>
          <cell r="AD5530">
            <v>33.157470699999998</v>
          </cell>
        </row>
        <row r="5531">
          <cell r="L5531" t="str">
            <v>الصمدانية الغربية</v>
          </cell>
          <cell r="M5531" t="str">
            <v>C6266</v>
          </cell>
          <cell r="AC5531">
            <v>35.862304690000002</v>
          </cell>
          <cell r="AD5531">
            <v>33.143920899999998</v>
          </cell>
        </row>
        <row r="5532">
          <cell r="L5532" t="str">
            <v>بئر عجم</v>
          </cell>
          <cell r="M5532" t="str">
            <v>C6267</v>
          </cell>
          <cell r="AC5532">
            <v>35.866699220000001</v>
          </cell>
          <cell r="AD5532">
            <v>33.052917479999998</v>
          </cell>
        </row>
        <row r="5533">
          <cell r="L5533" t="str">
            <v>القنيطرة</v>
          </cell>
          <cell r="M5533" t="str">
            <v>C6268</v>
          </cell>
          <cell r="AC5533">
            <v>35.826477050000001</v>
          </cell>
          <cell r="AD5533">
            <v>33.124328609999999</v>
          </cell>
        </row>
        <row r="5534">
          <cell r="L5534" t="str">
            <v>بريقة</v>
          </cell>
          <cell r="M5534" t="str">
            <v>C6269</v>
          </cell>
          <cell r="AC5534">
            <v>35.870483399999998</v>
          </cell>
          <cell r="AD5534">
            <v>33.042480470000001</v>
          </cell>
        </row>
        <row r="5535">
          <cell r="L5535" t="str">
            <v>القحطانية</v>
          </cell>
          <cell r="M5535" t="str">
            <v>C6270</v>
          </cell>
          <cell r="AC5535">
            <v>35.837890629999997</v>
          </cell>
          <cell r="AD5535">
            <v>33.110717770000001</v>
          </cell>
        </row>
        <row r="5536">
          <cell r="L5536" t="str">
            <v>طرنجة</v>
          </cell>
          <cell r="M5536" t="str">
            <v>C6271</v>
          </cell>
          <cell r="AC5536">
            <v>35.844482419999999</v>
          </cell>
          <cell r="AD5536">
            <v>33.232910160000003</v>
          </cell>
        </row>
        <row r="5537">
          <cell r="L5537" t="str">
            <v>أم باطنة</v>
          </cell>
          <cell r="M5537" t="str">
            <v>C6272</v>
          </cell>
          <cell r="AC5537">
            <v>35.901489259999998</v>
          </cell>
          <cell r="AD5537">
            <v>33.122497559999999</v>
          </cell>
        </row>
        <row r="5538">
          <cell r="L5538" t="str">
            <v>خان أرنبة</v>
          </cell>
          <cell r="M5538" t="str">
            <v>C6273</v>
          </cell>
          <cell r="AC5538">
            <v>35.890930179999998</v>
          </cell>
          <cell r="AD5538">
            <v>33.182128910000003</v>
          </cell>
        </row>
        <row r="5539">
          <cell r="L5539" t="str">
            <v>الخالدية</v>
          </cell>
          <cell r="M5539" t="str">
            <v>C6274</v>
          </cell>
          <cell r="AC5539">
            <v>35.91247559</v>
          </cell>
          <cell r="AD5539">
            <v>33.114074709999997</v>
          </cell>
        </row>
        <row r="5540">
          <cell r="L5540" t="str">
            <v>البعث</v>
          </cell>
          <cell r="M5540" t="str">
            <v>C6275</v>
          </cell>
          <cell r="AC5540">
            <v>35.870727539999997</v>
          </cell>
          <cell r="AD5540">
            <v>33.171081540000003</v>
          </cell>
        </row>
        <row r="5541">
          <cell r="L5541" t="str">
            <v>حلس</v>
          </cell>
          <cell r="M5541" t="str">
            <v>C6276</v>
          </cell>
          <cell r="AC5541">
            <v>35.934692380000001</v>
          </cell>
          <cell r="AD5541">
            <v>33.244323729999998</v>
          </cell>
        </row>
        <row r="5542">
          <cell r="L5542" t="str">
            <v>جبا</v>
          </cell>
          <cell r="M5542" t="str">
            <v>C6277</v>
          </cell>
          <cell r="AC5542">
            <v>35.926330569999998</v>
          </cell>
          <cell r="AD5542">
            <v>33.162109379999997</v>
          </cell>
        </row>
        <row r="5543">
          <cell r="L5543" t="str">
            <v>حضر</v>
          </cell>
          <cell r="M5543" t="str">
            <v>C6278</v>
          </cell>
          <cell r="AC5543">
            <v>35.831298830000001</v>
          </cell>
          <cell r="AD5543">
            <v>33.279113770000002</v>
          </cell>
        </row>
        <row r="5544">
          <cell r="L5544" t="str">
            <v>صمدانية شرقية</v>
          </cell>
          <cell r="M5544" t="str">
            <v>C6279</v>
          </cell>
          <cell r="AC5544">
            <v>35.886108399999998</v>
          </cell>
          <cell r="AD5544">
            <v>33.156677250000001</v>
          </cell>
        </row>
        <row r="5545">
          <cell r="L5545" t="str">
            <v>أيوبا</v>
          </cell>
          <cell r="M5545" t="str">
            <v>C6280</v>
          </cell>
          <cell r="AC5545">
            <v>35.964904789999999</v>
          </cell>
          <cell r="AD5545">
            <v>33.182495119999999</v>
          </cell>
        </row>
        <row r="5546">
          <cell r="L5546" t="str">
            <v>جباتا الخشب</v>
          </cell>
          <cell r="M5546" t="str">
            <v>C6281</v>
          </cell>
          <cell r="AC5546">
            <v>35.831909179999997</v>
          </cell>
          <cell r="AD5546">
            <v>33.226501470000002</v>
          </cell>
        </row>
        <row r="5547">
          <cell r="L5547" t="str">
            <v>أوفانيا</v>
          </cell>
          <cell r="M5547" t="str">
            <v>C6282</v>
          </cell>
          <cell r="AC5547">
            <v>35.861083979999997</v>
          </cell>
          <cell r="AD5547">
            <v>33.206298830000001</v>
          </cell>
        </row>
        <row r="5548">
          <cell r="L5548" t="str">
            <v>مسحرة</v>
          </cell>
          <cell r="M5548" t="str">
            <v>C6283</v>
          </cell>
          <cell r="AC5548">
            <v>35.965515140000001</v>
          </cell>
          <cell r="AD5548">
            <v>33.135681150000003</v>
          </cell>
        </row>
        <row r="5549">
          <cell r="L5549" t="str">
            <v>ممتنة</v>
          </cell>
          <cell r="M5549" t="str">
            <v>C6284</v>
          </cell>
          <cell r="AC5549">
            <v>35.923278809999999</v>
          </cell>
          <cell r="AD5549">
            <v>33.107727050000001</v>
          </cell>
        </row>
        <row r="5550">
          <cell r="L5550" t="str">
            <v>كوم الويسة_مرج برغوث</v>
          </cell>
          <cell r="M5550" t="str">
            <v>C6285</v>
          </cell>
          <cell r="AC5550">
            <v>35.9453125</v>
          </cell>
          <cell r="AD5550">
            <v>33.202697749999999</v>
          </cell>
        </row>
        <row r="5551">
          <cell r="L5551" t="str">
            <v>كوم الباشا</v>
          </cell>
          <cell r="M5551" t="str">
            <v>C6286</v>
          </cell>
          <cell r="AC5551">
            <v>35.940673830000001</v>
          </cell>
          <cell r="AD5551">
            <v>33.048278809999999</v>
          </cell>
        </row>
        <row r="5552">
          <cell r="L5552" t="str">
            <v>نبع الصخر</v>
          </cell>
          <cell r="M5552" t="str">
            <v>C6287</v>
          </cell>
          <cell r="AC5552">
            <v>35.947692869999997</v>
          </cell>
          <cell r="AD5552">
            <v>33.084716800000002</v>
          </cell>
        </row>
        <row r="5553">
          <cell r="L5553" t="str">
            <v>الأصبح</v>
          </cell>
          <cell r="M5553" t="str">
            <v>C6288</v>
          </cell>
          <cell r="AC5553">
            <v>35.885498050000002</v>
          </cell>
          <cell r="AD5553">
            <v>32.980285649999999</v>
          </cell>
        </row>
        <row r="5554">
          <cell r="L5554" t="str">
            <v>عين التينة</v>
          </cell>
          <cell r="M5554" t="str">
            <v>C6289</v>
          </cell>
          <cell r="AC5554">
            <v>35.961486819999998</v>
          </cell>
          <cell r="AD5554">
            <v>32.99768066</v>
          </cell>
        </row>
        <row r="5555">
          <cell r="L5555" t="str">
            <v>القصيبة</v>
          </cell>
          <cell r="M5555" t="str">
            <v>C6290</v>
          </cell>
          <cell r="AC5555">
            <v>35.958679199999999</v>
          </cell>
          <cell r="AD5555">
            <v>32.979919430000002</v>
          </cell>
        </row>
        <row r="5556">
          <cell r="L5556" t="str">
            <v>سويسة</v>
          </cell>
          <cell r="M5556" t="str">
            <v>C6291</v>
          </cell>
          <cell r="AC5556">
            <v>35.934326169999999</v>
          </cell>
          <cell r="AD5556">
            <v>32.997070309999998</v>
          </cell>
        </row>
        <row r="5557">
          <cell r="L5557" t="str">
            <v>العشة</v>
          </cell>
          <cell r="M5557" t="str">
            <v>C6292</v>
          </cell>
          <cell r="AC5557">
            <v>35.88189697</v>
          </cell>
          <cell r="AD5557">
            <v>32.97149658</v>
          </cell>
        </row>
        <row r="5558">
          <cell r="L5558" t="str">
            <v>غدير البستان</v>
          </cell>
          <cell r="M5558" t="str">
            <v>C6293</v>
          </cell>
          <cell r="AC5558">
            <v>35.921875</v>
          </cell>
          <cell r="AD5558">
            <v>32.919311520000001</v>
          </cell>
        </row>
        <row r="5559">
          <cell r="L5559" t="str">
            <v>البصة الشرقية_عين القاضي</v>
          </cell>
          <cell r="M5559" t="str">
            <v>C6294</v>
          </cell>
          <cell r="AC5559">
            <v>35.876281740000003</v>
          </cell>
          <cell r="AD5559">
            <v>32.899902339999997</v>
          </cell>
        </row>
        <row r="5560">
          <cell r="L5560" t="str">
            <v>الهجة</v>
          </cell>
          <cell r="M5560" t="str">
            <v>C6295</v>
          </cell>
          <cell r="AC5560">
            <v>35.948120119999999</v>
          </cell>
          <cell r="AD5560">
            <v>33.020874020000001</v>
          </cell>
        </row>
        <row r="5561">
          <cell r="L5561" t="str">
            <v>الرفيد</v>
          </cell>
          <cell r="M5561" t="str">
            <v>C6296</v>
          </cell>
          <cell r="AC5561">
            <v>35.901489259999998</v>
          </cell>
          <cell r="AD5561">
            <v>32.956481930000002</v>
          </cell>
        </row>
        <row r="5562">
          <cell r="L5562" t="str">
            <v>المعلقة</v>
          </cell>
          <cell r="M5562" t="str">
            <v>C6298</v>
          </cell>
          <cell r="AC5562">
            <v>35.893127440000001</v>
          </cell>
          <cell r="AD5562">
            <v>32.915893560000001</v>
          </cell>
        </row>
        <row r="5563">
          <cell r="L5563" t="str">
            <v>كود نة</v>
          </cell>
          <cell r="M5563" t="str">
            <v>C6299</v>
          </cell>
          <cell r="AC5563">
            <v>35.889099119999997</v>
          </cell>
          <cell r="AD5563">
            <v>33.008300779999999</v>
          </cell>
        </row>
        <row r="5564">
          <cell r="L5564" t="str">
            <v>قرقس</v>
          </cell>
          <cell r="M5564" t="str">
            <v>C6300</v>
          </cell>
          <cell r="AC5564">
            <v>35.989929199999999</v>
          </cell>
          <cell r="AD5564">
            <v>32.950927729999997</v>
          </cell>
        </row>
        <row r="5565">
          <cell r="L5565" t="str">
            <v>منشية سويسة</v>
          </cell>
          <cell r="M5565" t="str">
            <v>C6301</v>
          </cell>
          <cell r="AC5565">
            <v>35.937072749999999</v>
          </cell>
          <cell r="AD5565">
            <v>33.00689697</v>
          </cell>
        </row>
        <row r="5566">
          <cell r="L5566" t="str">
            <v>صيدا</v>
          </cell>
          <cell r="M5566" t="str">
            <v>C6302</v>
          </cell>
          <cell r="AC5566">
            <v>35.873291020000003</v>
          </cell>
          <cell r="AD5566">
            <v>32.86950684</v>
          </cell>
        </row>
        <row r="5567">
          <cell r="L5567" t="str">
            <v>رزانية صيدا</v>
          </cell>
          <cell r="M5567" t="str">
            <v>C6303</v>
          </cell>
          <cell r="AC5567">
            <v>35.855896000000001</v>
          </cell>
          <cell r="AD5567">
            <v>32.871276860000002</v>
          </cell>
        </row>
        <row r="5568">
          <cell r="L5568" t="str">
            <v>جب الصفا</v>
          </cell>
          <cell r="M5568" t="str">
            <v>C6304</v>
          </cell>
          <cell r="AC5568">
            <v>37.458312990000003</v>
          </cell>
          <cell r="AD5568">
            <v>36.167297359999999</v>
          </cell>
        </row>
        <row r="5569">
          <cell r="L5569" t="str">
            <v>مجمع حطين</v>
          </cell>
          <cell r="M5569" t="str">
            <v>C6305</v>
          </cell>
          <cell r="AC5569">
            <v>38.095092770000001</v>
          </cell>
          <cell r="AD5569">
            <v>35.969299319999998</v>
          </cell>
        </row>
        <row r="5570">
          <cell r="L5570" t="str">
            <v>سرجة غربية</v>
          </cell>
          <cell r="M5570" t="str">
            <v>C6306</v>
          </cell>
          <cell r="AC5570">
            <v>36.842712400000003</v>
          </cell>
          <cell r="AD5570">
            <v>35.564880369999997</v>
          </cell>
        </row>
        <row r="5571">
          <cell r="L5571" t="str">
            <v>الزهرية</v>
          </cell>
          <cell r="M5571" t="str">
            <v>C6307</v>
          </cell>
          <cell r="AC5571">
            <v>36.742309570000003</v>
          </cell>
          <cell r="AD5571">
            <v>34.790527339999997</v>
          </cell>
        </row>
        <row r="5572">
          <cell r="L5572" t="str">
            <v>تويم</v>
          </cell>
          <cell r="M5572" t="str">
            <v>C6308</v>
          </cell>
          <cell r="AC5572">
            <v>36.53930664</v>
          </cell>
          <cell r="AD5572">
            <v>35.157714839999997</v>
          </cell>
        </row>
        <row r="5573">
          <cell r="L5573" t="str">
            <v>جبيله</v>
          </cell>
          <cell r="M5573" t="str">
            <v>C6309</v>
          </cell>
          <cell r="AC5573">
            <v>40.125305179999998</v>
          </cell>
          <cell r="AD5573">
            <v>35.425109859999999</v>
          </cell>
        </row>
        <row r="5574">
          <cell r="L5574" t="str">
            <v>أبو عمر</v>
          </cell>
          <cell r="M5574" t="str">
            <v>C6310</v>
          </cell>
          <cell r="AC5574">
            <v>40.25231934</v>
          </cell>
          <cell r="AD5574">
            <v>35.2520752</v>
          </cell>
        </row>
        <row r="5575">
          <cell r="L5575" t="str">
            <v>دريم لاند</v>
          </cell>
          <cell r="M5575" t="str">
            <v>C6312</v>
          </cell>
          <cell r="AC5575">
            <v>36.740722660000003</v>
          </cell>
          <cell r="AD5575">
            <v>34.55310059</v>
          </cell>
        </row>
        <row r="5576">
          <cell r="L5576" t="str">
            <v>تليل</v>
          </cell>
          <cell r="M5576" t="str">
            <v>C6318</v>
          </cell>
          <cell r="AC5576">
            <v>36.54412842</v>
          </cell>
          <cell r="AD5576">
            <v>34.830688479999999</v>
          </cell>
        </row>
        <row r="5577">
          <cell r="L5577" t="str">
            <v>حمام التركمان</v>
          </cell>
          <cell r="M5577" t="str">
            <v>C6319</v>
          </cell>
          <cell r="AC5577">
            <v>39.0703125</v>
          </cell>
          <cell r="AD5577">
            <v>36.534728999999999</v>
          </cell>
        </row>
        <row r="5578">
          <cell r="L5578" t="str">
            <v>سرب كوكب</v>
          </cell>
          <cell r="M5578" t="str">
            <v>C6320</v>
          </cell>
          <cell r="AC5578">
            <v>40.84790039</v>
          </cell>
          <cell r="AD5578">
            <v>36.510314940000001</v>
          </cell>
        </row>
        <row r="5579">
          <cell r="L5579" t="str">
            <v>مخيم الرمدان</v>
          </cell>
          <cell r="M5579" t="str">
            <v>C6321</v>
          </cell>
          <cell r="AC5579">
            <v>36.703674319999998</v>
          </cell>
          <cell r="AD5579">
            <v>33.571289059999998</v>
          </cell>
        </row>
        <row r="5580">
          <cell r="L5580" t="str">
            <v>سيفات</v>
          </cell>
          <cell r="M5580" t="str">
            <v>C6322</v>
          </cell>
          <cell r="AC5580">
            <v>37.170471190000001</v>
          </cell>
          <cell r="AD5580">
            <v>36.318115229999997</v>
          </cell>
        </row>
        <row r="5581">
          <cell r="L5581" t="str">
            <v>عزان</v>
          </cell>
          <cell r="M5581" t="str">
            <v>C6323</v>
          </cell>
          <cell r="AC5581">
            <v>37.1583252</v>
          </cell>
          <cell r="AD5581">
            <v>36.063720699999998</v>
          </cell>
        </row>
        <row r="5582">
          <cell r="L5582" t="str">
            <v>رسم عسان</v>
          </cell>
          <cell r="M5582" t="str">
            <v>C6324</v>
          </cell>
          <cell r="AC5582">
            <v>37.341674810000001</v>
          </cell>
          <cell r="AD5582">
            <v>35.908691410000003</v>
          </cell>
        </row>
        <row r="5583">
          <cell r="L5583" t="str">
            <v>دوير الزيتون</v>
          </cell>
          <cell r="M5583" t="str">
            <v>C6325</v>
          </cell>
          <cell r="AC5583">
            <v>37.14868164</v>
          </cell>
          <cell r="AD5583">
            <v>36.333496089999997</v>
          </cell>
        </row>
        <row r="5584">
          <cell r="L5584" t="str">
            <v>الباكات</v>
          </cell>
          <cell r="M5584" t="str">
            <v>C6326</v>
          </cell>
          <cell r="AC5584">
            <v>37.313293459999997</v>
          </cell>
          <cell r="AD5584">
            <v>35.829101559999998</v>
          </cell>
        </row>
        <row r="5585">
          <cell r="L5585" t="str">
            <v>مشرفة الحلاج</v>
          </cell>
          <cell r="M5585" t="str">
            <v>C6327</v>
          </cell>
          <cell r="AC5585">
            <v>37.216308589999997</v>
          </cell>
          <cell r="AD5585">
            <v>35.974304199999999</v>
          </cell>
        </row>
        <row r="5586">
          <cell r="L5586" t="str">
            <v>غريريفة</v>
          </cell>
          <cell r="M5586" t="str">
            <v>C6328</v>
          </cell>
          <cell r="AC5586">
            <v>37.251892089999998</v>
          </cell>
          <cell r="AD5586">
            <v>35.834716800000002</v>
          </cell>
        </row>
        <row r="5587">
          <cell r="L5587" t="str">
            <v>ابو المجاهر</v>
          </cell>
          <cell r="M5587" t="str">
            <v>C6329</v>
          </cell>
          <cell r="AC5587">
            <v>37.157287599999997</v>
          </cell>
          <cell r="AD5587">
            <v>35.80767822</v>
          </cell>
        </row>
        <row r="5588">
          <cell r="L5588" t="str">
            <v>عين الغرف</v>
          </cell>
          <cell r="M5588" t="str">
            <v>C6330</v>
          </cell>
          <cell r="AC5588">
            <v>37.254089360000002</v>
          </cell>
          <cell r="AD5588">
            <v>35.938110350000002</v>
          </cell>
        </row>
        <row r="5589">
          <cell r="L5589" t="str">
            <v>بابيص</v>
          </cell>
          <cell r="M5589" t="str">
            <v>C6331</v>
          </cell>
          <cell r="AC5589">
            <v>37.033691410000003</v>
          </cell>
          <cell r="AD5589">
            <v>36.244873050000002</v>
          </cell>
        </row>
        <row r="5590">
          <cell r="L5590" t="str">
            <v>نقارين</v>
          </cell>
          <cell r="M5590" t="str">
            <v>C6332</v>
          </cell>
          <cell r="AC5590">
            <v>37.279907229999999</v>
          </cell>
          <cell r="AD5590">
            <v>36.223510740000002</v>
          </cell>
        </row>
        <row r="5591">
          <cell r="L5591" t="str">
            <v>تل طويل</v>
          </cell>
          <cell r="M5591" t="str">
            <v>C6333</v>
          </cell>
          <cell r="AC5591">
            <v>36.862487790000003</v>
          </cell>
          <cell r="AD5591">
            <v>36.524475099999997</v>
          </cell>
        </row>
        <row r="5592">
          <cell r="L5592" t="str">
            <v>ارشاف</v>
          </cell>
          <cell r="M5592" t="str">
            <v>C6334</v>
          </cell>
          <cell r="AC5592">
            <v>37.276306150000003</v>
          </cell>
          <cell r="AD5592">
            <v>36.52111816</v>
          </cell>
        </row>
        <row r="5593">
          <cell r="L5593" t="str">
            <v>أم الصفا</v>
          </cell>
          <cell r="M5593" t="str">
            <v>C6335</v>
          </cell>
          <cell r="AC5593">
            <v>37.899475099999997</v>
          </cell>
          <cell r="AD5593">
            <v>36.516723630000001</v>
          </cell>
        </row>
        <row r="5594">
          <cell r="L5594" t="str">
            <v>خربة تويني</v>
          </cell>
          <cell r="M5594" t="str">
            <v>C6336</v>
          </cell>
          <cell r="AC5594">
            <v>38.13647461</v>
          </cell>
          <cell r="AD5594">
            <v>36.385925290000003</v>
          </cell>
        </row>
        <row r="5595">
          <cell r="L5595" t="str">
            <v>رسم الفالح</v>
          </cell>
          <cell r="M5595" t="str">
            <v>C6337</v>
          </cell>
          <cell r="AC5595">
            <v>37.795898440000002</v>
          </cell>
          <cell r="AD5595">
            <v>36.155517580000001</v>
          </cell>
        </row>
        <row r="5596">
          <cell r="L5596" t="str">
            <v>العريضية</v>
          </cell>
          <cell r="M5596" t="str">
            <v>C6338</v>
          </cell>
          <cell r="AC5596">
            <v>37.925476070000002</v>
          </cell>
          <cell r="AD5596">
            <v>36.182128910000003</v>
          </cell>
        </row>
        <row r="5597">
          <cell r="L5597" t="str">
            <v>العزيزية</v>
          </cell>
          <cell r="M5597" t="str">
            <v>C6339</v>
          </cell>
          <cell r="AC5597">
            <v>38.121887209999997</v>
          </cell>
          <cell r="AD5597">
            <v>35.90509033</v>
          </cell>
        </row>
        <row r="5598">
          <cell r="L5598" t="str">
            <v>ميناس</v>
          </cell>
          <cell r="M5598" t="str">
            <v>C6340</v>
          </cell>
          <cell r="AC5598">
            <v>38.303710940000002</v>
          </cell>
          <cell r="AD5598">
            <v>36.870727539999997</v>
          </cell>
        </row>
        <row r="5599">
          <cell r="L5599" t="str">
            <v>كلمد</v>
          </cell>
          <cell r="M5599" t="str">
            <v>C6341</v>
          </cell>
          <cell r="AC5599">
            <v>38.319091800000002</v>
          </cell>
          <cell r="AD5599">
            <v>36.847290039999997</v>
          </cell>
        </row>
        <row r="5600">
          <cell r="L5600" t="str">
            <v>خراب رست</v>
          </cell>
          <cell r="M5600" t="str">
            <v>C6342</v>
          </cell>
          <cell r="AC5600">
            <v>38.505676270000002</v>
          </cell>
          <cell r="AD5600">
            <v>36.730285649999999</v>
          </cell>
        </row>
        <row r="5601">
          <cell r="L5601" t="str">
            <v>حبس</v>
          </cell>
          <cell r="M5601" t="str">
            <v>C6343</v>
          </cell>
          <cell r="AC5601">
            <v>37.491699220000001</v>
          </cell>
          <cell r="AD5601">
            <v>35.821289059999998</v>
          </cell>
        </row>
        <row r="5602">
          <cell r="L5602" t="str">
            <v>سرج فارع</v>
          </cell>
          <cell r="M5602" t="str">
            <v>C6344</v>
          </cell>
          <cell r="AC5602">
            <v>37.33569336</v>
          </cell>
          <cell r="AD5602">
            <v>35.954528809999999</v>
          </cell>
        </row>
        <row r="5603">
          <cell r="L5603" t="str">
            <v>الحليبية</v>
          </cell>
          <cell r="M5603" t="str">
            <v>C6345</v>
          </cell>
          <cell r="AC5603">
            <v>37.297302250000001</v>
          </cell>
          <cell r="AD5603">
            <v>35.535278320000003</v>
          </cell>
        </row>
        <row r="5604">
          <cell r="L5604" t="str">
            <v>رسم الأحمر_أبو حواديد</v>
          </cell>
          <cell r="M5604" t="str">
            <v>C6346</v>
          </cell>
          <cell r="AC5604">
            <v>37.488708500000001</v>
          </cell>
          <cell r="AD5604">
            <v>35.32147217</v>
          </cell>
        </row>
        <row r="5605">
          <cell r="L5605" t="str">
            <v>رسم البردقانة</v>
          </cell>
          <cell r="M5605" t="str">
            <v>C6347</v>
          </cell>
          <cell r="AC5605">
            <v>37.718688970000002</v>
          </cell>
          <cell r="AD5605">
            <v>35.069519040000003</v>
          </cell>
        </row>
        <row r="5606">
          <cell r="L5606" t="str">
            <v>الشلفاطية</v>
          </cell>
          <cell r="M5606" t="str">
            <v>C6348</v>
          </cell>
          <cell r="AC5606">
            <v>35.891479490000002</v>
          </cell>
          <cell r="AD5606">
            <v>35.53790283</v>
          </cell>
        </row>
        <row r="5607">
          <cell r="L5607" t="str">
            <v>الكروم</v>
          </cell>
          <cell r="M5607" t="str">
            <v>C6349</v>
          </cell>
          <cell r="AC5607">
            <v>36.134704589999998</v>
          </cell>
          <cell r="AD5607">
            <v>35.32788086</v>
          </cell>
        </row>
        <row r="5608">
          <cell r="L5608" t="str">
            <v>الدوحة</v>
          </cell>
          <cell r="M5608" t="str">
            <v>C6350</v>
          </cell>
          <cell r="AC5608">
            <v>36.105285649999999</v>
          </cell>
          <cell r="AD5608">
            <v>35.599487310000001</v>
          </cell>
        </row>
        <row r="5609">
          <cell r="L5609" t="str">
            <v>الرابية / بكاس</v>
          </cell>
          <cell r="M5609" t="str">
            <v>C6351</v>
          </cell>
          <cell r="AC5609">
            <v>36.036926270000002</v>
          </cell>
          <cell r="AD5609">
            <v>35.593688970000002</v>
          </cell>
        </row>
        <row r="5610">
          <cell r="L5610" t="str">
            <v>المختارية</v>
          </cell>
          <cell r="M5610" t="str">
            <v>C6352</v>
          </cell>
          <cell r="AC5610">
            <v>35.9375</v>
          </cell>
          <cell r="AD5610">
            <v>35.581481930000002</v>
          </cell>
        </row>
        <row r="5611">
          <cell r="L5611" t="str">
            <v>الهريادي</v>
          </cell>
          <cell r="M5611" t="str">
            <v>C6353</v>
          </cell>
          <cell r="AC5611">
            <v>36.186279300000002</v>
          </cell>
          <cell r="AD5611">
            <v>35.58111572</v>
          </cell>
        </row>
        <row r="5612">
          <cell r="L5612" t="str">
            <v>كفريه</v>
          </cell>
          <cell r="M5612" t="str">
            <v>C6354</v>
          </cell>
          <cell r="AC5612">
            <v>36.08111572</v>
          </cell>
          <cell r="AD5612">
            <v>35.671691899999999</v>
          </cell>
        </row>
        <row r="5613">
          <cell r="L5613" t="str">
            <v>الشبل</v>
          </cell>
          <cell r="M5613" t="str">
            <v>C6355</v>
          </cell>
          <cell r="AC5613">
            <v>36.089904789999999</v>
          </cell>
          <cell r="AD5613">
            <v>35.529907229999999</v>
          </cell>
        </row>
        <row r="5614">
          <cell r="L5614" t="str">
            <v>خربة ابو خسرف</v>
          </cell>
          <cell r="M5614" t="str">
            <v>C6356</v>
          </cell>
          <cell r="AC5614">
            <v>35.94372559</v>
          </cell>
          <cell r="AD5614">
            <v>35.44689941</v>
          </cell>
        </row>
        <row r="5615">
          <cell r="L5615" t="str">
            <v>قويقة / القرداحة</v>
          </cell>
          <cell r="M5615" t="str">
            <v>C6357</v>
          </cell>
          <cell r="AC5615">
            <v>35.934875490000003</v>
          </cell>
          <cell r="AD5615">
            <v>35.462707520000002</v>
          </cell>
        </row>
        <row r="5616">
          <cell r="L5616" t="str">
            <v>دير ابراهيم</v>
          </cell>
          <cell r="M5616" t="str">
            <v>C6358</v>
          </cell>
          <cell r="AC5616">
            <v>36.022094729999999</v>
          </cell>
          <cell r="AD5616">
            <v>35.449279789999999</v>
          </cell>
        </row>
        <row r="5617">
          <cell r="L5617" t="str">
            <v>جبيريه</v>
          </cell>
          <cell r="M5617" t="str">
            <v>C6359</v>
          </cell>
          <cell r="AC5617">
            <v>36.061096190000001</v>
          </cell>
          <cell r="AD5617">
            <v>35.512695309999998</v>
          </cell>
        </row>
        <row r="5618">
          <cell r="L5618" t="str">
            <v>مرخو</v>
          </cell>
          <cell r="M5618" t="str">
            <v>C6360</v>
          </cell>
          <cell r="AC5618">
            <v>35.931884770000003</v>
          </cell>
          <cell r="AD5618">
            <v>35.482910160000003</v>
          </cell>
        </row>
        <row r="5619">
          <cell r="L5619" t="str">
            <v>بسيقة الغربية</v>
          </cell>
          <cell r="M5619" t="str">
            <v>C6361</v>
          </cell>
          <cell r="AC5619">
            <v>35.968078609999999</v>
          </cell>
          <cell r="AD5619">
            <v>35.498107910000002</v>
          </cell>
        </row>
        <row r="5620">
          <cell r="L5620" t="str">
            <v>المشيرفة</v>
          </cell>
          <cell r="M5620" t="str">
            <v>C6362</v>
          </cell>
          <cell r="AC5620">
            <v>36.966125490000003</v>
          </cell>
          <cell r="AD5620">
            <v>35.773071289999997</v>
          </cell>
        </row>
        <row r="5621">
          <cell r="L5621" t="str">
            <v>سرجة شرقية</v>
          </cell>
          <cell r="M5621" t="str">
            <v>C6363</v>
          </cell>
          <cell r="AC5621">
            <v>36.925720220000002</v>
          </cell>
          <cell r="AD5621">
            <v>35.581298830000001</v>
          </cell>
        </row>
        <row r="5622">
          <cell r="L5622" t="str">
            <v>الشيوخ</v>
          </cell>
          <cell r="M5622" t="str">
            <v>C6364</v>
          </cell>
          <cell r="AC5622">
            <v>36.413879399999999</v>
          </cell>
          <cell r="AD5622">
            <v>36.103515629999997</v>
          </cell>
        </row>
        <row r="5623">
          <cell r="L5623" t="str">
            <v>المرج</v>
          </cell>
          <cell r="M5623" t="str">
            <v>C6365</v>
          </cell>
          <cell r="AC5623">
            <v>36.429077149999998</v>
          </cell>
          <cell r="AD5623">
            <v>35.787719729999999</v>
          </cell>
        </row>
        <row r="5624">
          <cell r="L5624" t="str">
            <v>عامر</v>
          </cell>
          <cell r="M5624" t="str">
            <v>C6366</v>
          </cell>
          <cell r="AC5624">
            <v>41.1427002</v>
          </cell>
          <cell r="AD5624">
            <v>36.848693849999997</v>
          </cell>
        </row>
        <row r="5625">
          <cell r="L5625" t="str">
            <v>العالية الشرقية</v>
          </cell>
          <cell r="M5625" t="str">
            <v>C6367</v>
          </cell>
          <cell r="AC5625">
            <v>40.075927729999997</v>
          </cell>
          <cell r="AD5625">
            <v>36.689880369999997</v>
          </cell>
        </row>
        <row r="5626">
          <cell r="L5626" t="str">
            <v>تل الصفا</v>
          </cell>
          <cell r="M5626" t="str">
            <v>C6368</v>
          </cell>
          <cell r="AC5626">
            <v>40.092285160000003</v>
          </cell>
          <cell r="AD5626">
            <v>36.72747803</v>
          </cell>
        </row>
        <row r="5627">
          <cell r="L5627" t="str">
            <v>العالية الغربية</v>
          </cell>
          <cell r="M5627" t="str">
            <v>C6369</v>
          </cell>
          <cell r="AC5627">
            <v>40.04412842</v>
          </cell>
          <cell r="AD5627">
            <v>36.64428711</v>
          </cell>
        </row>
        <row r="5628">
          <cell r="L5628" t="str">
            <v>بئر نوح</v>
          </cell>
          <cell r="M5628" t="str">
            <v>C6370</v>
          </cell>
          <cell r="AC5628">
            <v>40.139282229999999</v>
          </cell>
          <cell r="AD5628">
            <v>36.796691899999999</v>
          </cell>
        </row>
        <row r="5629">
          <cell r="L5629" t="str">
            <v>خاص جنوبي</v>
          </cell>
          <cell r="M5629" t="str">
            <v>C6371</v>
          </cell>
          <cell r="AC5629">
            <v>40.621887209999997</v>
          </cell>
          <cell r="AD5629">
            <v>36.964477539999997</v>
          </cell>
        </row>
        <row r="5630">
          <cell r="L5630" t="str">
            <v>عالية غربية</v>
          </cell>
          <cell r="M5630" t="str">
            <v>C6372</v>
          </cell>
          <cell r="AC5630">
            <v>40.451110839999998</v>
          </cell>
          <cell r="AD5630">
            <v>36.989685059999999</v>
          </cell>
        </row>
        <row r="5631">
          <cell r="L5631" t="str">
            <v>متسلم</v>
          </cell>
          <cell r="M5631" t="str">
            <v>C6373</v>
          </cell>
          <cell r="AC5631">
            <v>40.744873050000002</v>
          </cell>
          <cell r="AD5631">
            <v>37.017089839999997</v>
          </cell>
        </row>
        <row r="5632">
          <cell r="L5632" t="str">
            <v>شفقة</v>
          </cell>
          <cell r="M5632" t="str">
            <v>C6374</v>
          </cell>
          <cell r="AC5632">
            <v>40.506713869999999</v>
          </cell>
          <cell r="AD5632">
            <v>36.942871089999997</v>
          </cell>
        </row>
        <row r="5633">
          <cell r="L5633" t="str">
            <v>هاجية</v>
          </cell>
          <cell r="M5633" t="str">
            <v>C6375</v>
          </cell>
          <cell r="AC5633">
            <v>40.460327149999998</v>
          </cell>
          <cell r="AD5633">
            <v>36.905273440000002</v>
          </cell>
        </row>
        <row r="5634">
          <cell r="L5634" t="str">
            <v>شريفة</v>
          </cell>
          <cell r="M5634" t="str">
            <v>C6376</v>
          </cell>
          <cell r="AC5634">
            <v>40.497497559999999</v>
          </cell>
          <cell r="AD5634">
            <v>36.88647461</v>
          </cell>
        </row>
        <row r="5635">
          <cell r="L5635" t="str">
            <v>الدروبية</v>
          </cell>
          <cell r="M5635" t="str">
            <v>C6378</v>
          </cell>
          <cell r="AC5635">
            <v>38.686523440000002</v>
          </cell>
          <cell r="AD5635">
            <v>36.251892089999998</v>
          </cell>
        </row>
        <row r="5636">
          <cell r="L5636" t="str">
            <v>مسعدة</v>
          </cell>
          <cell r="M5636" t="str">
            <v>C6379</v>
          </cell>
          <cell r="AC5636">
            <v>39.60272217</v>
          </cell>
          <cell r="AD5636">
            <v>35.814697270000003</v>
          </cell>
        </row>
        <row r="5637">
          <cell r="L5637" t="str">
            <v>شويحان طريفاوي</v>
          </cell>
          <cell r="M5637" t="str">
            <v>C6380</v>
          </cell>
          <cell r="AC5637">
            <v>39.373718259999997</v>
          </cell>
          <cell r="AD5637">
            <v>36.074707029999999</v>
          </cell>
        </row>
        <row r="5638">
          <cell r="L5638" t="str">
            <v>القادسية</v>
          </cell>
          <cell r="M5638" t="str">
            <v>C6381</v>
          </cell>
          <cell r="AC5638">
            <v>39.213500979999999</v>
          </cell>
          <cell r="AD5638">
            <v>35.982727050000001</v>
          </cell>
        </row>
        <row r="5639">
          <cell r="L5639" t="str">
            <v>الحمدانية</v>
          </cell>
          <cell r="M5639" t="str">
            <v>C6382</v>
          </cell>
          <cell r="AC5639">
            <v>39.441528320000003</v>
          </cell>
          <cell r="AD5639">
            <v>35.796081540000003</v>
          </cell>
        </row>
        <row r="5640">
          <cell r="L5640" t="str">
            <v>العطشانة</v>
          </cell>
          <cell r="M5640" t="str">
            <v>C6383</v>
          </cell>
          <cell r="AC5640">
            <v>39.460083009999998</v>
          </cell>
          <cell r="AD5640">
            <v>35.771301270000002</v>
          </cell>
        </row>
        <row r="5641">
          <cell r="L5641" t="str">
            <v>الحرية</v>
          </cell>
          <cell r="M5641" t="str">
            <v>C6384</v>
          </cell>
          <cell r="AC5641">
            <v>38.342529300000002</v>
          </cell>
          <cell r="AD5641">
            <v>36.165527339999997</v>
          </cell>
        </row>
        <row r="5642">
          <cell r="L5642" t="str">
            <v>المزيونة</v>
          </cell>
          <cell r="M5642" t="str">
            <v>C6385</v>
          </cell>
          <cell r="AC5642">
            <v>38.315124509999997</v>
          </cell>
          <cell r="AD5642">
            <v>36.166687009999997</v>
          </cell>
        </row>
        <row r="5643">
          <cell r="L5643" t="str">
            <v>الكروان</v>
          </cell>
          <cell r="M5643" t="str">
            <v>C6386</v>
          </cell>
          <cell r="AC5643">
            <v>38.498107910000002</v>
          </cell>
          <cell r="AD5643">
            <v>36.08087158</v>
          </cell>
        </row>
        <row r="5644">
          <cell r="L5644" t="str">
            <v>سطح زهنان</v>
          </cell>
          <cell r="M5644" t="str">
            <v>C6387</v>
          </cell>
          <cell r="AC5644">
            <v>36.41430664</v>
          </cell>
          <cell r="AD5644">
            <v>33.115478520000003</v>
          </cell>
        </row>
        <row r="5645">
          <cell r="L5645" t="str">
            <v>الحرية</v>
          </cell>
          <cell r="M5645" t="str">
            <v>C6388</v>
          </cell>
          <cell r="AC5645">
            <v>35.845886229999998</v>
          </cell>
          <cell r="AD5645">
            <v>33.189270020000002</v>
          </cell>
        </row>
        <row r="5646">
          <cell r="L5646" t="str">
            <v>باب الهوى</v>
          </cell>
          <cell r="M5646" t="str">
            <v>C6389</v>
          </cell>
          <cell r="AC5646">
            <v>36.692077640000001</v>
          </cell>
          <cell r="AD5646">
            <v>36.230896000000001</v>
          </cell>
        </row>
        <row r="5647">
          <cell r="L5647" t="str">
            <v>رسم صهريج</v>
          </cell>
          <cell r="M5647" t="str">
            <v>C6392</v>
          </cell>
          <cell r="AC5647">
            <v>36.94689941</v>
          </cell>
          <cell r="AD5647">
            <v>35.970520020000002</v>
          </cell>
        </row>
        <row r="5648">
          <cell r="L5648" t="str">
            <v>الزريقات</v>
          </cell>
          <cell r="M5648" t="str">
            <v>C6393</v>
          </cell>
          <cell r="AC5648">
            <v>36.931884770000003</v>
          </cell>
          <cell r="AD5648">
            <v>36.477905270000001</v>
          </cell>
        </row>
        <row r="5649">
          <cell r="L5649" t="str">
            <v>معرستة الخطيب</v>
          </cell>
          <cell r="M5649" t="str">
            <v>C6394</v>
          </cell>
          <cell r="AC5649">
            <v>36.959289550000001</v>
          </cell>
          <cell r="AD5649">
            <v>36.560485839999998</v>
          </cell>
        </row>
        <row r="5650">
          <cell r="L5650" t="str">
            <v>كفرميز</v>
          </cell>
          <cell r="M5650" t="str">
            <v>C6395</v>
          </cell>
          <cell r="AC5650">
            <v>36.941894529999999</v>
          </cell>
          <cell r="AD5650">
            <v>36.558898929999998</v>
          </cell>
        </row>
        <row r="5651">
          <cell r="L5651" t="str">
            <v>زفنك</v>
          </cell>
          <cell r="M5651" t="str">
            <v>C6396</v>
          </cell>
          <cell r="AC5651">
            <v>36.789672850000002</v>
          </cell>
          <cell r="AD5651">
            <v>36.686523440000002</v>
          </cell>
        </row>
        <row r="5652">
          <cell r="L5652" t="str">
            <v>حملك-حميلك</v>
          </cell>
          <cell r="M5652" t="str">
            <v>C6397</v>
          </cell>
          <cell r="AC5652">
            <v>36.721679690000002</v>
          </cell>
          <cell r="AD5652">
            <v>36.398925779999999</v>
          </cell>
        </row>
        <row r="5653">
          <cell r="L5653" t="str">
            <v>تاتارا-تاتارانلي</v>
          </cell>
          <cell r="M5653" t="str">
            <v>C6398</v>
          </cell>
          <cell r="AC5653">
            <v>36.655700680000002</v>
          </cell>
          <cell r="AD5653">
            <v>36.499877929999997</v>
          </cell>
        </row>
        <row r="5654">
          <cell r="L5654" t="str">
            <v>مروانة تحتاني</v>
          </cell>
          <cell r="M5654" t="str">
            <v>C6399</v>
          </cell>
          <cell r="AC5654">
            <v>36.595092770000001</v>
          </cell>
          <cell r="AD5654">
            <v>36.420471190000001</v>
          </cell>
        </row>
        <row r="5655">
          <cell r="L5655" t="str">
            <v>مزرعة شلو</v>
          </cell>
          <cell r="M5655" t="str">
            <v>C6400</v>
          </cell>
          <cell r="AC5655">
            <v>36.699523929999998</v>
          </cell>
          <cell r="AD5655">
            <v>36.56549072</v>
          </cell>
        </row>
        <row r="5656">
          <cell r="L5656" t="str">
            <v>عرب شيخو</v>
          </cell>
          <cell r="M5656" t="str">
            <v>C6401</v>
          </cell>
          <cell r="AC5656">
            <v>36.838073729999998</v>
          </cell>
          <cell r="AD5656">
            <v>36.609924319999998</v>
          </cell>
        </row>
        <row r="5657">
          <cell r="L5657" t="str">
            <v>شيخ بلال</v>
          </cell>
          <cell r="M5657" t="str">
            <v>C6402</v>
          </cell>
          <cell r="AC5657">
            <v>36.717712400000003</v>
          </cell>
          <cell r="AD5657">
            <v>36.660705569999998</v>
          </cell>
        </row>
        <row r="5658">
          <cell r="L5658" t="str">
            <v>حيدر أوبه سي</v>
          </cell>
          <cell r="M5658" t="str">
            <v>C6403</v>
          </cell>
          <cell r="AC5658">
            <v>36.666320800000001</v>
          </cell>
          <cell r="AD5658">
            <v>36.716491699999999</v>
          </cell>
        </row>
        <row r="5659">
          <cell r="L5659" t="str">
            <v>حسن كلكاوي</v>
          </cell>
          <cell r="M5659" t="str">
            <v>C6404</v>
          </cell>
          <cell r="AC5659">
            <v>36.631530759999997</v>
          </cell>
          <cell r="AD5659">
            <v>36.630676270000002</v>
          </cell>
        </row>
        <row r="5660">
          <cell r="L5660" t="str">
            <v>الوردية</v>
          </cell>
          <cell r="M5660" t="str">
            <v>C6405</v>
          </cell>
          <cell r="AC5660">
            <v>36.636108399999998</v>
          </cell>
          <cell r="AD5660">
            <v>36.577270509999998</v>
          </cell>
        </row>
        <row r="5661">
          <cell r="L5661" t="str">
            <v>كلانلي</v>
          </cell>
          <cell r="M5661" t="str">
            <v>C6406</v>
          </cell>
          <cell r="AC5661">
            <v>36.6427002</v>
          </cell>
          <cell r="AD5661">
            <v>36.550720220000002</v>
          </cell>
        </row>
        <row r="5662">
          <cell r="L5662" t="str">
            <v>زرك</v>
          </cell>
          <cell r="M5662" t="str">
            <v>C6407</v>
          </cell>
          <cell r="AC5662">
            <v>38.116882320000002</v>
          </cell>
          <cell r="AD5662">
            <v>36.771728520000003</v>
          </cell>
        </row>
        <row r="5663">
          <cell r="L5663" t="str">
            <v>زور مغار</v>
          </cell>
          <cell r="M5663" t="str">
            <v>C6408</v>
          </cell>
          <cell r="AC5663">
            <v>38.034728999999999</v>
          </cell>
          <cell r="AD5663">
            <v>36.834716800000002</v>
          </cell>
        </row>
        <row r="5664">
          <cell r="L5664" t="str">
            <v>زركوتك</v>
          </cell>
          <cell r="M5664" t="str">
            <v>C6409</v>
          </cell>
          <cell r="AC5664">
            <v>38.115295410000002</v>
          </cell>
          <cell r="AD5664">
            <v>36.690124509999997</v>
          </cell>
        </row>
        <row r="5665">
          <cell r="L5665" t="str">
            <v>قنطري</v>
          </cell>
          <cell r="M5665" t="str">
            <v>C6410</v>
          </cell>
          <cell r="AC5665">
            <v>38.46368408</v>
          </cell>
          <cell r="AD5665">
            <v>36.520874020000001</v>
          </cell>
        </row>
        <row r="5666">
          <cell r="L5666" t="str">
            <v>مغربتين</v>
          </cell>
          <cell r="M5666" t="str">
            <v>C6411</v>
          </cell>
          <cell r="AC5666">
            <v>38.348693849999997</v>
          </cell>
          <cell r="AD5666">
            <v>36.542907720000002</v>
          </cell>
        </row>
        <row r="5667">
          <cell r="L5667" t="str">
            <v>مديونة</v>
          </cell>
          <cell r="M5667" t="str">
            <v>C6412</v>
          </cell>
          <cell r="AC5667">
            <v>37.424072270000003</v>
          </cell>
          <cell r="AD5667">
            <v>36.294494630000003</v>
          </cell>
        </row>
        <row r="5668">
          <cell r="L5668" t="str">
            <v>ثلجة شرقية</v>
          </cell>
          <cell r="M5668" t="str">
            <v>C6413</v>
          </cell>
          <cell r="AC5668">
            <v>37.70288086</v>
          </cell>
          <cell r="AD5668">
            <v>36.507080080000001</v>
          </cell>
        </row>
        <row r="5669">
          <cell r="L5669" t="str">
            <v>عاصمية</v>
          </cell>
          <cell r="M5669" t="str">
            <v>C6414</v>
          </cell>
          <cell r="AC5669">
            <v>37.567687990000003</v>
          </cell>
          <cell r="AD5669">
            <v>36.11328125</v>
          </cell>
        </row>
        <row r="5670">
          <cell r="L5670" t="str">
            <v>تل نعام</v>
          </cell>
          <cell r="M5670" t="str">
            <v>C6415</v>
          </cell>
          <cell r="AC5670">
            <v>37.460327149999998</v>
          </cell>
          <cell r="AD5670">
            <v>36.098327640000001</v>
          </cell>
        </row>
        <row r="5671">
          <cell r="L5671" t="str">
            <v>الصالحية</v>
          </cell>
          <cell r="M5671" t="str">
            <v>C6416</v>
          </cell>
          <cell r="AC5671">
            <v>37.40209961</v>
          </cell>
          <cell r="AD5671">
            <v>36.121276860000002</v>
          </cell>
        </row>
        <row r="5672">
          <cell r="L5672" t="str">
            <v>كفركار</v>
          </cell>
          <cell r="M5672" t="str">
            <v>C6417</v>
          </cell>
          <cell r="AC5672">
            <v>37.303283690000001</v>
          </cell>
          <cell r="AD5672">
            <v>35.996521000000001</v>
          </cell>
        </row>
        <row r="5673">
          <cell r="L5673" t="str">
            <v>تل مالد</v>
          </cell>
          <cell r="M5673" t="str">
            <v>C6418</v>
          </cell>
          <cell r="AC5673">
            <v>37.22930908</v>
          </cell>
          <cell r="AD5673">
            <v>36.4453125</v>
          </cell>
        </row>
        <row r="5674">
          <cell r="L5674" t="str">
            <v>صندف</v>
          </cell>
          <cell r="M5674" t="str">
            <v>C6419</v>
          </cell>
          <cell r="AC5674">
            <v>37.169677729999997</v>
          </cell>
          <cell r="AD5674">
            <v>36.517517089999998</v>
          </cell>
        </row>
        <row r="5675">
          <cell r="L5675" t="str">
            <v>أم القرى</v>
          </cell>
          <cell r="M5675" t="str">
            <v>C6420</v>
          </cell>
          <cell r="AC5675">
            <v>37.229492190000002</v>
          </cell>
          <cell r="AD5675">
            <v>36.380676270000002</v>
          </cell>
        </row>
        <row r="5676">
          <cell r="L5676" t="str">
            <v>قزل/غزل</v>
          </cell>
          <cell r="M5676" t="str">
            <v>C6421</v>
          </cell>
          <cell r="AC5676">
            <v>37.233886720000001</v>
          </cell>
          <cell r="AD5676">
            <v>36.625488279999999</v>
          </cell>
        </row>
        <row r="5677">
          <cell r="L5677" t="str">
            <v>حرجلة</v>
          </cell>
          <cell r="M5677" t="str">
            <v>C6422</v>
          </cell>
          <cell r="AC5677">
            <v>37.241088869999999</v>
          </cell>
          <cell r="AD5677">
            <v>36.661499020000001</v>
          </cell>
        </row>
        <row r="5678">
          <cell r="L5678" t="str">
            <v>دلحة</v>
          </cell>
          <cell r="M5678" t="str">
            <v>C6423</v>
          </cell>
          <cell r="AC5678">
            <v>37.237487790000003</v>
          </cell>
          <cell r="AD5678">
            <v>36.646911619999997</v>
          </cell>
        </row>
        <row r="5679">
          <cell r="L5679" t="str">
            <v>الحلزون</v>
          </cell>
          <cell r="M5679" t="str">
            <v>C6424</v>
          </cell>
          <cell r="AC5679">
            <v>36.717529300000002</v>
          </cell>
          <cell r="AD5679">
            <v>36.147094729999999</v>
          </cell>
        </row>
        <row r="5680">
          <cell r="L5680" t="str">
            <v>تل مصيبين</v>
          </cell>
          <cell r="M5680" t="str">
            <v>C6425</v>
          </cell>
          <cell r="AC5680">
            <v>37.100708009999998</v>
          </cell>
          <cell r="AD5680">
            <v>36.305297850000002</v>
          </cell>
        </row>
        <row r="5681">
          <cell r="L5681" t="str">
            <v>كفر داعل</v>
          </cell>
          <cell r="M5681" t="str">
            <v>C6426</v>
          </cell>
          <cell r="AC5681">
            <v>37.022888180000002</v>
          </cell>
          <cell r="AD5681">
            <v>36.21368408</v>
          </cell>
        </row>
        <row r="5682">
          <cell r="L5682" t="str">
            <v>الشيخ نجار</v>
          </cell>
          <cell r="M5682" t="str">
            <v>C6427</v>
          </cell>
          <cell r="AC5682">
            <v>37.241699220000001</v>
          </cell>
          <cell r="AD5682">
            <v>36.282287599999997</v>
          </cell>
        </row>
        <row r="5683">
          <cell r="L5683" t="str">
            <v>خان العسل</v>
          </cell>
          <cell r="M5683" t="str">
            <v>C6428</v>
          </cell>
          <cell r="AC5683">
            <v>37.028686520000001</v>
          </cell>
          <cell r="AD5683">
            <v>36.165100099999997</v>
          </cell>
        </row>
        <row r="5684">
          <cell r="L5684" t="str">
            <v>الملاح</v>
          </cell>
          <cell r="M5684" t="str">
            <v>C6429</v>
          </cell>
          <cell r="AC5684">
            <v>37.1270752</v>
          </cell>
          <cell r="AD5684">
            <v>36.273498539999999</v>
          </cell>
        </row>
        <row r="5685">
          <cell r="L5685" t="str">
            <v>حامدية الشداد</v>
          </cell>
          <cell r="M5685" t="str">
            <v>C6430</v>
          </cell>
          <cell r="AC5685">
            <v>37.147888180000002</v>
          </cell>
          <cell r="AD5685">
            <v>35.72747803</v>
          </cell>
        </row>
        <row r="5686">
          <cell r="L5686" t="str">
            <v>أم عدس فرس</v>
          </cell>
          <cell r="M5686" t="str">
            <v>C6431</v>
          </cell>
          <cell r="AC5686">
            <v>38.129272460000003</v>
          </cell>
          <cell r="AD5686">
            <v>36.513671879999997</v>
          </cell>
        </row>
        <row r="5687">
          <cell r="L5687" t="str">
            <v>قناة الشيخ طباش</v>
          </cell>
          <cell r="M5687" t="str">
            <v>C6432</v>
          </cell>
          <cell r="AC5687">
            <v>37.917297359999999</v>
          </cell>
          <cell r="AD5687">
            <v>36.503112790000003</v>
          </cell>
        </row>
        <row r="5688">
          <cell r="L5688" t="str">
            <v>ام الكبير</v>
          </cell>
          <cell r="M5688" t="str">
            <v>C6433</v>
          </cell>
          <cell r="AC5688">
            <v>40.595886229999998</v>
          </cell>
          <cell r="AD5688">
            <v>36.51171875</v>
          </cell>
        </row>
        <row r="5689">
          <cell r="L5689" t="str">
            <v>طوق الملح</v>
          </cell>
          <cell r="M5689" t="str">
            <v>C6434</v>
          </cell>
          <cell r="AC5689">
            <v>40.673522949999999</v>
          </cell>
          <cell r="AD5689">
            <v>36.510681150000003</v>
          </cell>
        </row>
        <row r="5690">
          <cell r="L5690" t="str">
            <v>رد شقرة</v>
          </cell>
          <cell r="M5690" t="str">
            <v>C6435</v>
          </cell>
          <cell r="AC5690">
            <v>40.839477539999997</v>
          </cell>
          <cell r="AD5690">
            <v>36.474121089999997</v>
          </cell>
        </row>
        <row r="5691">
          <cell r="L5691" t="str">
            <v>مخروم</v>
          </cell>
          <cell r="M5691" t="str">
            <v>C6436</v>
          </cell>
          <cell r="AC5691">
            <v>40.623291020000003</v>
          </cell>
          <cell r="AD5691">
            <v>36.35388184</v>
          </cell>
        </row>
        <row r="5692">
          <cell r="L5692" t="str">
            <v>الميلبية</v>
          </cell>
          <cell r="M5692" t="str">
            <v>C6437</v>
          </cell>
          <cell r="AC5692">
            <v>40.795104979999998</v>
          </cell>
          <cell r="AD5692">
            <v>36.406677250000001</v>
          </cell>
        </row>
        <row r="5693">
          <cell r="L5693" t="str">
            <v>الخمايل</v>
          </cell>
          <cell r="M5693" t="str">
            <v>C6438</v>
          </cell>
          <cell r="AC5693">
            <v>40.766296390000001</v>
          </cell>
          <cell r="AD5693">
            <v>36.370300290000003</v>
          </cell>
        </row>
        <row r="5694">
          <cell r="L5694" t="str">
            <v>الكرامة</v>
          </cell>
          <cell r="M5694" t="str">
            <v>C6439</v>
          </cell>
          <cell r="AC5694">
            <v>40.724304199999999</v>
          </cell>
          <cell r="AD5694">
            <v>36.308715820000003</v>
          </cell>
        </row>
        <row r="5695">
          <cell r="L5695" t="str">
            <v>الفرحية</v>
          </cell>
          <cell r="M5695" t="str">
            <v>C6440</v>
          </cell>
          <cell r="AC5695">
            <v>40.634521479999997</v>
          </cell>
          <cell r="AD5695">
            <v>36.691101070000002</v>
          </cell>
        </row>
        <row r="5696">
          <cell r="L5696" t="str">
            <v>أبيض</v>
          </cell>
          <cell r="M5696" t="str">
            <v>C6441</v>
          </cell>
          <cell r="AC5696">
            <v>40.549072270000003</v>
          </cell>
          <cell r="AD5696">
            <v>36.350891109999999</v>
          </cell>
        </row>
        <row r="5697">
          <cell r="L5697" t="str">
            <v>دباغية</v>
          </cell>
          <cell r="M5697" t="str">
            <v>C6442</v>
          </cell>
          <cell r="AC5697">
            <v>40.588317869999997</v>
          </cell>
          <cell r="AD5697">
            <v>36.535888669999999</v>
          </cell>
        </row>
        <row r="5698">
          <cell r="L5698" t="str">
            <v>العوينات البزون</v>
          </cell>
          <cell r="M5698" t="str">
            <v>C6443</v>
          </cell>
          <cell r="AC5698">
            <v>40.619689940000001</v>
          </cell>
          <cell r="AD5698">
            <v>36.365722660000003</v>
          </cell>
        </row>
        <row r="5699">
          <cell r="L5699" t="str">
            <v>تنينير</v>
          </cell>
          <cell r="M5699" t="str">
            <v>C6444</v>
          </cell>
          <cell r="AC5699">
            <v>40.816101070000002</v>
          </cell>
          <cell r="AD5699">
            <v>36.418701169999999</v>
          </cell>
        </row>
        <row r="5700">
          <cell r="L5700" t="str">
            <v>رجم سيران</v>
          </cell>
          <cell r="M5700" t="str">
            <v>C6445</v>
          </cell>
          <cell r="AC5700">
            <v>40.83569336</v>
          </cell>
          <cell r="AD5700">
            <v>36.45611572</v>
          </cell>
        </row>
        <row r="5701">
          <cell r="L5701" t="str">
            <v>الفيضات</v>
          </cell>
          <cell r="M5701" t="str">
            <v>C6446</v>
          </cell>
          <cell r="AC5701">
            <v>40.68450928</v>
          </cell>
          <cell r="AD5701">
            <v>36.423522949999999</v>
          </cell>
        </row>
        <row r="5702">
          <cell r="L5702" t="str">
            <v>الشارة</v>
          </cell>
          <cell r="M5702" t="str">
            <v>C6447</v>
          </cell>
          <cell r="AC5702">
            <v>40.601684570000003</v>
          </cell>
          <cell r="AD5702">
            <v>36.546875</v>
          </cell>
        </row>
        <row r="5703">
          <cell r="L5703" t="str">
            <v>تل البارود</v>
          </cell>
          <cell r="M5703" t="str">
            <v>C6448</v>
          </cell>
          <cell r="AC5703">
            <v>40.660888669999999</v>
          </cell>
          <cell r="AD5703">
            <v>36.416687009999997</v>
          </cell>
        </row>
        <row r="5704">
          <cell r="L5704" t="str">
            <v>كاكا سعيد</v>
          </cell>
          <cell r="M5704" t="str">
            <v>C6449</v>
          </cell>
          <cell r="AC5704">
            <v>41.041320800000001</v>
          </cell>
          <cell r="AD5704">
            <v>36.630126949999998</v>
          </cell>
        </row>
        <row r="5705">
          <cell r="L5705" t="str">
            <v>التويم</v>
          </cell>
          <cell r="M5705" t="str">
            <v>C6450</v>
          </cell>
          <cell r="AC5705">
            <v>41.119079589999998</v>
          </cell>
          <cell r="AD5705">
            <v>36.743286130000001</v>
          </cell>
        </row>
        <row r="5706">
          <cell r="L5706" t="str">
            <v>غزالية</v>
          </cell>
          <cell r="M5706" t="str">
            <v>C6451</v>
          </cell>
          <cell r="AC5706">
            <v>41.302917479999998</v>
          </cell>
          <cell r="AD5706">
            <v>36.548889160000002</v>
          </cell>
        </row>
        <row r="5707">
          <cell r="L5707" t="str">
            <v>أبو جرن</v>
          </cell>
          <cell r="M5707" t="str">
            <v>C6452</v>
          </cell>
          <cell r="AC5707">
            <v>41.240905759999997</v>
          </cell>
          <cell r="AD5707">
            <v>36.591491699999999</v>
          </cell>
        </row>
        <row r="5708">
          <cell r="L5708" t="str">
            <v>تل الشاير</v>
          </cell>
          <cell r="M5708" t="str">
            <v>C6453</v>
          </cell>
          <cell r="AC5708">
            <v>41.224914550000001</v>
          </cell>
          <cell r="AD5708">
            <v>36.592712400000003</v>
          </cell>
        </row>
        <row r="5709">
          <cell r="L5709" t="str">
            <v>عزاوي</v>
          </cell>
          <cell r="M5709" t="str">
            <v>C6454</v>
          </cell>
          <cell r="AC5709">
            <v>40.820495610000002</v>
          </cell>
          <cell r="AD5709">
            <v>35.951904300000002</v>
          </cell>
        </row>
        <row r="5710">
          <cell r="L5710" t="str">
            <v>ام حجيرة</v>
          </cell>
          <cell r="M5710" t="str">
            <v>C6455</v>
          </cell>
          <cell r="AC5710">
            <v>41.073486330000001</v>
          </cell>
          <cell r="AD5710">
            <v>36.195922850000002</v>
          </cell>
        </row>
        <row r="5711">
          <cell r="L5711" t="str">
            <v>الهدى</v>
          </cell>
          <cell r="M5711" t="str">
            <v>C6456</v>
          </cell>
          <cell r="AC5711">
            <v>40.384094240000003</v>
          </cell>
          <cell r="AD5711">
            <v>36.606689449999998</v>
          </cell>
        </row>
        <row r="5712">
          <cell r="L5712" t="str">
            <v>كزلية</v>
          </cell>
          <cell r="M5712" t="str">
            <v>C6457</v>
          </cell>
          <cell r="AC5712">
            <v>40.225280759999997</v>
          </cell>
          <cell r="AD5712">
            <v>36.624877929999997</v>
          </cell>
        </row>
        <row r="5713">
          <cell r="L5713" t="str">
            <v>تل غوران</v>
          </cell>
          <cell r="M5713" t="str">
            <v>C6458</v>
          </cell>
          <cell r="AC5713">
            <v>40.4083252</v>
          </cell>
          <cell r="AD5713">
            <v>36.596313479999999</v>
          </cell>
        </row>
        <row r="5714">
          <cell r="L5714" t="str">
            <v>تل اللبن</v>
          </cell>
          <cell r="M5714" t="str">
            <v>C6459</v>
          </cell>
          <cell r="AC5714">
            <v>40.199279789999999</v>
          </cell>
          <cell r="AD5714">
            <v>36.614501949999998</v>
          </cell>
        </row>
        <row r="5715">
          <cell r="L5715" t="str">
            <v>الركبة</v>
          </cell>
          <cell r="M5715" t="str">
            <v>C6460</v>
          </cell>
          <cell r="AC5715">
            <v>40.399475099999997</v>
          </cell>
          <cell r="AD5715">
            <v>36.621887209999997</v>
          </cell>
        </row>
        <row r="5716">
          <cell r="L5716" t="str">
            <v>تل الجزيرة</v>
          </cell>
          <cell r="M5716" t="str">
            <v>C6461</v>
          </cell>
          <cell r="AC5716">
            <v>40.45910645</v>
          </cell>
          <cell r="AD5716">
            <v>36.578674319999998</v>
          </cell>
        </row>
        <row r="5717">
          <cell r="L5717" t="str">
            <v>الاغيبش</v>
          </cell>
          <cell r="M5717" t="str">
            <v>C6462</v>
          </cell>
          <cell r="AC5717">
            <v>40.344299319999998</v>
          </cell>
          <cell r="AD5717">
            <v>36.64611816</v>
          </cell>
        </row>
        <row r="5718">
          <cell r="L5718" t="str">
            <v>مغلوجة</v>
          </cell>
          <cell r="M5718" t="str">
            <v>C6463</v>
          </cell>
          <cell r="AC5718">
            <v>40.432128910000003</v>
          </cell>
          <cell r="AD5718">
            <v>36.451110839999998</v>
          </cell>
        </row>
        <row r="5719">
          <cell r="L5719" t="str">
            <v>تل مبطوح غربي</v>
          </cell>
          <cell r="M5719" t="str">
            <v>C6464</v>
          </cell>
          <cell r="AC5719">
            <v>40.142089839999997</v>
          </cell>
          <cell r="AD5719">
            <v>36.477111819999998</v>
          </cell>
        </row>
        <row r="5720">
          <cell r="L5720" t="str">
            <v>حسينية</v>
          </cell>
          <cell r="M5720" t="str">
            <v>C6465</v>
          </cell>
          <cell r="AC5720">
            <v>40.399902339999997</v>
          </cell>
          <cell r="AD5720">
            <v>36.551513669999999</v>
          </cell>
        </row>
        <row r="5721">
          <cell r="L5721" t="str">
            <v>كريفاتي</v>
          </cell>
          <cell r="M5721" t="str">
            <v>C6466</v>
          </cell>
          <cell r="AC5721">
            <v>41.854675290000003</v>
          </cell>
          <cell r="AD5721">
            <v>36.900329589999998</v>
          </cell>
        </row>
        <row r="5722">
          <cell r="L5722" t="str">
            <v>الجديدة</v>
          </cell>
          <cell r="M5722" t="str">
            <v>C6467</v>
          </cell>
          <cell r="AC5722">
            <v>41.280273440000002</v>
          </cell>
          <cell r="AD5722">
            <v>36.913085940000002</v>
          </cell>
        </row>
        <row r="5723">
          <cell r="L5723" t="str">
            <v>أنطاكيا</v>
          </cell>
          <cell r="M5723" t="str">
            <v>C6468</v>
          </cell>
          <cell r="AC5723">
            <v>41.33709717</v>
          </cell>
          <cell r="AD5723">
            <v>36.538696289999997</v>
          </cell>
        </row>
        <row r="5724">
          <cell r="L5724" t="str">
            <v>ناعم الجلود</v>
          </cell>
          <cell r="M5724" t="str">
            <v>C6469</v>
          </cell>
          <cell r="AC5724">
            <v>41.501098630000001</v>
          </cell>
          <cell r="AD5724">
            <v>36.770080569999998</v>
          </cell>
        </row>
        <row r="5725">
          <cell r="L5725" t="str">
            <v>تل الهوى</v>
          </cell>
          <cell r="M5725" t="str">
            <v>C6470</v>
          </cell>
          <cell r="AC5725">
            <v>41.262329100000002</v>
          </cell>
          <cell r="AD5725">
            <v>36.592895509999998</v>
          </cell>
        </row>
        <row r="5726">
          <cell r="L5726" t="str">
            <v>أبو قصايب</v>
          </cell>
          <cell r="M5726" t="str">
            <v>C6471</v>
          </cell>
          <cell r="AC5726">
            <v>41.365295410000002</v>
          </cell>
          <cell r="AD5726">
            <v>36.873718259999997</v>
          </cell>
        </row>
        <row r="5727">
          <cell r="L5727" t="str">
            <v>هلكانة</v>
          </cell>
          <cell r="M5727" t="str">
            <v>C6472</v>
          </cell>
          <cell r="AC5727">
            <v>41.455322270000003</v>
          </cell>
          <cell r="AD5727">
            <v>36.780273440000002</v>
          </cell>
        </row>
        <row r="5728">
          <cell r="L5728" t="str">
            <v>جزعة</v>
          </cell>
          <cell r="M5728" t="str">
            <v>C6473</v>
          </cell>
          <cell r="AC5728">
            <v>41.693115229999997</v>
          </cell>
          <cell r="AD5728">
            <v>36.685119630000003</v>
          </cell>
        </row>
        <row r="5729">
          <cell r="L5729" t="str">
            <v>قضاعة</v>
          </cell>
          <cell r="M5729" t="str">
            <v>C6474</v>
          </cell>
          <cell r="AC5729">
            <v>41.798278809999999</v>
          </cell>
          <cell r="AD5729">
            <v>36.596923830000001</v>
          </cell>
        </row>
        <row r="5730">
          <cell r="L5730" t="str">
            <v>الثمد</v>
          </cell>
          <cell r="M5730" t="str">
            <v>C6475</v>
          </cell>
          <cell r="AC5730">
            <v>39.987304690000002</v>
          </cell>
          <cell r="AD5730">
            <v>36.72631836</v>
          </cell>
        </row>
        <row r="5731">
          <cell r="L5731" t="str">
            <v>تل البوغة</v>
          </cell>
          <cell r="M5731" t="str">
            <v>C6476</v>
          </cell>
          <cell r="AC5731">
            <v>39.877685550000002</v>
          </cell>
          <cell r="AD5731">
            <v>36.694091800000002</v>
          </cell>
        </row>
        <row r="5732">
          <cell r="L5732" t="str">
            <v>رجعان</v>
          </cell>
          <cell r="M5732" t="str">
            <v>C6477</v>
          </cell>
          <cell r="AC5732">
            <v>39.612487790000003</v>
          </cell>
          <cell r="AD5732">
            <v>36.659484859999999</v>
          </cell>
        </row>
        <row r="5733">
          <cell r="L5733" t="str">
            <v>تل أرقم</v>
          </cell>
          <cell r="M5733" t="str">
            <v>C6478</v>
          </cell>
          <cell r="AC5733">
            <v>40.02227783</v>
          </cell>
          <cell r="AD5733">
            <v>36.803894040000003</v>
          </cell>
        </row>
        <row r="5734">
          <cell r="L5734" t="str">
            <v>العزيزية</v>
          </cell>
          <cell r="M5734" t="str">
            <v>C6479</v>
          </cell>
          <cell r="AC5734">
            <v>39.978515629999997</v>
          </cell>
          <cell r="AD5734">
            <v>36.791076660000002</v>
          </cell>
        </row>
        <row r="5735">
          <cell r="L5735" t="str">
            <v>البهيمة</v>
          </cell>
          <cell r="M5735" t="str">
            <v>C6480</v>
          </cell>
          <cell r="AC5735">
            <v>39.999877929999997</v>
          </cell>
          <cell r="AD5735">
            <v>36.671691899999999</v>
          </cell>
        </row>
        <row r="5736">
          <cell r="L5736" t="str">
            <v>الساير</v>
          </cell>
          <cell r="M5736" t="str">
            <v>C6481</v>
          </cell>
          <cell r="AC5736">
            <v>40.007324220000001</v>
          </cell>
          <cell r="AD5736">
            <v>36.680725099999997</v>
          </cell>
        </row>
        <row r="5737">
          <cell r="L5737" t="str">
            <v>خربة غزال</v>
          </cell>
          <cell r="M5737" t="str">
            <v>C6482</v>
          </cell>
          <cell r="AC5737">
            <v>39.867919919999999</v>
          </cell>
          <cell r="AD5737">
            <v>36.745910649999999</v>
          </cell>
        </row>
        <row r="5738">
          <cell r="L5738" t="str">
            <v>البالوجة</v>
          </cell>
          <cell r="M5738" t="str">
            <v>C6483</v>
          </cell>
          <cell r="AC5738">
            <v>39.9005127</v>
          </cell>
          <cell r="AD5738">
            <v>36.780883789999997</v>
          </cell>
        </row>
        <row r="5739">
          <cell r="L5739" t="str">
            <v>تل عامرية</v>
          </cell>
          <cell r="M5739" t="str">
            <v>C6484</v>
          </cell>
          <cell r="AC5739">
            <v>40.21368408</v>
          </cell>
          <cell r="AD5739">
            <v>36.645507809999998</v>
          </cell>
        </row>
        <row r="5740">
          <cell r="L5740" t="str">
            <v>دويرة</v>
          </cell>
          <cell r="M5740" t="str">
            <v>C6485</v>
          </cell>
          <cell r="AC5740">
            <v>40.06872559</v>
          </cell>
          <cell r="AD5740">
            <v>36.78747559</v>
          </cell>
        </row>
        <row r="5741">
          <cell r="L5741" t="str">
            <v>قشقة</v>
          </cell>
          <cell r="M5741" t="str">
            <v>C6486</v>
          </cell>
          <cell r="AC5741">
            <v>40.024902339999997</v>
          </cell>
          <cell r="AD5741">
            <v>36.630676270000002</v>
          </cell>
        </row>
        <row r="5742">
          <cell r="L5742" t="str">
            <v>خربة البنات</v>
          </cell>
          <cell r="M5742" t="str">
            <v>C6487</v>
          </cell>
          <cell r="AC5742">
            <v>39.879272460000003</v>
          </cell>
          <cell r="AD5742">
            <v>36.764526369999999</v>
          </cell>
        </row>
        <row r="5743">
          <cell r="L5743" t="str">
            <v>عربينة</v>
          </cell>
          <cell r="M5743" t="str">
            <v>C6488</v>
          </cell>
          <cell r="AC5743">
            <v>40.227111819999998</v>
          </cell>
          <cell r="AD5743">
            <v>36.639099119999997</v>
          </cell>
        </row>
        <row r="5744">
          <cell r="L5744" t="str">
            <v>النوفلية</v>
          </cell>
          <cell r="M5744" t="str">
            <v>C6489</v>
          </cell>
          <cell r="AC5744">
            <v>40.164489750000001</v>
          </cell>
          <cell r="AD5744">
            <v>36.630676270000002</v>
          </cell>
        </row>
        <row r="5745">
          <cell r="L5745" t="str">
            <v>المقسوم</v>
          </cell>
          <cell r="M5745" t="str">
            <v>C6490</v>
          </cell>
          <cell r="AC5745">
            <v>40.058471679999997</v>
          </cell>
          <cell r="AD5745">
            <v>36.650878910000003</v>
          </cell>
        </row>
        <row r="5746">
          <cell r="L5746" t="str">
            <v>عالية</v>
          </cell>
          <cell r="M5746" t="str">
            <v>C6491</v>
          </cell>
          <cell r="AC5746">
            <v>40.104492190000002</v>
          </cell>
          <cell r="AD5746">
            <v>36.610900880000003</v>
          </cell>
        </row>
        <row r="5747">
          <cell r="L5747" t="str">
            <v>عدوانية</v>
          </cell>
          <cell r="M5747" t="str">
            <v>C6492</v>
          </cell>
          <cell r="AC5747">
            <v>39.653076169999999</v>
          </cell>
          <cell r="AD5747">
            <v>36.700073240000002</v>
          </cell>
        </row>
        <row r="5748">
          <cell r="L5748" t="str">
            <v>أبو جلود</v>
          </cell>
          <cell r="M5748" t="str">
            <v>C6493</v>
          </cell>
          <cell r="AC5748">
            <v>39.706298830000001</v>
          </cell>
          <cell r="AD5748">
            <v>36.630676270000002</v>
          </cell>
        </row>
        <row r="5749">
          <cell r="L5749" t="str">
            <v>قليعة</v>
          </cell>
          <cell r="M5749" t="str">
            <v>C6494</v>
          </cell>
          <cell r="AC5749">
            <v>40.064880369999997</v>
          </cell>
          <cell r="AD5749">
            <v>36.769103999999999</v>
          </cell>
        </row>
        <row r="5750">
          <cell r="L5750" t="str">
            <v>حيلة</v>
          </cell>
          <cell r="M5750" t="str">
            <v>C6495</v>
          </cell>
          <cell r="AC5750">
            <v>39.996704100000002</v>
          </cell>
          <cell r="AD5750">
            <v>36.620300290000003</v>
          </cell>
        </row>
        <row r="5751">
          <cell r="L5751" t="str">
            <v>مالحة</v>
          </cell>
          <cell r="M5751" t="str">
            <v>C6496</v>
          </cell>
          <cell r="AC5751">
            <v>39.985473630000001</v>
          </cell>
          <cell r="AD5751">
            <v>36.653686520000001</v>
          </cell>
        </row>
        <row r="5752">
          <cell r="L5752" t="str">
            <v>تل زنكات</v>
          </cell>
          <cell r="M5752" t="str">
            <v>C6497</v>
          </cell>
          <cell r="AC5752">
            <v>39.781921390000001</v>
          </cell>
          <cell r="AD5752">
            <v>36.739074709999997</v>
          </cell>
        </row>
        <row r="5753">
          <cell r="L5753" t="str">
            <v>تل خنزير</v>
          </cell>
          <cell r="M5753" t="str">
            <v>C6498</v>
          </cell>
          <cell r="AC5753">
            <v>39.834472660000003</v>
          </cell>
          <cell r="AD5753">
            <v>36.751098630000001</v>
          </cell>
        </row>
        <row r="5754">
          <cell r="L5754" t="str">
            <v>القادرية</v>
          </cell>
          <cell r="M5754" t="str">
            <v>C6499</v>
          </cell>
          <cell r="AC5754">
            <v>38.953308110000002</v>
          </cell>
          <cell r="AD5754">
            <v>36.340271000000001</v>
          </cell>
        </row>
        <row r="5755">
          <cell r="L5755" t="str">
            <v>زور شمار</v>
          </cell>
          <cell r="M5755" t="str">
            <v>C6500</v>
          </cell>
          <cell r="AC5755">
            <v>39.372314449999998</v>
          </cell>
          <cell r="AD5755">
            <v>35.779479979999998</v>
          </cell>
        </row>
        <row r="5756">
          <cell r="L5756" t="str">
            <v>المجر</v>
          </cell>
          <cell r="M5756" t="str">
            <v>C6501</v>
          </cell>
          <cell r="AC5756">
            <v>38.178283690000001</v>
          </cell>
          <cell r="AD5756">
            <v>35.818298339999998</v>
          </cell>
        </row>
        <row r="5757">
          <cell r="L5757" t="str">
            <v>مستريحة</v>
          </cell>
          <cell r="M5757" t="str">
            <v>C6502</v>
          </cell>
          <cell r="AC5757">
            <v>38.681701660000002</v>
          </cell>
          <cell r="AD5757">
            <v>36.385681150000003</v>
          </cell>
        </row>
        <row r="5758">
          <cell r="L5758" t="str">
            <v>مبعوجة</v>
          </cell>
          <cell r="M5758" t="str">
            <v>C6503</v>
          </cell>
          <cell r="AC5758">
            <v>38.72930908</v>
          </cell>
          <cell r="AD5758">
            <v>36.591491699999999</v>
          </cell>
        </row>
        <row r="5759">
          <cell r="L5759" t="str">
            <v>أبو صرة</v>
          </cell>
          <cell r="M5759" t="str">
            <v>C6504</v>
          </cell>
          <cell r="AC5759">
            <v>38.720886229999998</v>
          </cell>
          <cell r="AD5759">
            <v>36.481689449999998</v>
          </cell>
        </row>
        <row r="5760">
          <cell r="L5760" t="str">
            <v>ناهيت</v>
          </cell>
          <cell r="M5760" t="str">
            <v>C6505</v>
          </cell>
          <cell r="AC5760">
            <v>38.735473630000001</v>
          </cell>
          <cell r="AD5760">
            <v>36.493530270000001</v>
          </cell>
        </row>
        <row r="5761">
          <cell r="L5761" t="str">
            <v>السكرية</v>
          </cell>
          <cell r="M5761" t="str">
            <v>C6506</v>
          </cell>
          <cell r="AC5761">
            <v>39.212707520000002</v>
          </cell>
          <cell r="AD5761">
            <v>36.570922850000002</v>
          </cell>
        </row>
        <row r="5762">
          <cell r="L5762" t="str">
            <v>الهوز</v>
          </cell>
          <cell r="M5762" t="str">
            <v>C6507</v>
          </cell>
          <cell r="AC5762">
            <v>39.173278809999999</v>
          </cell>
          <cell r="AD5762">
            <v>36.573730470000001</v>
          </cell>
        </row>
        <row r="5763">
          <cell r="L5763" t="str">
            <v>محيسن</v>
          </cell>
          <cell r="M5763" t="str">
            <v>C6508</v>
          </cell>
          <cell r="AC5763">
            <v>39.256286619999997</v>
          </cell>
          <cell r="AD5763">
            <v>36.647094729999999</v>
          </cell>
        </row>
        <row r="5764">
          <cell r="L5764" t="str">
            <v>رنين</v>
          </cell>
          <cell r="M5764" t="str">
            <v>C6509</v>
          </cell>
          <cell r="AC5764">
            <v>39.098876949999998</v>
          </cell>
          <cell r="AD5764">
            <v>36.57629395</v>
          </cell>
        </row>
        <row r="5765">
          <cell r="L5765" t="str">
            <v>الرقبة</v>
          </cell>
          <cell r="M5765" t="str">
            <v>C6510</v>
          </cell>
          <cell r="AC5765">
            <v>39.281127929999997</v>
          </cell>
          <cell r="AD5765">
            <v>36.655883789999997</v>
          </cell>
        </row>
        <row r="5766">
          <cell r="L5766" t="str">
            <v>الواسطة</v>
          </cell>
          <cell r="M5766" t="str">
            <v>C6511</v>
          </cell>
          <cell r="AC5766">
            <v>39.242919919999999</v>
          </cell>
          <cell r="AD5766">
            <v>36.605285649999999</v>
          </cell>
        </row>
        <row r="5767">
          <cell r="L5767" t="str">
            <v>جرن الأسود</v>
          </cell>
          <cell r="M5767" t="str">
            <v>C6512</v>
          </cell>
          <cell r="AC5767">
            <v>38.719482419999999</v>
          </cell>
          <cell r="AD5767">
            <v>36.6796875</v>
          </cell>
        </row>
        <row r="5768">
          <cell r="L5768" t="str">
            <v>ديك شرقي</v>
          </cell>
          <cell r="M5768" t="str">
            <v>C6513</v>
          </cell>
          <cell r="AC5768">
            <v>39.089294430000002</v>
          </cell>
          <cell r="AD5768">
            <v>36.670104979999998</v>
          </cell>
        </row>
        <row r="5769">
          <cell r="L5769" t="str">
            <v>عين العروس</v>
          </cell>
          <cell r="M5769" t="str">
            <v>C6514</v>
          </cell>
          <cell r="AC5769">
            <v>38.933105470000001</v>
          </cell>
          <cell r="AD5769">
            <v>36.669311520000001</v>
          </cell>
        </row>
        <row r="5770">
          <cell r="L5770" t="str">
            <v>كندل</v>
          </cell>
          <cell r="M5770" t="str">
            <v>C6515</v>
          </cell>
          <cell r="AC5770">
            <v>38.80352783</v>
          </cell>
          <cell r="AD5770">
            <v>36.684082029999999</v>
          </cell>
        </row>
        <row r="5771">
          <cell r="L5771" t="str">
            <v>خفية</v>
          </cell>
          <cell r="M5771" t="str">
            <v>C6516</v>
          </cell>
          <cell r="AC5771">
            <v>38.791687009999997</v>
          </cell>
          <cell r="AD5771">
            <v>36.667907720000002</v>
          </cell>
        </row>
        <row r="5772">
          <cell r="L5772" t="str">
            <v>قيسوم</v>
          </cell>
          <cell r="M5772" t="str">
            <v>C6517</v>
          </cell>
          <cell r="AC5772">
            <v>38.971679690000002</v>
          </cell>
          <cell r="AD5772">
            <v>36.687683110000002</v>
          </cell>
        </row>
        <row r="5773">
          <cell r="L5773" t="str">
            <v>صما الهنيدات</v>
          </cell>
          <cell r="M5773" t="str">
            <v>C6518</v>
          </cell>
          <cell r="AC5773">
            <v>36.416870119999999</v>
          </cell>
          <cell r="AD5773">
            <v>32.767272949999999</v>
          </cell>
        </row>
        <row r="5774">
          <cell r="L5774" t="str">
            <v>الشومرة</v>
          </cell>
          <cell r="M5774" t="str">
            <v>C6519</v>
          </cell>
          <cell r="AC5774">
            <v>36.430725099999997</v>
          </cell>
          <cell r="AD5774">
            <v>32.983886720000001</v>
          </cell>
        </row>
        <row r="5775">
          <cell r="L5775" t="str">
            <v>صيرة عليا</v>
          </cell>
          <cell r="M5775" t="str">
            <v>C6520</v>
          </cell>
          <cell r="AC5775">
            <v>36.736877440000001</v>
          </cell>
          <cell r="AD5775">
            <v>33.049926759999998</v>
          </cell>
        </row>
        <row r="5776">
          <cell r="L5776" t="str">
            <v>خربة السرايا</v>
          </cell>
          <cell r="M5776" t="str">
            <v>C6521</v>
          </cell>
          <cell r="AC5776">
            <v>36.128112790000003</v>
          </cell>
          <cell r="AD5776">
            <v>32.95129395</v>
          </cell>
        </row>
        <row r="5777">
          <cell r="L5777" t="str">
            <v>خراب الشحم</v>
          </cell>
          <cell r="M5777" t="str">
            <v>C6522</v>
          </cell>
          <cell r="AC5777">
            <v>36.026672359999999</v>
          </cell>
          <cell r="AD5777">
            <v>32.66912842</v>
          </cell>
        </row>
        <row r="5778">
          <cell r="L5778" t="str">
            <v>المزيرعه</v>
          </cell>
          <cell r="M5778" t="str">
            <v>C6523</v>
          </cell>
          <cell r="AC5778">
            <v>36.0020752</v>
          </cell>
          <cell r="AD5778">
            <v>32.777709960000003</v>
          </cell>
        </row>
        <row r="5779">
          <cell r="L5779" t="str">
            <v>الشياحة</v>
          </cell>
          <cell r="M5779" t="str">
            <v>C6524</v>
          </cell>
          <cell r="AC5779">
            <v>36.405273440000002</v>
          </cell>
          <cell r="AD5779">
            <v>32.982910160000003</v>
          </cell>
        </row>
        <row r="5780">
          <cell r="L5780" t="str">
            <v>الخوابي</v>
          </cell>
          <cell r="M5780" t="str">
            <v>C6525</v>
          </cell>
          <cell r="AC5780">
            <v>36.332702640000001</v>
          </cell>
          <cell r="AD5780">
            <v>32.899719240000003</v>
          </cell>
        </row>
        <row r="5781">
          <cell r="L5781" t="str">
            <v>البحرة</v>
          </cell>
          <cell r="M5781" t="str">
            <v>C6526</v>
          </cell>
          <cell r="AC5781">
            <v>40.788330080000001</v>
          </cell>
          <cell r="AD5781">
            <v>34.729675290000003</v>
          </cell>
        </row>
        <row r="5782">
          <cell r="L5782" t="str">
            <v>الحصان</v>
          </cell>
          <cell r="M5782" t="str">
            <v>C6527</v>
          </cell>
          <cell r="AC5782">
            <v>40.117675779999999</v>
          </cell>
          <cell r="AD5782">
            <v>35.401489259999998</v>
          </cell>
        </row>
        <row r="5783">
          <cell r="L5783" t="str">
            <v>حويجة قاطع</v>
          </cell>
          <cell r="M5783" t="str">
            <v>C6528</v>
          </cell>
          <cell r="AC5783">
            <v>40.138916020000003</v>
          </cell>
          <cell r="AD5783">
            <v>35.353515629999997</v>
          </cell>
        </row>
        <row r="5784">
          <cell r="L5784" t="str">
            <v>الشولة</v>
          </cell>
          <cell r="M5784" t="str">
            <v>C6529</v>
          </cell>
          <cell r="AC5784">
            <v>39.846130369999997</v>
          </cell>
          <cell r="AD5784">
            <v>35.187072749999999</v>
          </cell>
        </row>
        <row r="5785">
          <cell r="L5785" t="str">
            <v>حويجة صكر</v>
          </cell>
          <cell r="M5785" t="str">
            <v>C6531</v>
          </cell>
          <cell r="AC5785">
            <v>40.173889160000002</v>
          </cell>
          <cell r="AD5785">
            <v>35.320495610000002</v>
          </cell>
        </row>
        <row r="5786">
          <cell r="L5786" t="str">
            <v>المستريحة</v>
          </cell>
          <cell r="M5786" t="str">
            <v>C6532</v>
          </cell>
          <cell r="AC5786">
            <v>37.418518069999998</v>
          </cell>
          <cell r="AD5786">
            <v>35.372070309999998</v>
          </cell>
        </row>
        <row r="5787">
          <cell r="L5787" t="str">
            <v>مريجب</v>
          </cell>
          <cell r="M5787" t="str">
            <v>C6533</v>
          </cell>
          <cell r="AC5787">
            <v>37.519897460000003</v>
          </cell>
          <cell r="AD5787">
            <v>35.442687990000003</v>
          </cell>
        </row>
        <row r="5788">
          <cell r="L5788" t="str">
            <v>أم صهريج</v>
          </cell>
          <cell r="M5788" t="str">
            <v>C6534</v>
          </cell>
          <cell r="AC5788">
            <v>37.342529300000002</v>
          </cell>
          <cell r="AD5788">
            <v>35.320922850000002</v>
          </cell>
        </row>
        <row r="5789">
          <cell r="L5789" t="str">
            <v>شختير</v>
          </cell>
          <cell r="M5789" t="str">
            <v>C6535</v>
          </cell>
          <cell r="AC5789">
            <v>37.394897460000003</v>
          </cell>
          <cell r="AD5789">
            <v>35.363098149999999</v>
          </cell>
        </row>
        <row r="5790">
          <cell r="L5790" t="str">
            <v>طوطح</v>
          </cell>
          <cell r="M5790" t="str">
            <v>C6536</v>
          </cell>
          <cell r="AC5790">
            <v>37.281127929999997</v>
          </cell>
          <cell r="AD5790">
            <v>35.273925779999999</v>
          </cell>
        </row>
        <row r="5791">
          <cell r="L5791" t="str">
            <v>جب ريان</v>
          </cell>
          <cell r="M5791" t="str">
            <v>C6537</v>
          </cell>
          <cell r="AC5791">
            <v>37.504272460000003</v>
          </cell>
          <cell r="AD5791">
            <v>34.979675290000003</v>
          </cell>
        </row>
        <row r="5792">
          <cell r="L5792" t="str">
            <v>الريع</v>
          </cell>
          <cell r="M5792" t="str">
            <v>C6538</v>
          </cell>
          <cell r="AC5792">
            <v>37.256713869999999</v>
          </cell>
          <cell r="AD5792">
            <v>35.197875979999999</v>
          </cell>
        </row>
        <row r="5793">
          <cell r="L5793" t="str">
            <v>عبيان</v>
          </cell>
          <cell r="M5793" t="str">
            <v>C6539</v>
          </cell>
          <cell r="AC5793">
            <v>37.232482910000002</v>
          </cell>
          <cell r="AD5793">
            <v>35.280517580000001</v>
          </cell>
        </row>
        <row r="5794">
          <cell r="L5794" t="str">
            <v>ابو مرو</v>
          </cell>
          <cell r="M5794" t="str">
            <v>C6540</v>
          </cell>
          <cell r="AC5794">
            <v>37.207519529999999</v>
          </cell>
          <cell r="AD5794">
            <v>35.292297359999999</v>
          </cell>
        </row>
        <row r="5795">
          <cell r="L5795" t="str">
            <v>المضابع</v>
          </cell>
          <cell r="M5795" t="str">
            <v>C6541</v>
          </cell>
          <cell r="AC5795">
            <v>37.229675290000003</v>
          </cell>
          <cell r="AD5795">
            <v>35.297912599999997</v>
          </cell>
        </row>
        <row r="5796">
          <cell r="L5796" t="str">
            <v>الوسيطة</v>
          </cell>
          <cell r="M5796" t="str">
            <v>C6542</v>
          </cell>
          <cell r="AC5796">
            <v>37.183288570000002</v>
          </cell>
          <cell r="AD5796">
            <v>35.302917479999998</v>
          </cell>
        </row>
        <row r="5797">
          <cell r="L5797" t="str">
            <v>قليب الثور</v>
          </cell>
          <cell r="M5797" t="str">
            <v>C6543</v>
          </cell>
          <cell r="AC5797">
            <v>37.302673339999998</v>
          </cell>
          <cell r="AD5797">
            <v>35.095092770000001</v>
          </cell>
        </row>
        <row r="5798">
          <cell r="L5798" t="str">
            <v>طنجرة (المنارة)</v>
          </cell>
          <cell r="M5798" t="str">
            <v>C6544</v>
          </cell>
          <cell r="AC5798">
            <v>36.356689449999998</v>
          </cell>
          <cell r="AD5798">
            <v>35.586914059999998</v>
          </cell>
        </row>
        <row r="5799">
          <cell r="L5799" t="str">
            <v>القاهرة</v>
          </cell>
          <cell r="M5799" t="str">
            <v>C6545</v>
          </cell>
          <cell r="AC5799">
            <v>36.362487790000003</v>
          </cell>
          <cell r="AD5799">
            <v>35.613098149999999</v>
          </cell>
        </row>
        <row r="5800">
          <cell r="L5800" t="str">
            <v>المشيك</v>
          </cell>
          <cell r="M5800" t="str">
            <v>C6546</v>
          </cell>
          <cell r="AC5800">
            <v>36.33227539</v>
          </cell>
          <cell r="AD5800">
            <v>35.712890629999997</v>
          </cell>
        </row>
        <row r="5801">
          <cell r="L5801" t="str">
            <v>الحاكورة</v>
          </cell>
          <cell r="M5801" t="str">
            <v>C6547</v>
          </cell>
          <cell r="AC5801">
            <v>36.324523929999998</v>
          </cell>
          <cell r="AD5801">
            <v>35.608703609999999</v>
          </cell>
        </row>
        <row r="5802">
          <cell r="L5802" t="str">
            <v>الحامدية</v>
          </cell>
          <cell r="M5802" t="str">
            <v>C6548</v>
          </cell>
          <cell r="AC5802">
            <v>36.388488770000002</v>
          </cell>
          <cell r="AD5802">
            <v>35.654724119999997</v>
          </cell>
        </row>
        <row r="5803">
          <cell r="L5803" t="str">
            <v>نجم الزهور</v>
          </cell>
          <cell r="M5803" t="str">
            <v>C6549</v>
          </cell>
          <cell r="AC5803">
            <v>37.274291990000002</v>
          </cell>
          <cell r="AD5803">
            <v>35.527893069999998</v>
          </cell>
        </row>
        <row r="5804">
          <cell r="L5804" t="str">
            <v>مسعدة</v>
          </cell>
          <cell r="M5804" t="str">
            <v>C6550</v>
          </cell>
          <cell r="AC5804">
            <v>37.205078129999997</v>
          </cell>
          <cell r="AD5804">
            <v>35.515075680000002</v>
          </cell>
        </row>
        <row r="5805">
          <cell r="L5805" t="str">
            <v>الشلو</v>
          </cell>
          <cell r="M5805" t="str">
            <v>C6551</v>
          </cell>
          <cell r="AC5805">
            <v>37.214294430000002</v>
          </cell>
          <cell r="AD5805">
            <v>35.309692380000001</v>
          </cell>
        </row>
        <row r="5806">
          <cell r="L5806" t="str">
            <v>العقلة</v>
          </cell>
          <cell r="M5806" t="str">
            <v>C6552</v>
          </cell>
          <cell r="AC5806">
            <v>37.157104490000002</v>
          </cell>
          <cell r="AD5806">
            <v>35.46850586</v>
          </cell>
        </row>
        <row r="5807">
          <cell r="L5807" t="str">
            <v>جدوعية جنوبية</v>
          </cell>
          <cell r="M5807" t="str">
            <v>C6553</v>
          </cell>
          <cell r="AC5807">
            <v>37.229125979999999</v>
          </cell>
          <cell r="AD5807">
            <v>35.538879399999999</v>
          </cell>
        </row>
        <row r="5808">
          <cell r="L5808" t="str">
            <v>أبو كهف</v>
          </cell>
          <cell r="M5808" t="str">
            <v>C6554</v>
          </cell>
          <cell r="AC5808">
            <v>37.320922850000002</v>
          </cell>
          <cell r="AD5808">
            <v>35.333129880000001</v>
          </cell>
        </row>
        <row r="5809">
          <cell r="L5809" t="str">
            <v>معصران</v>
          </cell>
          <cell r="M5809" t="str">
            <v>C6555</v>
          </cell>
          <cell r="AC5809">
            <v>37.246887209999997</v>
          </cell>
          <cell r="AD5809">
            <v>35.312927250000001</v>
          </cell>
        </row>
        <row r="5810">
          <cell r="L5810" t="str">
            <v>حلوجة</v>
          </cell>
          <cell r="M5810" t="str">
            <v>C6556</v>
          </cell>
          <cell r="AC5810">
            <v>37.224487310000001</v>
          </cell>
          <cell r="AD5810">
            <v>35.461730959999997</v>
          </cell>
        </row>
        <row r="5811">
          <cell r="L5811" t="str">
            <v>المسلوخة</v>
          </cell>
          <cell r="M5811" t="str">
            <v>C6557</v>
          </cell>
          <cell r="AC5811">
            <v>37.315917970000001</v>
          </cell>
          <cell r="AD5811">
            <v>35.540527339999997</v>
          </cell>
        </row>
        <row r="5812">
          <cell r="L5812" t="str">
            <v>القبيبات</v>
          </cell>
          <cell r="M5812" t="str">
            <v>C6558</v>
          </cell>
          <cell r="AC5812">
            <v>37.29711914</v>
          </cell>
          <cell r="AD5812">
            <v>35.381286619999997</v>
          </cell>
        </row>
        <row r="5813">
          <cell r="L5813" t="str">
            <v>قلعة الحوايس</v>
          </cell>
          <cell r="M5813" t="str">
            <v>C6559</v>
          </cell>
          <cell r="AC5813">
            <v>37.148071289999997</v>
          </cell>
          <cell r="AD5813">
            <v>35.439270020000002</v>
          </cell>
        </row>
        <row r="5814">
          <cell r="L5814" t="str">
            <v>رسم التينة</v>
          </cell>
          <cell r="M5814" t="str">
            <v>C6560</v>
          </cell>
          <cell r="AC5814">
            <v>37.25549316</v>
          </cell>
          <cell r="AD5814">
            <v>35.413879399999999</v>
          </cell>
        </row>
        <row r="5815">
          <cell r="L5815" t="str">
            <v>ربوعة</v>
          </cell>
          <cell r="M5815" t="str">
            <v>C6561</v>
          </cell>
          <cell r="AC5815">
            <v>37.321105959999997</v>
          </cell>
          <cell r="AD5815">
            <v>35.451721190000001</v>
          </cell>
        </row>
        <row r="5816">
          <cell r="L5816" t="str">
            <v>تفاحة</v>
          </cell>
          <cell r="M5816" t="str">
            <v>C6562</v>
          </cell>
          <cell r="AC5816">
            <v>37.322326660000002</v>
          </cell>
          <cell r="AD5816">
            <v>35.500305179999998</v>
          </cell>
        </row>
        <row r="5817">
          <cell r="L5817" t="str">
            <v>المسيطبة</v>
          </cell>
          <cell r="M5817" t="str">
            <v>C6563</v>
          </cell>
          <cell r="AC5817">
            <v>37.292480470000001</v>
          </cell>
          <cell r="AD5817">
            <v>35.365478520000003</v>
          </cell>
        </row>
        <row r="5818">
          <cell r="L5818" t="str">
            <v>مويلح ابن هديب</v>
          </cell>
          <cell r="M5818" t="str">
            <v>C6564</v>
          </cell>
          <cell r="AC5818">
            <v>37.142517089999998</v>
          </cell>
          <cell r="AD5818">
            <v>35.36169434</v>
          </cell>
        </row>
        <row r="5819">
          <cell r="L5819" t="str">
            <v>جب الحنطة</v>
          </cell>
          <cell r="M5819" t="str">
            <v>C6565</v>
          </cell>
          <cell r="AC5819">
            <v>37.235107419999999</v>
          </cell>
          <cell r="AD5819">
            <v>35.486511229999998</v>
          </cell>
        </row>
        <row r="5820">
          <cell r="L5820" t="str">
            <v>عنيز</v>
          </cell>
          <cell r="M5820" t="str">
            <v>C6566</v>
          </cell>
          <cell r="AC5820">
            <v>37.185485839999998</v>
          </cell>
          <cell r="AD5820">
            <v>35.383911130000001</v>
          </cell>
        </row>
        <row r="5821">
          <cell r="L5821" t="str">
            <v>حوايس ابن هديب</v>
          </cell>
          <cell r="M5821" t="str">
            <v>C6567</v>
          </cell>
          <cell r="AC5821">
            <v>37.126708979999997</v>
          </cell>
          <cell r="AD5821">
            <v>35.403076169999999</v>
          </cell>
        </row>
        <row r="5822">
          <cell r="L5822" t="str">
            <v>حومي</v>
          </cell>
          <cell r="M5822" t="str">
            <v>C6568</v>
          </cell>
          <cell r="AC5822">
            <v>37.308288570000002</v>
          </cell>
          <cell r="AD5822">
            <v>35.519714360000002</v>
          </cell>
        </row>
        <row r="5823">
          <cell r="L5823" t="str">
            <v>قصر شادي</v>
          </cell>
          <cell r="M5823" t="str">
            <v>C6569</v>
          </cell>
          <cell r="AC5823">
            <v>37.062072749999999</v>
          </cell>
          <cell r="AD5823">
            <v>35.364929199999999</v>
          </cell>
        </row>
        <row r="5824">
          <cell r="L5824" t="str">
            <v>جب السكر غربي</v>
          </cell>
          <cell r="M5824" t="str">
            <v>C6570</v>
          </cell>
          <cell r="AC5824">
            <v>37.287109379999997</v>
          </cell>
          <cell r="AD5824">
            <v>35.48828125</v>
          </cell>
        </row>
        <row r="5825">
          <cell r="L5825" t="str">
            <v>أبو محالة</v>
          </cell>
          <cell r="M5825" t="str">
            <v>C6571</v>
          </cell>
          <cell r="AC5825">
            <v>37.308288570000002</v>
          </cell>
          <cell r="AD5825">
            <v>35.47290039</v>
          </cell>
        </row>
        <row r="5826">
          <cell r="L5826" t="str">
            <v>الحمدانية</v>
          </cell>
          <cell r="M5826" t="str">
            <v>C6572</v>
          </cell>
          <cell r="AC5826">
            <v>37.251098630000001</v>
          </cell>
          <cell r="AD5826">
            <v>35.484497070000003</v>
          </cell>
        </row>
        <row r="5827">
          <cell r="L5827" t="str">
            <v>رسم الحمام</v>
          </cell>
          <cell r="M5827" t="str">
            <v>C6573</v>
          </cell>
          <cell r="AC5827">
            <v>37.157897949999999</v>
          </cell>
          <cell r="AD5827">
            <v>35.41290283</v>
          </cell>
        </row>
        <row r="5828">
          <cell r="L5828" t="str">
            <v>أبو القدور</v>
          </cell>
          <cell r="M5828" t="str">
            <v>C6574</v>
          </cell>
          <cell r="AC5828">
            <v>37.024108890000001</v>
          </cell>
          <cell r="AD5828">
            <v>35.279113770000002</v>
          </cell>
        </row>
        <row r="5829">
          <cell r="L5829" t="str">
            <v>الضبيعية</v>
          </cell>
          <cell r="M5829" t="str">
            <v>C6575</v>
          </cell>
          <cell r="AC5829">
            <v>37.103088380000003</v>
          </cell>
          <cell r="AD5829">
            <v>35.37591553</v>
          </cell>
        </row>
        <row r="5830">
          <cell r="L5830" t="str">
            <v>معكر جنوبي</v>
          </cell>
          <cell r="M5830" t="str">
            <v>C6576</v>
          </cell>
          <cell r="AC5830">
            <v>37.332092289999999</v>
          </cell>
          <cell r="AD5830">
            <v>35.376525880000003</v>
          </cell>
        </row>
        <row r="5831">
          <cell r="L5831" t="str">
            <v>تل محصر</v>
          </cell>
          <cell r="M5831" t="str">
            <v>C6577</v>
          </cell>
          <cell r="AC5831">
            <v>37.096130369999997</v>
          </cell>
          <cell r="AD5831">
            <v>35.342895509999998</v>
          </cell>
        </row>
        <row r="5832">
          <cell r="L5832" t="str">
            <v>عطشانة</v>
          </cell>
          <cell r="M5832" t="str">
            <v>C6579</v>
          </cell>
          <cell r="AC5832">
            <v>37.247314449999998</v>
          </cell>
          <cell r="AD5832">
            <v>35.328674319999998</v>
          </cell>
        </row>
        <row r="5833">
          <cell r="L5833" t="str">
            <v>رسم سكاف</v>
          </cell>
          <cell r="M5833" t="str">
            <v>C6580</v>
          </cell>
          <cell r="AC5833">
            <v>37.199279789999999</v>
          </cell>
          <cell r="AD5833">
            <v>35.337280270000001</v>
          </cell>
        </row>
        <row r="5834">
          <cell r="L5834" t="str">
            <v>حوا</v>
          </cell>
          <cell r="M5834" t="str">
            <v>C6581</v>
          </cell>
          <cell r="AC5834">
            <v>37.203308110000002</v>
          </cell>
          <cell r="AD5834">
            <v>35.504882809999998</v>
          </cell>
        </row>
        <row r="5835">
          <cell r="L5835" t="str">
            <v>البويضة</v>
          </cell>
          <cell r="M5835" t="str">
            <v>C6582</v>
          </cell>
          <cell r="AC5835">
            <v>37.20288086</v>
          </cell>
          <cell r="AD5835">
            <v>35.477294919999999</v>
          </cell>
        </row>
        <row r="5836">
          <cell r="L5836" t="str">
            <v>الدحروجية</v>
          </cell>
          <cell r="M5836" t="str">
            <v>C6583</v>
          </cell>
          <cell r="AC5836">
            <v>37.288085940000002</v>
          </cell>
          <cell r="AD5836">
            <v>35.397888180000002</v>
          </cell>
        </row>
        <row r="5837">
          <cell r="L5837" t="str">
            <v>كراح</v>
          </cell>
          <cell r="M5837" t="str">
            <v>C6584</v>
          </cell>
          <cell r="AC5837">
            <v>36.832519529999999</v>
          </cell>
          <cell r="AD5837">
            <v>35.34008789</v>
          </cell>
        </row>
        <row r="5838">
          <cell r="L5838" t="str">
            <v>الجنينة الغربية</v>
          </cell>
          <cell r="M5838" t="str">
            <v>C6585</v>
          </cell>
          <cell r="AC5838">
            <v>36.917480470000001</v>
          </cell>
          <cell r="AD5838">
            <v>35.348083500000001</v>
          </cell>
        </row>
        <row r="5839">
          <cell r="L5839" t="str">
            <v>البيرة</v>
          </cell>
          <cell r="M5839" t="str">
            <v>C6586</v>
          </cell>
          <cell r="AC5839">
            <v>36.968078609999999</v>
          </cell>
          <cell r="AD5839">
            <v>35.313476559999998</v>
          </cell>
        </row>
        <row r="5840">
          <cell r="L5840" t="str">
            <v>القبارية</v>
          </cell>
          <cell r="M5840" t="str">
            <v>C6587</v>
          </cell>
          <cell r="AC5840">
            <v>36.793090820000003</v>
          </cell>
          <cell r="AD5840">
            <v>35.33569336</v>
          </cell>
        </row>
        <row r="5841">
          <cell r="L5841" t="str">
            <v>الحويجة</v>
          </cell>
          <cell r="M5841" t="str">
            <v>C6588</v>
          </cell>
          <cell r="AC5841">
            <v>36.974304199999999</v>
          </cell>
          <cell r="AD5841">
            <v>35.322082520000002</v>
          </cell>
        </row>
        <row r="5842">
          <cell r="L5842" t="str">
            <v>حصرايا</v>
          </cell>
          <cell r="M5842" t="str">
            <v>C6589</v>
          </cell>
          <cell r="AC5842">
            <v>36.536682130000003</v>
          </cell>
          <cell r="AD5842">
            <v>35.346923830000001</v>
          </cell>
        </row>
        <row r="5843">
          <cell r="L5843" t="str">
            <v>فرحانية غربي</v>
          </cell>
          <cell r="M5843" t="str">
            <v>C6590</v>
          </cell>
          <cell r="AC5843">
            <v>36.70587158</v>
          </cell>
          <cell r="AD5843">
            <v>34.861877440000001</v>
          </cell>
        </row>
        <row r="5844">
          <cell r="L5844" t="str">
            <v>عيون حسين</v>
          </cell>
          <cell r="M5844" t="str">
            <v>C6591</v>
          </cell>
          <cell r="AC5844">
            <v>36.875488279999999</v>
          </cell>
          <cell r="AD5844">
            <v>34.885925290000003</v>
          </cell>
        </row>
        <row r="5845">
          <cell r="L5845" t="str">
            <v>المحسة</v>
          </cell>
          <cell r="M5845" t="str">
            <v>C6592</v>
          </cell>
          <cell r="AC5845">
            <v>37.211486819999998</v>
          </cell>
          <cell r="AD5845">
            <v>34.059326169999999</v>
          </cell>
        </row>
        <row r="5846">
          <cell r="L5846" t="str">
            <v>مضايا</v>
          </cell>
          <cell r="M5846" t="str">
            <v>C6593</v>
          </cell>
          <cell r="AC5846">
            <v>36.576477050000001</v>
          </cell>
          <cell r="AD5846">
            <v>35.470886229999998</v>
          </cell>
        </row>
        <row r="5847">
          <cell r="L5847" t="str">
            <v>الحلوبي</v>
          </cell>
          <cell r="M5847" t="str">
            <v>C6594</v>
          </cell>
          <cell r="AC5847">
            <v>36.417480470000001</v>
          </cell>
          <cell r="AD5847">
            <v>35.615295410000002</v>
          </cell>
        </row>
        <row r="5848">
          <cell r="L5848" t="str">
            <v>راشا الجنوبية</v>
          </cell>
          <cell r="M5848" t="str">
            <v>C6595</v>
          </cell>
          <cell r="AC5848">
            <v>36.421691899999999</v>
          </cell>
          <cell r="AD5848">
            <v>35.541076660000002</v>
          </cell>
        </row>
        <row r="5849">
          <cell r="L5849" t="str">
            <v>الحامدية</v>
          </cell>
          <cell r="M5849" t="str">
            <v>C6596</v>
          </cell>
          <cell r="AC5849">
            <v>36.656677250000001</v>
          </cell>
          <cell r="AD5849">
            <v>35.615112310000001</v>
          </cell>
        </row>
        <row r="5850">
          <cell r="L5850" t="str">
            <v>النوحية الغربية</v>
          </cell>
          <cell r="M5850" t="str">
            <v>C6597</v>
          </cell>
          <cell r="AC5850">
            <v>36.86169434</v>
          </cell>
          <cell r="AD5850">
            <v>35.685485839999998</v>
          </cell>
        </row>
        <row r="5851">
          <cell r="L5851" t="str">
            <v>معراتة</v>
          </cell>
          <cell r="M5851" t="str">
            <v>C6598</v>
          </cell>
          <cell r="AC5851">
            <v>36.684875490000003</v>
          </cell>
          <cell r="AD5851">
            <v>35.612304690000002</v>
          </cell>
        </row>
        <row r="5852">
          <cell r="L5852" t="str">
            <v>الناصرية</v>
          </cell>
          <cell r="M5852" t="str">
            <v>C6599</v>
          </cell>
          <cell r="AC5852">
            <v>37.056518560000001</v>
          </cell>
          <cell r="AD5852">
            <v>35.472106930000002</v>
          </cell>
        </row>
        <row r="5853">
          <cell r="L5853" t="str">
            <v>رسم الورد</v>
          </cell>
          <cell r="M5853" t="str">
            <v>C6600</v>
          </cell>
          <cell r="AC5853">
            <v>36.969726559999998</v>
          </cell>
          <cell r="AD5853">
            <v>35.678710940000002</v>
          </cell>
        </row>
        <row r="5854">
          <cell r="L5854" t="str">
            <v>أبو طحيجة</v>
          </cell>
          <cell r="M5854" t="str">
            <v>C6601</v>
          </cell>
          <cell r="AC5854">
            <v>36.970275880000003</v>
          </cell>
          <cell r="AD5854">
            <v>35.615722660000003</v>
          </cell>
        </row>
        <row r="5855">
          <cell r="L5855" t="str">
            <v>محطة أم رجيم</v>
          </cell>
          <cell r="M5855" t="str">
            <v>C6602</v>
          </cell>
          <cell r="AC5855">
            <v>36.989318849999997</v>
          </cell>
          <cell r="AD5855">
            <v>35.546691899999999</v>
          </cell>
        </row>
        <row r="5856">
          <cell r="L5856" t="str">
            <v>أم رجيم</v>
          </cell>
          <cell r="M5856" t="str">
            <v>C6603</v>
          </cell>
          <cell r="AC5856">
            <v>36.947509770000003</v>
          </cell>
          <cell r="AD5856">
            <v>35.552124020000001</v>
          </cell>
        </row>
        <row r="5857">
          <cell r="L5857" t="str">
            <v>رسم البرجس</v>
          </cell>
          <cell r="M5857" t="str">
            <v>C6604</v>
          </cell>
          <cell r="AC5857">
            <v>37.025695800000001</v>
          </cell>
          <cell r="AD5857">
            <v>35.464904789999999</v>
          </cell>
        </row>
        <row r="5858">
          <cell r="L5858" t="str">
            <v>الفرجة</v>
          </cell>
          <cell r="M5858" t="str">
            <v>C6605</v>
          </cell>
          <cell r="AC5858">
            <v>37.015075680000002</v>
          </cell>
          <cell r="AD5858">
            <v>35.617492679999998</v>
          </cell>
        </row>
        <row r="5859">
          <cell r="L5859" t="str">
            <v>تل الشيح</v>
          </cell>
          <cell r="M5859" t="str">
            <v>C6606</v>
          </cell>
          <cell r="AC5859">
            <v>36.802307130000003</v>
          </cell>
          <cell r="AD5859">
            <v>35.521301270000002</v>
          </cell>
        </row>
        <row r="5860">
          <cell r="L5860" t="str">
            <v>رويحة</v>
          </cell>
          <cell r="M5860" t="str">
            <v>C6607</v>
          </cell>
          <cell r="AC5860">
            <v>36.695129399999999</v>
          </cell>
          <cell r="AD5860">
            <v>35.737915039999997</v>
          </cell>
        </row>
        <row r="5861">
          <cell r="L5861" t="str">
            <v>كفر نجد</v>
          </cell>
          <cell r="M5861" t="str">
            <v>C6608</v>
          </cell>
          <cell r="AC5861">
            <v>36.58868408</v>
          </cell>
          <cell r="AD5861">
            <v>35.823486330000001</v>
          </cell>
        </row>
        <row r="5862">
          <cell r="L5862" t="str">
            <v>بدرية</v>
          </cell>
          <cell r="M5862" t="str">
            <v>C6609</v>
          </cell>
          <cell r="AC5862">
            <v>36.576904300000002</v>
          </cell>
          <cell r="AD5862">
            <v>35.843872070000003</v>
          </cell>
        </row>
        <row r="5863">
          <cell r="L5863" t="str">
            <v>كدورة</v>
          </cell>
          <cell r="M5863" t="str">
            <v>C6610</v>
          </cell>
          <cell r="AC5863">
            <v>36.692077640000001</v>
          </cell>
          <cell r="AD5863">
            <v>35.788513180000002</v>
          </cell>
        </row>
        <row r="5864">
          <cell r="L5864" t="str">
            <v>معللي</v>
          </cell>
          <cell r="M5864" t="str">
            <v>C6611</v>
          </cell>
          <cell r="AC5864">
            <v>36.582519529999999</v>
          </cell>
          <cell r="AD5864">
            <v>35.765930179999998</v>
          </cell>
        </row>
        <row r="5865">
          <cell r="L5865" t="str">
            <v>سنغرة</v>
          </cell>
          <cell r="M5865" t="str">
            <v>C6612</v>
          </cell>
          <cell r="AC5865">
            <v>36.474670410000002</v>
          </cell>
          <cell r="AD5865">
            <v>35.809692380000001</v>
          </cell>
        </row>
        <row r="5866">
          <cell r="L5866" t="str">
            <v>العلية</v>
          </cell>
          <cell r="M5866" t="str">
            <v>C6613</v>
          </cell>
          <cell r="AC5866">
            <v>36.468688970000002</v>
          </cell>
          <cell r="AD5866">
            <v>35.773071289999997</v>
          </cell>
        </row>
        <row r="5867">
          <cell r="L5867" t="str">
            <v>عيناتا</v>
          </cell>
          <cell r="M5867" t="str">
            <v>C6614</v>
          </cell>
          <cell r="AC5867">
            <v>36.497497559999999</v>
          </cell>
          <cell r="AD5867">
            <v>35.819519040000003</v>
          </cell>
        </row>
        <row r="5868">
          <cell r="L5868" t="str">
            <v>قرصايا</v>
          </cell>
          <cell r="M5868" t="str">
            <v>C6615</v>
          </cell>
          <cell r="AC5868">
            <v>36.458129880000001</v>
          </cell>
          <cell r="AD5868">
            <v>35.742492679999998</v>
          </cell>
        </row>
        <row r="5869">
          <cell r="L5869" t="str">
            <v>كوكنايا</v>
          </cell>
          <cell r="M5869" t="str">
            <v>C6616</v>
          </cell>
          <cell r="AC5869">
            <v>36.606689449999998</v>
          </cell>
          <cell r="AD5869">
            <v>36.114074709999997</v>
          </cell>
        </row>
        <row r="5870">
          <cell r="L5870" t="str">
            <v>السيد خليل</v>
          </cell>
          <cell r="M5870" t="str">
            <v>C6617</v>
          </cell>
          <cell r="AC5870">
            <v>36.441284179999997</v>
          </cell>
          <cell r="AD5870">
            <v>36.17810059</v>
          </cell>
        </row>
        <row r="5871">
          <cell r="L5871" t="str">
            <v>الجسر المكسور</v>
          </cell>
          <cell r="M5871" t="str">
            <v>C6618</v>
          </cell>
          <cell r="AC5871">
            <v>36.382873539999999</v>
          </cell>
          <cell r="AD5871">
            <v>36.179870610000002</v>
          </cell>
        </row>
        <row r="5872">
          <cell r="L5872" t="str">
            <v>الفاروقية</v>
          </cell>
          <cell r="M5872" t="str">
            <v>C6619</v>
          </cell>
          <cell r="AC5872">
            <v>36.407470699999998</v>
          </cell>
          <cell r="AD5872">
            <v>36.182495119999999</v>
          </cell>
        </row>
        <row r="5873">
          <cell r="L5873" t="str">
            <v>المشيرفة</v>
          </cell>
          <cell r="M5873" t="str">
            <v>C6620</v>
          </cell>
          <cell r="AC5873">
            <v>36.378478999999999</v>
          </cell>
          <cell r="AD5873">
            <v>36.17211914</v>
          </cell>
        </row>
        <row r="5874">
          <cell r="L5874" t="str">
            <v>الحمرة</v>
          </cell>
          <cell r="M5874" t="str">
            <v>C6621</v>
          </cell>
          <cell r="AC5874">
            <v>36.393493650000003</v>
          </cell>
          <cell r="AD5874">
            <v>36.084472660000003</v>
          </cell>
        </row>
        <row r="5875">
          <cell r="L5875" t="str">
            <v>جكارة</v>
          </cell>
          <cell r="M5875" t="str">
            <v>C6622</v>
          </cell>
          <cell r="AC5875">
            <v>36.389892580000001</v>
          </cell>
          <cell r="AD5875">
            <v>36.14868164</v>
          </cell>
        </row>
        <row r="5876">
          <cell r="L5876" t="str">
            <v>السكرية</v>
          </cell>
          <cell r="M5876" t="str">
            <v>C6623</v>
          </cell>
          <cell r="AC5876">
            <v>36.993713380000003</v>
          </cell>
          <cell r="AD5876">
            <v>35.76928711</v>
          </cell>
        </row>
        <row r="5877">
          <cell r="L5877" t="str">
            <v>شخير</v>
          </cell>
          <cell r="M5877" t="str">
            <v>C6624</v>
          </cell>
          <cell r="AC5877">
            <v>36.925476070000002</v>
          </cell>
          <cell r="AD5877">
            <v>35.80950928</v>
          </cell>
        </row>
        <row r="5878">
          <cell r="L5878" t="str">
            <v>دبشية</v>
          </cell>
          <cell r="M5878" t="str">
            <v>C6625</v>
          </cell>
          <cell r="AC5878">
            <v>37.060119630000003</v>
          </cell>
          <cell r="AD5878">
            <v>35.707092289999999</v>
          </cell>
        </row>
        <row r="5879">
          <cell r="L5879" t="str">
            <v>جديدة</v>
          </cell>
          <cell r="M5879" t="str">
            <v>C6626</v>
          </cell>
          <cell r="AC5879">
            <v>36.925903320000003</v>
          </cell>
          <cell r="AD5879">
            <v>35.732727050000001</v>
          </cell>
        </row>
        <row r="5880">
          <cell r="L5880" t="str">
            <v>وسيطة</v>
          </cell>
          <cell r="M5880" t="str">
            <v>C6627</v>
          </cell>
          <cell r="AC5880">
            <v>37.061889649999998</v>
          </cell>
          <cell r="AD5880">
            <v>35.793273929999998</v>
          </cell>
        </row>
        <row r="5881">
          <cell r="L5881" t="str">
            <v>رسم النياس</v>
          </cell>
          <cell r="M5881" t="str">
            <v>C6628</v>
          </cell>
          <cell r="AC5881">
            <v>37.061706540000003</v>
          </cell>
          <cell r="AD5881">
            <v>35.686523440000002</v>
          </cell>
        </row>
        <row r="5882">
          <cell r="L5882" t="str">
            <v>الذهبية</v>
          </cell>
          <cell r="M5882" t="str">
            <v>C6629</v>
          </cell>
          <cell r="AC5882">
            <v>36.972290039999997</v>
          </cell>
          <cell r="AD5882">
            <v>35.745117190000002</v>
          </cell>
        </row>
        <row r="5883">
          <cell r="L5883" t="str">
            <v>الصواغية</v>
          </cell>
          <cell r="M5883" t="str">
            <v>C6630</v>
          </cell>
          <cell r="AC5883">
            <v>36.750671390000001</v>
          </cell>
          <cell r="AD5883">
            <v>36.008483890000001</v>
          </cell>
        </row>
        <row r="5884">
          <cell r="L5884" t="str">
            <v>الشيخ بحر</v>
          </cell>
          <cell r="M5884" t="str">
            <v>C6631</v>
          </cell>
          <cell r="AC5884">
            <v>36.564697270000003</v>
          </cell>
          <cell r="AD5884">
            <v>36.050476070000002</v>
          </cell>
        </row>
        <row r="5885">
          <cell r="L5885" t="str">
            <v>الهباط</v>
          </cell>
          <cell r="M5885" t="str">
            <v>C6632</v>
          </cell>
          <cell r="AC5885">
            <v>36.630310059999999</v>
          </cell>
          <cell r="AD5885">
            <v>35.99310303</v>
          </cell>
        </row>
        <row r="5886">
          <cell r="L5886" t="str">
            <v>بيرة كفتين</v>
          </cell>
          <cell r="M5886" t="str">
            <v>C6633</v>
          </cell>
          <cell r="AC5886">
            <v>36.655883789999997</v>
          </cell>
          <cell r="AD5886">
            <v>36.08569336</v>
          </cell>
        </row>
        <row r="5887">
          <cell r="L5887" t="str">
            <v>تل التباريز</v>
          </cell>
          <cell r="M5887" t="str">
            <v>C6634</v>
          </cell>
          <cell r="AC5887">
            <v>36.892883300000001</v>
          </cell>
          <cell r="AD5887">
            <v>35.917480470000001</v>
          </cell>
        </row>
        <row r="5888">
          <cell r="L5888" t="str">
            <v>أبو كنصة</v>
          </cell>
          <cell r="M5888" t="str">
            <v>C6635</v>
          </cell>
          <cell r="AC5888">
            <v>36.859313970000002</v>
          </cell>
          <cell r="AD5888">
            <v>35.958679199999999</v>
          </cell>
        </row>
        <row r="5889">
          <cell r="L5889" t="str">
            <v>جدرايا</v>
          </cell>
          <cell r="M5889" t="str">
            <v>C6636</v>
          </cell>
          <cell r="AC5889">
            <v>36.86352539</v>
          </cell>
          <cell r="AD5889">
            <v>36.041687009999997</v>
          </cell>
        </row>
        <row r="5890">
          <cell r="L5890" t="str">
            <v>خراب خليل</v>
          </cell>
          <cell r="M5890" t="str">
            <v>C6637</v>
          </cell>
          <cell r="AC5890">
            <v>36.437072749999999</v>
          </cell>
          <cell r="AD5890">
            <v>35.968078609999999</v>
          </cell>
        </row>
        <row r="5891">
          <cell r="L5891" t="str">
            <v>خراب عامر</v>
          </cell>
          <cell r="M5891" t="str">
            <v>C6638</v>
          </cell>
          <cell r="AC5891">
            <v>36.447082520000002</v>
          </cell>
          <cell r="AD5891">
            <v>35.991882320000002</v>
          </cell>
        </row>
        <row r="5892">
          <cell r="L5892" t="str">
            <v>خراب سلطان</v>
          </cell>
          <cell r="M5892" t="str">
            <v>C6639</v>
          </cell>
          <cell r="AC5892">
            <v>36.44830322</v>
          </cell>
          <cell r="AD5892">
            <v>36.001281740000003</v>
          </cell>
        </row>
        <row r="5893">
          <cell r="L5893" t="str">
            <v>العرين - كستن فوقاني</v>
          </cell>
          <cell r="M5893" t="str">
            <v>C6640</v>
          </cell>
          <cell r="AC5893">
            <v>36.399902339999997</v>
          </cell>
          <cell r="AD5893">
            <v>35.836486819999998</v>
          </cell>
        </row>
        <row r="5894">
          <cell r="L5894" t="str">
            <v>جب الصفا</v>
          </cell>
          <cell r="M5894" t="str">
            <v>C6641</v>
          </cell>
          <cell r="AC5894">
            <v>36.392089839999997</v>
          </cell>
          <cell r="AD5894">
            <v>35.883117679999998</v>
          </cell>
        </row>
        <row r="5895">
          <cell r="L5895" t="str">
            <v>القليعة</v>
          </cell>
          <cell r="M5895" t="str">
            <v>C6642</v>
          </cell>
          <cell r="AC5895">
            <v>36.384521479999997</v>
          </cell>
          <cell r="AD5895">
            <v>35.908508300000001</v>
          </cell>
        </row>
        <row r="5896">
          <cell r="L5896" t="str">
            <v>القساطل</v>
          </cell>
          <cell r="M5896" t="str">
            <v>C6643</v>
          </cell>
          <cell r="AC5896">
            <v>36.117492679999998</v>
          </cell>
          <cell r="AD5896">
            <v>35.742675779999999</v>
          </cell>
        </row>
        <row r="5897">
          <cell r="L5897" t="str">
            <v>نحشبا</v>
          </cell>
          <cell r="M5897" t="str">
            <v>C6644</v>
          </cell>
          <cell r="AC5897">
            <v>36.199279789999999</v>
          </cell>
          <cell r="AD5897">
            <v>35.73071289</v>
          </cell>
        </row>
        <row r="5898">
          <cell r="L5898" t="str">
            <v>تردين</v>
          </cell>
          <cell r="M5898" t="str">
            <v>C6645</v>
          </cell>
          <cell r="AC5898">
            <v>36.190917970000001</v>
          </cell>
          <cell r="AD5898">
            <v>35.763671879999997</v>
          </cell>
        </row>
        <row r="5899">
          <cell r="L5899" t="str">
            <v>جب الأحمر</v>
          </cell>
          <cell r="M5899" t="str">
            <v>C6646</v>
          </cell>
          <cell r="AC5899">
            <v>36.23413086</v>
          </cell>
          <cell r="AD5899">
            <v>35.675476070000002</v>
          </cell>
        </row>
        <row r="5900">
          <cell r="L5900" t="str">
            <v>الكوم</v>
          </cell>
          <cell r="M5900" t="str">
            <v>C6647</v>
          </cell>
          <cell r="AC5900">
            <v>36.095703129999997</v>
          </cell>
          <cell r="AD5900">
            <v>35.679321289999997</v>
          </cell>
        </row>
        <row r="5901">
          <cell r="L5901" t="str">
            <v>المغيرية</v>
          </cell>
          <cell r="M5901" t="str">
            <v>C6648</v>
          </cell>
          <cell r="AC5901">
            <v>36.18127441</v>
          </cell>
          <cell r="AD5901">
            <v>35.677917479999998</v>
          </cell>
        </row>
        <row r="5902">
          <cell r="L5902" t="str">
            <v>انباتة</v>
          </cell>
          <cell r="M5902" t="str">
            <v>C6649</v>
          </cell>
          <cell r="AC5902">
            <v>36.126281740000003</v>
          </cell>
          <cell r="AD5902">
            <v>35.663513180000002</v>
          </cell>
        </row>
        <row r="5903">
          <cell r="L5903" t="str">
            <v>جب طوروس</v>
          </cell>
          <cell r="M5903" t="str">
            <v>C6650</v>
          </cell>
          <cell r="AC5903">
            <v>36.124694820000002</v>
          </cell>
          <cell r="AD5903">
            <v>35.841491699999999</v>
          </cell>
        </row>
        <row r="5904">
          <cell r="L5904" t="str">
            <v>بيت أبلق</v>
          </cell>
          <cell r="M5904" t="str">
            <v>C6651</v>
          </cell>
          <cell r="AC5904">
            <v>36.0255127</v>
          </cell>
          <cell r="AD5904">
            <v>35.804504399999999</v>
          </cell>
        </row>
        <row r="5905">
          <cell r="L5905" t="str">
            <v>عطيرة</v>
          </cell>
          <cell r="M5905" t="str">
            <v>C6652</v>
          </cell>
          <cell r="AC5905">
            <v>36.039916990000002</v>
          </cell>
          <cell r="AD5905">
            <v>35.846923830000001</v>
          </cell>
        </row>
        <row r="5906">
          <cell r="L5906" t="str">
            <v>نوارة -كلز</v>
          </cell>
          <cell r="M5906" t="str">
            <v>C6653</v>
          </cell>
          <cell r="AC5906">
            <v>36.078674319999998</v>
          </cell>
          <cell r="AD5906">
            <v>35.853088380000003</v>
          </cell>
        </row>
        <row r="5907">
          <cell r="L5907" t="str">
            <v>اليمضية</v>
          </cell>
          <cell r="M5907" t="str">
            <v>C6654</v>
          </cell>
          <cell r="AC5907">
            <v>36.135070800000001</v>
          </cell>
          <cell r="AD5907">
            <v>35.834472660000003</v>
          </cell>
        </row>
        <row r="5908">
          <cell r="L5908" t="str">
            <v>الدواية الصغيرة</v>
          </cell>
          <cell r="M5908" t="str">
            <v>C6655</v>
          </cell>
          <cell r="AC5908">
            <v>35.934082029999999</v>
          </cell>
          <cell r="AD5908">
            <v>33.026489259999998</v>
          </cell>
        </row>
        <row r="5909">
          <cell r="L5909" t="str">
            <v>الدواية الكبيرة</v>
          </cell>
          <cell r="M5909" t="str">
            <v>C6656</v>
          </cell>
          <cell r="AC5909">
            <v>35.926513669999999</v>
          </cell>
          <cell r="AD5909">
            <v>33.021301270000002</v>
          </cell>
        </row>
        <row r="5910">
          <cell r="L5910" t="str">
            <v>ابو كتف</v>
          </cell>
          <cell r="M5910" t="str">
            <v>C6657</v>
          </cell>
          <cell r="AC5910">
            <v>35.952087400000003</v>
          </cell>
          <cell r="AD5910">
            <v>32.956481930000002</v>
          </cell>
        </row>
        <row r="5911">
          <cell r="L5911" t="str">
            <v>عين فريخة</v>
          </cell>
          <cell r="M5911" t="str">
            <v>C6658</v>
          </cell>
          <cell r="AC5911">
            <v>35.947875979999999</v>
          </cell>
          <cell r="AD5911">
            <v>32.971130369999997</v>
          </cell>
        </row>
        <row r="5912">
          <cell r="L5912" t="str">
            <v>نبع الفوار</v>
          </cell>
          <cell r="M5912" t="str">
            <v>C6659</v>
          </cell>
          <cell r="AC5912">
            <v>35.923522949999999</v>
          </cell>
          <cell r="AD5912">
            <v>33.232116699999999</v>
          </cell>
        </row>
        <row r="5913">
          <cell r="L5913" t="str">
            <v>عين النورية</v>
          </cell>
          <cell r="M5913" t="str">
            <v>C6660</v>
          </cell>
          <cell r="AC5913">
            <v>35.900085449999999</v>
          </cell>
          <cell r="AD5913">
            <v>33.213317869999997</v>
          </cell>
        </row>
        <row r="5914">
          <cell r="L5914" t="str">
            <v>مجدولية</v>
          </cell>
          <cell r="M5914" t="str">
            <v>C6661</v>
          </cell>
          <cell r="AC5914">
            <v>35.91912842</v>
          </cell>
          <cell r="AD5914">
            <v>33.076110839999998</v>
          </cell>
        </row>
        <row r="5915">
          <cell r="L5915" t="str">
            <v>ام العظام</v>
          </cell>
          <cell r="M5915" t="str">
            <v>C6662</v>
          </cell>
          <cell r="AC5915">
            <v>35.86810303</v>
          </cell>
          <cell r="AD5915">
            <v>33.103515629999997</v>
          </cell>
        </row>
        <row r="5916">
          <cell r="L5916" t="str">
            <v>روادي</v>
          </cell>
          <cell r="M5916" t="str">
            <v>C6663</v>
          </cell>
          <cell r="AC5916">
            <v>35.847473149999999</v>
          </cell>
          <cell r="AD5916">
            <v>33.138122559999999</v>
          </cell>
        </row>
        <row r="5917">
          <cell r="L5917" t="str">
            <v>تل كردي</v>
          </cell>
          <cell r="M5917" t="str">
            <v>C6664</v>
          </cell>
          <cell r="AC5917">
            <v>36.462890629999997</v>
          </cell>
          <cell r="AD5917">
            <v>33.597717289999999</v>
          </cell>
        </row>
        <row r="5918">
          <cell r="L5918" t="str">
            <v>بالا</v>
          </cell>
          <cell r="M5918" t="str">
            <v>C6665</v>
          </cell>
          <cell r="AC5918">
            <v>36.42211914</v>
          </cell>
          <cell r="AD5918">
            <v>33.494873050000002</v>
          </cell>
        </row>
        <row r="5919">
          <cell r="L5919" t="str">
            <v>الذيابية</v>
          </cell>
          <cell r="M5919" t="str">
            <v>C6666</v>
          </cell>
          <cell r="AC5919">
            <v>36.344726559999998</v>
          </cell>
          <cell r="AD5919">
            <v>33.430114750000001</v>
          </cell>
        </row>
        <row r="5920">
          <cell r="L5920" t="str">
            <v>الحسينية</v>
          </cell>
          <cell r="M5920" t="str">
            <v>C6667</v>
          </cell>
          <cell r="AC5920">
            <v>36.350524900000003</v>
          </cell>
          <cell r="AD5920">
            <v>33.416076660000002</v>
          </cell>
        </row>
        <row r="5921">
          <cell r="L5921" t="str">
            <v>المحمدية</v>
          </cell>
          <cell r="M5921" t="str">
            <v>C6668</v>
          </cell>
          <cell r="AC5921">
            <v>36.421081540000003</v>
          </cell>
          <cell r="AD5921">
            <v>33.506713869999999</v>
          </cell>
        </row>
        <row r="5922">
          <cell r="L5922" t="str">
            <v>باب السلامة</v>
          </cell>
          <cell r="M5922" t="str">
            <v>C6669</v>
          </cell>
          <cell r="AC5922">
            <v>37.084472660000003</v>
          </cell>
          <cell r="AD5922">
            <v>36.632080080000001</v>
          </cell>
        </row>
        <row r="5923">
          <cell r="L5923" t="str">
            <v>حتيتة الجرش</v>
          </cell>
          <cell r="M5923" t="str">
            <v>C6670</v>
          </cell>
          <cell r="AC5923">
            <v>36.396911619999997</v>
          </cell>
          <cell r="AD5923">
            <v>33.491882320000002</v>
          </cell>
        </row>
        <row r="5924">
          <cell r="L5924" t="str">
            <v>حوش الاشعري</v>
          </cell>
          <cell r="M5924" t="str">
            <v>C6671</v>
          </cell>
          <cell r="AC5924">
            <v>36.42028809</v>
          </cell>
          <cell r="AD5924">
            <v>33.52709961</v>
          </cell>
        </row>
        <row r="5925">
          <cell r="L5925" t="str">
            <v>حزرما</v>
          </cell>
          <cell r="M5925" t="str">
            <v>C6672</v>
          </cell>
          <cell r="AC5925">
            <v>36.489074709999997</v>
          </cell>
          <cell r="AD5925">
            <v>33.516479490000002</v>
          </cell>
        </row>
        <row r="5926">
          <cell r="L5926" t="str">
            <v>نبع الفوار</v>
          </cell>
          <cell r="M5926" t="str">
            <v>C6673</v>
          </cell>
          <cell r="AC5926">
            <v>35.97930908</v>
          </cell>
          <cell r="AD5926">
            <v>32.718872070000003</v>
          </cell>
        </row>
        <row r="5927">
          <cell r="L5927" t="str">
            <v>ركبان</v>
          </cell>
          <cell r="M5927" t="str">
            <v>C6674</v>
          </cell>
          <cell r="AC5927">
            <v>38.666687009999997</v>
          </cell>
          <cell r="AD5927">
            <v>33.316101070000002</v>
          </cell>
        </row>
        <row r="5928">
          <cell r="L5928" t="str">
            <v>الحدلات</v>
          </cell>
          <cell r="M5928" t="str">
            <v>C6675</v>
          </cell>
          <cell r="AC5928">
            <v>37.817687990000003</v>
          </cell>
          <cell r="AD5928">
            <v>32.858093259999997</v>
          </cell>
        </row>
        <row r="5929">
          <cell r="L5929" t="str">
            <v>طيبو</v>
          </cell>
          <cell r="M5929" t="str">
            <v>C6676</v>
          </cell>
          <cell r="AC5929">
            <v>36.769470220000002</v>
          </cell>
          <cell r="AD5929">
            <v>34.922912599999997</v>
          </cell>
        </row>
        <row r="5930">
          <cell r="L5930" t="str">
            <v>المجدل</v>
          </cell>
          <cell r="M5930" t="str">
            <v>C6677</v>
          </cell>
          <cell r="AC5930">
            <v>36.798889160000002</v>
          </cell>
          <cell r="AD5930">
            <v>34.910095220000002</v>
          </cell>
        </row>
        <row r="5931">
          <cell r="L5931" t="str">
            <v>الوساطة</v>
          </cell>
          <cell r="M5931" t="str">
            <v>C6678</v>
          </cell>
          <cell r="AC5931">
            <v>36.755920410000002</v>
          </cell>
          <cell r="AD5931">
            <v>34.850524900000003</v>
          </cell>
        </row>
        <row r="5932">
          <cell r="L5932" t="str">
            <v>ميزناز</v>
          </cell>
          <cell r="M5932" t="str">
            <v>C6679</v>
          </cell>
          <cell r="AC5932">
            <v>36.852905270000001</v>
          </cell>
          <cell r="AD5932">
            <v>36.058288570000002</v>
          </cell>
        </row>
        <row r="5933">
          <cell r="L5933" t="str">
            <v>أرناز</v>
          </cell>
          <cell r="M5933" t="str">
            <v>C6680</v>
          </cell>
          <cell r="AC5933">
            <v>36.894470220000002</v>
          </cell>
          <cell r="AD5933">
            <v>36.099670410000002</v>
          </cell>
        </row>
        <row r="5934">
          <cell r="L5934" t="str">
            <v>جب ابيض</v>
          </cell>
          <cell r="M5934" t="str">
            <v>C6681</v>
          </cell>
          <cell r="AC5934">
            <v>37.110717770000001</v>
          </cell>
          <cell r="AD5934">
            <v>35.677307130000003</v>
          </cell>
        </row>
        <row r="5935">
          <cell r="L5935" t="str">
            <v>بلنتا</v>
          </cell>
          <cell r="M5935" t="str">
            <v>C6682</v>
          </cell>
          <cell r="AC5935">
            <v>36.8848877</v>
          </cell>
          <cell r="AD5935">
            <v>36.22888184</v>
          </cell>
        </row>
        <row r="5936">
          <cell r="L5936" t="str">
            <v>خربة الذئب</v>
          </cell>
          <cell r="M5936" t="str">
            <v>C6683</v>
          </cell>
          <cell r="AC5936">
            <v>37.740478520000003</v>
          </cell>
          <cell r="AD5936">
            <v>36.347290039999997</v>
          </cell>
        </row>
        <row r="5937">
          <cell r="L5937" t="str">
            <v>العطاوية</v>
          </cell>
          <cell r="M5937" t="str">
            <v>C6684</v>
          </cell>
          <cell r="AC5937">
            <v>37.865112310000001</v>
          </cell>
          <cell r="AD5937">
            <v>36.22747803</v>
          </cell>
        </row>
        <row r="5938">
          <cell r="L5938" t="str">
            <v>تل المعز</v>
          </cell>
          <cell r="M5938" t="str">
            <v>C6685</v>
          </cell>
          <cell r="AC5938">
            <v>37.787292479999998</v>
          </cell>
          <cell r="AD5938">
            <v>36.202087400000003</v>
          </cell>
        </row>
        <row r="5939">
          <cell r="L5939" t="str">
            <v>الروضة</v>
          </cell>
          <cell r="M5939" t="str">
            <v>C6686</v>
          </cell>
          <cell r="AC5939">
            <v>37.813110350000002</v>
          </cell>
          <cell r="AD5939">
            <v>36.213317869999997</v>
          </cell>
        </row>
        <row r="5940">
          <cell r="L5940" t="str">
            <v>السامية</v>
          </cell>
          <cell r="M5940" t="str">
            <v>C6687</v>
          </cell>
          <cell r="AC5940">
            <v>37.86029053</v>
          </cell>
          <cell r="AD5940">
            <v>36.198486330000001</v>
          </cell>
        </row>
        <row r="5941">
          <cell r="L5941" t="str">
            <v>جوقر غربي</v>
          </cell>
          <cell r="M5941" t="str">
            <v>C6688</v>
          </cell>
          <cell r="AC5941">
            <v>38.27709961</v>
          </cell>
          <cell r="AD5941">
            <v>36.886291499999999</v>
          </cell>
        </row>
        <row r="5942">
          <cell r="L5942" t="str">
            <v>بشمارون</v>
          </cell>
          <cell r="M5942" t="str">
            <v>C6689</v>
          </cell>
          <cell r="AC5942">
            <v>36.538330080000001</v>
          </cell>
          <cell r="AD5942">
            <v>35.957885740000002</v>
          </cell>
        </row>
        <row r="5943">
          <cell r="L5943" t="str">
            <v>كفر تنور</v>
          </cell>
          <cell r="M5943" t="str">
            <v>C6690</v>
          </cell>
          <cell r="AC5943">
            <v>36.559875490000003</v>
          </cell>
          <cell r="AD5943">
            <v>36.036682130000003</v>
          </cell>
        </row>
        <row r="5944">
          <cell r="L5944" t="str">
            <v>أبو دفنه</v>
          </cell>
          <cell r="M5944" t="str">
            <v>C6691</v>
          </cell>
          <cell r="AC5944">
            <v>36.834472660000003</v>
          </cell>
          <cell r="AD5944">
            <v>35.675292970000001</v>
          </cell>
        </row>
        <row r="5945">
          <cell r="L5945" t="str">
            <v>مشهد روحين</v>
          </cell>
          <cell r="M5945" t="str">
            <v>C6692</v>
          </cell>
          <cell r="AC5945">
            <v>36.744323729999998</v>
          </cell>
          <cell r="AD5945">
            <v>36.269470220000002</v>
          </cell>
        </row>
        <row r="5946">
          <cell r="L5946" t="str">
            <v>بردقلي</v>
          </cell>
          <cell r="M5946" t="str">
            <v>C6693</v>
          </cell>
          <cell r="AC5946">
            <v>36.731872559999999</v>
          </cell>
          <cell r="AD5946">
            <v>36.213317869999997</v>
          </cell>
        </row>
        <row r="5947">
          <cell r="L5947" t="str">
            <v>الجب</v>
          </cell>
          <cell r="M5947" t="str">
            <v>C6694</v>
          </cell>
          <cell r="AC5947">
            <v>36.424072270000003</v>
          </cell>
          <cell r="AD5947">
            <v>36.152709960000003</v>
          </cell>
        </row>
        <row r="5948">
          <cell r="L5948" t="str">
            <v>بياتس</v>
          </cell>
          <cell r="M5948" t="str">
            <v>C6695</v>
          </cell>
          <cell r="AC5948">
            <v>36.472717289999999</v>
          </cell>
          <cell r="AD5948">
            <v>36.081481930000002</v>
          </cell>
        </row>
        <row r="5949">
          <cell r="L5949" t="str">
            <v>دير سيتا</v>
          </cell>
          <cell r="M5949" t="str">
            <v>C6696</v>
          </cell>
          <cell r="AC5949">
            <v>36.645507809999998</v>
          </cell>
          <cell r="AD5949">
            <v>36.100097660000003</v>
          </cell>
        </row>
        <row r="5950">
          <cell r="L5950" t="str">
            <v>قرميدة</v>
          </cell>
          <cell r="M5950" t="str">
            <v>C6697</v>
          </cell>
          <cell r="AC5950">
            <v>36.393920899999998</v>
          </cell>
          <cell r="AD5950">
            <v>35.913879399999999</v>
          </cell>
        </row>
        <row r="5951">
          <cell r="L5951" t="str">
            <v>الزعينية</v>
          </cell>
          <cell r="M5951" t="str">
            <v>C6698</v>
          </cell>
          <cell r="AC5951">
            <v>36.224914550000001</v>
          </cell>
          <cell r="AD5951">
            <v>35.841125490000003</v>
          </cell>
        </row>
        <row r="5952">
          <cell r="L5952" t="str">
            <v>الملك</v>
          </cell>
          <cell r="M5952" t="str">
            <v>C6699</v>
          </cell>
          <cell r="AC5952">
            <v>36.404724119999997</v>
          </cell>
          <cell r="AD5952">
            <v>35.95471191</v>
          </cell>
        </row>
        <row r="5953">
          <cell r="L5953" t="str">
            <v>الشمرة</v>
          </cell>
          <cell r="M5953" t="str">
            <v>C6700</v>
          </cell>
          <cell r="AC5953">
            <v>36.427307130000003</v>
          </cell>
          <cell r="AD5953">
            <v>35.914123539999999</v>
          </cell>
        </row>
        <row r="5954">
          <cell r="L5954" t="str">
            <v>مغارة جاموس</v>
          </cell>
          <cell r="M5954" t="str">
            <v>C6701</v>
          </cell>
          <cell r="AC5954">
            <v>36.417114259999998</v>
          </cell>
          <cell r="AD5954">
            <v>35.944519040000003</v>
          </cell>
        </row>
        <row r="5955">
          <cell r="L5955" t="str">
            <v>الفاعوري</v>
          </cell>
          <cell r="M5955" t="str">
            <v>C6702</v>
          </cell>
          <cell r="AC5955">
            <v>36.414123539999999</v>
          </cell>
          <cell r="AD5955">
            <v>35.890502929999997</v>
          </cell>
        </row>
        <row r="5956">
          <cell r="L5956" t="str">
            <v>خربة قيس</v>
          </cell>
          <cell r="M5956" t="str">
            <v>C6703</v>
          </cell>
          <cell r="AC5956">
            <v>35.999694820000002</v>
          </cell>
          <cell r="AD5956">
            <v>32.702514649999998</v>
          </cell>
        </row>
        <row r="5957">
          <cell r="L5957" t="str">
            <v>عوجا</v>
          </cell>
          <cell r="M5957" t="str">
            <v>C6704</v>
          </cell>
          <cell r="AC5957">
            <v>35.991882320000002</v>
          </cell>
          <cell r="AD5957">
            <v>32.718322749999999</v>
          </cell>
        </row>
        <row r="5958">
          <cell r="L5958" t="str">
            <v>عمورية</v>
          </cell>
          <cell r="M5958" t="str">
            <v>C6705</v>
          </cell>
          <cell r="AC5958">
            <v>35.958496089999997</v>
          </cell>
          <cell r="AD5958">
            <v>32.73071289</v>
          </cell>
        </row>
        <row r="5959">
          <cell r="L5959" t="str">
            <v>مساكن جلين</v>
          </cell>
          <cell r="M5959" t="str">
            <v>C6706</v>
          </cell>
          <cell r="AC5959">
            <v>35.999694820000002</v>
          </cell>
          <cell r="AD5959">
            <v>32.776916499999999</v>
          </cell>
        </row>
        <row r="5960">
          <cell r="L5960" t="str">
            <v>مغر الحمام</v>
          </cell>
          <cell r="M5960" t="str">
            <v>C6707</v>
          </cell>
          <cell r="AC5960">
            <v>36.515075680000002</v>
          </cell>
          <cell r="AD5960">
            <v>35.443908690000001</v>
          </cell>
        </row>
        <row r="5961">
          <cell r="L5961" t="str">
            <v>مغر الحنطة</v>
          </cell>
          <cell r="M5961" t="str">
            <v>C6708</v>
          </cell>
          <cell r="AC5961">
            <v>36.509277339999997</v>
          </cell>
          <cell r="AD5961">
            <v>35.449523929999998</v>
          </cell>
        </row>
        <row r="5962">
          <cell r="L5962" t="str">
            <v>أرينبة</v>
          </cell>
          <cell r="M5962" t="str">
            <v>C6709</v>
          </cell>
          <cell r="AC5962">
            <v>36.51330566</v>
          </cell>
          <cell r="AD5962">
            <v>35.501281740000003</v>
          </cell>
        </row>
        <row r="5963">
          <cell r="L5963" t="str">
            <v>الزقوم</v>
          </cell>
          <cell r="M5963" t="str">
            <v>C6710</v>
          </cell>
          <cell r="AC5963">
            <v>36.387084960000003</v>
          </cell>
          <cell r="AD5963">
            <v>35.630126949999998</v>
          </cell>
        </row>
        <row r="5964">
          <cell r="L5964" t="str">
            <v>المنبطح</v>
          </cell>
          <cell r="M5964" t="str">
            <v>C6711</v>
          </cell>
          <cell r="AC5964">
            <v>37.240722660000003</v>
          </cell>
          <cell r="AD5964">
            <v>35.819274900000003</v>
          </cell>
        </row>
        <row r="5965">
          <cell r="L5965" t="str">
            <v>معرطبعي</v>
          </cell>
          <cell r="M5965" t="str">
            <v>C6712</v>
          </cell>
          <cell r="AC5965">
            <v>36.658691410000003</v>
          </cell>
          <cell r="AD5965">
            <v>35.822875979999999</v>
          </cell>
        </row>
        <row r="5966">
          <cell r="L5966" t="str">
            <v>حرير</v>
          </cell>
          <cell r="M5966" t="str">
            <v>C6713</v>
          </cell>
          <cell r="AC5966">
            <v>40.87731934</v>
          </cell>
          <cell r="AD5966">
            <v>35.836486819999998</v>
          </cell>
        </row>
        <row r="5967">
          <cell r="L5967" t="str">
            <v>الجويم</v>
          </cell>
          <cell r="M5967" t="str">
            <v>C6714</v>
          </cell>
          <cell r="AC5967">
            <v>38.11352539</v>
          </cell>
          <cell r="AD5967">
            <v>35.853088380000003</v>
          </cell>
        </row>
        <row r="5968">
          <cell r="L5968" t="str">
            <v>المقبلة</v>
          </cell>
          <cell r="M5968" t="str">
            <v>C6715</v>
          </cell>
          <cell r="AC5968">
            <v>36.601074220000001</v>
          </cell>
          <cell r="AD5968">
            <v>35.85913086</v>
          </cell>
        </row>
        <row r="5969">
          <cell r="L5969" t="str">
            <v>الذهبية</v>
          </cell>
          <cell r="M5969" t="str">
            <v>C6716</v>
          </cell>
          <cell r="AC5969">
            <v>36.931518560000001</v>
          </cell>
          <cell r="AD5969">
            <v>35.861083979999997</v>
          </cell>
        </row>
        <row r="5970">
          <cell r="L5970" t="str">
            <v>الفيصلية</v>
          </cell>
          <cell r="M5970" t="str">
            <v>C6717</v>
          </cell>
          <cell r="AC5970">
            <v>38.023498539999999</v>
          </cell>
          <cell r="AD5970">
            <v>35.879089360000002</v>
          </cell>
        </row>
        <row r="5971">
          <cell r="L5971" t="str">
            <v>الحمام</v>
          </cell>
          <cell r="M5971" t="str">
            <v>C6719</v>
          </cell>
          <cell r="AC5971">
            <v>38.775085449999999</v>
          </cell>
          <cell r="AD5971">
            <v>35.885681150000003</v>
          </cell>
        </row>
        <row r="5972">
          <cell r="L5972" t="str">
            <v>البارودة</v>
          </cell>
          <cell r="M5972" t="str">
            <v>C6720</v>
          </cell>
          <cell r="AC5972">
            <v>38.802124020000001</v>
          </cell>
          <cell r="AD5972">
            <v>35.897094729999999</v>
          </cell>
        </row>
        <row r="5973">
          <cell r="L5973" t="str">
            <v>كسرة عفان</v>
          </cell>
          <cell r="M5973" t="str">
            <v>C6721</v>
          </cell>
          <cell r="AC5973">
            <v>39.03747559</v>
          </cell>
          <cell r="AD5973">
            <v>35.910278320000003</v>
          </cell>
        </row>
        <row r="5974">
          <cell r="L5974" t="str">
            <v>أم حجرة</v>
          </cell>
          <cell r="M5974" t="str">
            <v>C6722</v>
          </cell>
          <cell r="AC5974">
            <v>38.097106930000002</v>
          </cell>
          <cell r="AD5974">
            <v>35.911682130000003</v>
          </cell>
        </row>
        <row r="5975">
          <cell r="L5975" t="str">
            <v>البالعة</v>
          </cell>
          <cell r="M5975" t="str">
            <v>C6724</v>
          </cell>
          <cell r="AC5975">
            <v>36.44049072</v>
          </cell>
          <cell r="AD5975">
            <v>35.917907720000002</v>
          </cell>
        </row>
        <row r="5976">
          <cell r="L5976" t="str">
            <v>مستجد نقيب</v>
          </cell>
          <cell r="M5976" t="str">
            <v>C6725</v>
          </cell>
          <cell r="AC5976">
            <v>39.040283199999998</v>
          </cell>
          <cell r="AD5976">
            <v>35.923889160000002</v>
          </cell>
        </row>
        <row r="5977">
          <cell r="L5977" t="str">
            <v>حمرة غنام</v>
          </cell>
          <cell r="M5977" t="str">
            <v>C6726</v>
          </cell>
          <cell r="AC5977">
            <v>39.142883300000001</v>
          </cell>
          <cell r="AD5977">
            <v>35.925903320000003</v>
          </cell>
        </row>
        <row r="5978">
          <cell r="L5978" t="str">
            <v>جباب المسعودية</v>
          </cell>
          <cell r="M5978" t="str">
            <v>C6727</v>
          </cell>
          <cell r="AC5978">
            <v>37.903320309999998</v>
          </cell>
          <cell r="AD5978">
            <v>35.930297850000002</v>
          </cell>
        </row>
        <row r="5979">
          <cell r="L5979" t="str">
            <v>المنتزهة</v>
          </cell>
          <cell r="M5979" t="str">
            <v>C6728</v>
          </cell>
          <cell r="AC5979">
            <v>39.143920899999998</v>
          </cell>
          <cell r="AD5979">
            <v>35.935485839999998</v>
          </cell>
        </row>
        <row r="5980">
          <cell r="L5980" t="str">
            <v>حمرة بويطية</v>
          </cell>
          <cell r="M5980" t="str">
            <v>C6729</v>
          </cell>
          <cell r="AC5980">
            <v>39.123718259999997</v>
          </cell>
          <cell r="AD5980">
            <v>35.936706540000003</v>
          </cell>
        </row>
        <row r="5981">
          <cell r="L5981" t="str">
            <v>رميلان</v>
          </cell>
          <cell r="M5981" t="str">
            <v>C6730</v>
          </cell>
          <cell r="AC5981">
            <v>40.713500979999999</v>
          </cell>
          <cell r="AD5981">
            <v>35.942504880000001</v>
          </cell>
        </row>
        <row r="5982">
          <cell r="L5982" t="str">
            <v>المرجه</v>
          </cell>
          <cell r="M5982" t="str">
            <v>C6731</v>
          </cell>
          <cell r="AC5982">
            <v>36.367675779999999</v>
          </cell>
          <cell r="AD5982">
            <v>35.951110839999998</v>
          </cell>
        </row>
        <row r="5983">
          <cell r="L5983" t="str">
            <v>بعيبة</v>
          </cell>
          <cell r="M5983" t="str">
            <v>C6732</v>
          </cell>
          <cell r="AC5983">
            <v>36.583679199999999</v>
          </cell>
          <cell r="AD5983">
            <v>35.98071289</v>
          </cell>
        </row>
        <row r="5984">
          <cell r="L5984" t="str">
            <v>العبد الله</v>
          </cell>
          <cell r="M5984" t="str">
            <v>C6733</v>
          </cell>
          <cell r="AC5984">
            <v>39.098083500000001</v>
          </cell>
          <cell r="AD5984">
            <v>35.982910160000003</v>
          </cell>
        </row>
        <row r="5985">
          <cell r="L5985" t="str">
            <v>الحامية</v>
          </cell>
          <cell r="M5985" t="str">
            <v>C6734</v>
          </cell>
          <cell r="AC5985">
            <v>36.400329589999998</v>
          </cell>
          <cell r="AD5985">
            <v>36.004089360000002</v>
          </cell>
        </row>
        <row r="5986">
          <cell r="L5986" t="str">
            <v>الفرس</v>
          </cell>
          <cell r="M5986" t="str">
            <v>C6735</v>
          </cell>
          <cell r="AC5986">
            <v>40.785278320000003</v>
          </cell>
          <cell r="AD5986">
            <v>36.004882809999998</v>
          </cell>
        </row>
        <row r="5987">
          <cell r="L5987" t="str">
            <v>شنينة</v>
          </cell>
          <cell r="M5987" t="str">
            <v>C6736</v>
          </cell>
          <cell r="AC5987">
            <v>39.095886229999998</v>
          </cell>
          <cell r="AD5987">
            <v>36.01171875</v>
          </cell>
        </row>
        <row r="5988">
          <cell r="L5988" t="str">
            <v>فاسوق</v>
          </cell>
          <cell r="M5988" t="str">
            <v>C6737</v>
          </cell>
          <cell r="AC5988">
            <v>36.452087400000003</v>
          </cell>
          <cell r="AD5988">
            <v>36.020080569999998</v>
          </cell>
        </row>
        <row r="5989">
          <cell r="L5989" t="str">
            <v>السيحة</v>
          </cell>
          <cell r="M5989" t="str">
            <v>C6738</v>
          </cell>
          <cell r="AC5989">
            <v>40.911926270000002</v>
          </cell>
          <cell r="AD5989">
            <v>36.020507809999998</v>
          </cell>
        </row>
        <row r="5990">
          <cell r="L5990" t="str">
            <v>الرافقة</v>
          </cell>
          <cell r="M5990" t="str">
            <v>C6739</v>
          </cell>
          <cell r="AC5990">
            <v>38.84649658</v>
          </cell>
          <cell r="AD5990">
            <v>36.03930664</v>
          </cell>
        </row>
        <row r="5991">
          <cell r="L5991" t="str">
            <v>مجلوب</v>
          </cell>
          <cell r="M5991" t="str">
            <v>C6740</v>
          </cell>
          <cell r="AC5991">
            <v>40.78790283</v>
          </cell>
          <cell r="AD5991">
            <v>36.022888180000002</v>
          </cell>
        </row>
        <row r="5992">
          <cell r="L5992" t="str">
            <v>الغراف</v>
          </cell>
          <cell r="M5992" t="str">
            <v>C6741</v>
          </cell>
          <cell r="AC5992">
            <v>36.491882320000002</v>
          </cell>
          <cell r="AD5992">
            <v>36.046325680000002</v>
          </cell>
        </row>
        <row r="5993">
          <cell r="L5993" t="str">
            <v>سويطيه</v>
          </cell>
          <cell r="M5993" t="str">
            <v>C6742</v>
          </cell>
          <cell r="AC5993">
            <v>40.661499020000001</v>
          </cell>
          <cell r="AD5993">
            <v>36.04711914</v>
          </cell>
        </row>
        <row r="5994">
          <cell r="L5994" t="str">
            <v>الصالحية</v>
          </cell>
          <cell r="M5994" t="str">
            <v>C6743</v>
          </cell>
          <cell r="AC5994">
            <v>40.663879399999999</v>
          </cell>
          <cell r="AD5994">
            <v>36.064514160000002</v>
          </cell>
        </row>
        <row r="5995">
          <cell r="L5995" t="str">
            <v>البصنة</v>
          </cell>
          <cell r="M5995" t="str">
            <v>C6744</v>
          </cell>
          <cell r="AC5995">
            <v>40.702087400000003</v>
          </cell>
          <cell r="AD5995">
            <v>36.08227539</v>
          </cell>
        </row>
        <row r="5996">
          <cell r="L5996" t="str">
            <v>خرايج دحم</v>
          </cell>
          <cell r="M5996" t="str">
            <v>C6745</v>
          </cell>
          <cell r="AC5996">
            <v>37.770080569999998</v>
          </cell>
          <cell r="AD5996">
            <v>36.091491699999999</v>
          </cell>
        </row>
        <row r="5997">
          <cell r="L5997" t="str">
            <v>المشرفة</v>
          </cell>
          <cell r="M5997" t="str">
            <v>C6746</v>
          </cell>
          <cell r="AC5997">
            <v>37.845703129999997</v>
          </cell>
          <cell r="AD5997">
            <v>36.098876949999998</v>
          </cell>
        </row>
        <row r="5998">
          <cell r="L5998" t="str">
            <v>الحنة الغربية</v>
          </cell>
          <cell r="M5998" t="str">
            <v>C6747</v>
          </cell>
          <cell r="AC5998">
            <v>40.697326660000002</v>
          </cell>
          <cell r="AD5998">
            <v>36.10131836</v>
          </cell>
        </row>
        <row r="5999">
          <cell r="L5999" t="str">
            <v>الزاكية</v>
          </cell>
          <cell r="M5999" t="str">
            <v>C6748</v>
          </cell>
          <cell r="AC5999">
            <v>37.848510740000002</v>
          </cell>
          <cell r="AD5999">
            <v>36.107116699999999</v>
          </cell>
        </row>
        <row r="6000">
          <cell r="L6000" t="str">
            <v>الحفاير</v>
          </cell>
          <cell r="M6000" t="str">
            <v>C6749</v>
          </cell>
          <cell r="AC6000">
            <v>39.055908199999998</v>
          </cell>
          <cell r="AD6000">
            <v>36.121276860000002</v>
          </cell>
        </row>
        <row r="6001">
          <cell r="L6001" t="str">
            <v>ست عاتكة</v>
          </cell>
          <cell r="M6001" t="str">
            <v>C6750</v>
          </cell>
          <cell r="AC6001">
            <v>36.479919430000002</v>
          </cell>
          <cell r="AD6001">
            <v>36.168701169999999</v>
          </cell>
        </row>
        <row r="6002">
          <cell r="L6002" t="str">
            <v>رسم الدوالي</v>
          </cell>
          <cell r="M6002" t="str">
            <v>C6751</v>
          </cell>
          <cell r="AC6002">
            <v>37.834472660000003</v>
          </cell>
          <cell r="AD6002">
            <v>36.169677729999997</v>
          </cell>
        </row>
        <row r="6003">
          <cell r="L6003" t="str">
            <v>أم رقيبة</v>
          </cell>
          <cell r="M6003" t="str">
            <v>C6752</v>
          </cell>
          <cell r="AC6003">
            <v>40.742126470000002</v>
          </cell>
          <cell r="AD6003">
            <v>36.16912842</v>
          </cell>
        </row>
        <row r="6004">
          <cell r="L6004" t="str">
            <v>عاجل</v>
          </cell>
          <cell r="M6004" t="str">
            <v>C6753</v>
          </cell>
          <cell r="AC6004">
            <v>36.953125</v>
          </cell>
          <cell r="AD6004">
            <v>36.179870610000002</v>
          </cell>
        </row>
        <row r="6005">
          <cell r="L6005" t="str">
            <v>منصورة</v>
          </cell>
          <cell r="M6005" t="str">
            <v>C6754</v>
          </cell>
          <cell r="AC6005">
            <v>37.053710940000002</v>
          </cell>
          <cell r="AD6005">
            <v>36.201721190000001</v>
          </cell>
        </row>
        <row r="6006">
          <cell r="L6006" t="str">
            <v>بابيسقا</v>
          </cell>
          <cell r="M6006" t="str">
            <v>C6755</v>
          </cell>
          <cell r="AC6006">
            <v>36.689514160000002</v>
          </cell>
          <cell r="AD6006">
            <v>36.216491699999999</v>
          </cell>
        </row>
        <row r="6007">
          <cell r="L6007" t="str">
            <v>بالا</v>
          </cell>
          <cell r="M6007" t="str">
            <v>C6756</v>
          </cell>
          <cell r="AC6007">
            <v>36.916076660000002</v>
          </cell>
          <cell r="AD6007">
            <v>36.227111819999998</v>
          </cell>
        </row>
        <row r="6008">
          <cell r="L6008" t="str">
            <v>الخويشة</v>
          </cell>
          <cell r="M6008" t="str">
            <v>C6757</v>
          </cell>
          <cell r="AC6008">
            <v>39.281921390000001</v>
          </cell>
          <cell r="AD6008">
            <v>36.230285649999999</v>
          </cell>
        </row>
        <row r="6009">
          <cell r="L6009" t="str">
            <v>برج شرقية</v>
          </cell>
          <cell r="M6009" t="str">
            <v>C6758</v>
          </cell>
          <cell r="AC6009">
            <v>40.796691899999999</v>
          </cell>
          <cell r="AD6009">
            <v>36.241699220000001</v>
          </cell>
        </row>
        <row r="6010">
          <cell r="L6010" t="str">
            <v>طريفاوي</v>
          </cell>
          <cell r="M6010" t="str">
            <v>C6759</v>
          </cell>
          <cell r="AC6010">
            <v>40.354492190000002</v>
          </cell>
          <cell r="AD6010">
            <v>36.240295410000002</v>
          </cell>
        </row>
        <row r="6011">
          <cell r="L6011" t="str">
            <v>خنيز</v>
          </cell>
          <cell r="M6011" t="str">
            <v>C6760</v>
          </cell>
          <cell r="AC6011">
            <v>39.025695800000001</v>
          </cell>
          <cell r="AD6011">
            <v>36.24450684</v>
          </cell>
        </row>
        <row r="6012">
          <cell r="L6012" t="str">
            <v>معرضة صغيرة</v>
          </cell>
          <cell r="M6012" t="str">
            <v>C6761</v>
          </cell>
          <cell r="AC6012">
            <v>38.005676270000002</v>
          </cell>
          <cell r="AD6012">
            <v>36.253112790000003</v>
          </cell>
        </row>
        <row r="6013">
          <cell r="L6013" t="str">
            <v>الحرية</v>
          </cell>
          <cell r="M6013" t="str">
            <v>C6762</v>
          </cell>
          <cell r="AC6013">
            <v>38.864318849999997</v>
          </cell>
          <cell r="AD6013">
            <v>36.257873539999999</v>
          </cell>
        </row>
        <row r="6014">
          <cell r="L6014" t="str">
            <v>شيحة</v>
          </cell>
          <cell r="M6014" t="str">
            <v>C6763</v>
          </cell>
          <cell r="AC6014">
            <v>37.99768066</v>
          </cell>
          <cell r="AD6014">
            <v>36.271484379999997</v>
          </cell>
        </row>
        <row r="6015">
          <cell r="L6015" t="str">
            <v>مشهد</v>
          </cell>
          <cell r="M6015" t="str">
            <v>C6764</v>
          </cell>
          <cell r="AC6015">
            <v>36.880126949999998</v>
          </cell>
          <cell r="AD6015">
            <v>36.29388428</v>
          </cell>
        </row>
        <row r="6016">
          <cell r="L6016" t="str">
            <v>الشيخ حسن</v>
          </cell>
          <cell r="M6016" t="str">
            <v>C6765</v>
          </cell>
          <cell r="AC6016">
            <v>39.063476559999998</v>
          </cell>
          <cell r="AD6016">
            <v>36.322509770000003</v>
          </cell>
        </row>
        <row r="6017">
          <cell r="L6017" t="str">
            <v>دير سمعان</v>
          </cell>
          <cell r="M6017" t="str">
            <v>C6766</v>
          </cell>
          <cell r="AC6017">
            <v>36.836120610000002</v>
          </cell>
          <cell r="AD6017">
            <v>36.324707029999999</v>
          </cell>
        </row>
        <row r="6018">
          <cell r="L6018" t="str">
            <v>الغازلي</v>
          </cell>
          <cell r="M6018" t="str">
            <v>C6767</v>
          </cell>
          <cell r="AC6018">
            <v>39.094482419999999</v>
          </cell>
          <cell r="AD6018">
            <v>36.348083500000001</v>
          </cell>
        </row>
        <row r="6019">
          <cell r="L6019" t="str">
            <v>المشيرفة</v>
          </cell>
          <cell r="M6019" t="str">
            <v>C6768</v>
          </cell>
          <cell r="AC6019">
            <v>39.117675779999999</v>
          </cell>
          <cell r="AD6019">
            <v>36.412109379999997</v>
          </cell>
        </row>
        <row r="6020">
          <cell r="L6020" t="str">
            <v>معروضة</v>
          </cell>
          <cell r="M6020" t="str">
            <v>C6769</v>
          </cell>
          <cell r="AC6020">
            <v>38.983886720000001</v>
          </cell>
          <cell r="AD6020">
            <v>36.449279789999999</v>
          </cell>
        </row>
        <row r="6021">
          <cell r="L6021" t="str">
            <v>زمكا</v>
          </cell>
          <cell r="M6021" t="str">
            <v>C6770</v>
          </cell>
          <cell r="AC6021">
            <v>37.546691899999999</v>
          </cell>
          <cell r="AD6021">
            <v>36.481689449999998</v>
          </cell>
        </row>
        <row r="6022">
          <cell r="L6022" t="str">
            <v>شويحان</v>
          </cell>
          <cell r="M6022" t="str">
            <v>C6771</v>
          </cell>
          <cell r="AC6022">
            <v>38.707519529999999</v>
          </cell>
          <cell r="AD6022">
            <v>36.485473630000001</v>
          </cell>
        </row>
        <row r="6023">
          <cell r="L6023" t="str">
            <v>تل زعتر</v>
          </cell>
          <cell r="M6023" t="str">
            <v>C6772</v>
          </cell>
          <cell r="AC6023">
            <v>40.554077149999998</v>
          </cell>
          <cell r="AD6023">
            <v>36.487670899999998</v>
          </cell>
        </row>
        <row r="6024">
          <cell r="L6024" t="str">
            <v>طربيخ</v>
          </cell>
          <cell r="M6024" t="str">
            <v>C6773</v>
          </cell>
          <cell r="AC6024">
            <v>38.80627441</v>
          </cell>
          <cell r="AD6024">
            <v>36.497314449999998</v>
          </cell>
        </row>
        <row r="6025">
          <cell r="L6025" t="str">
            <v>الشعيرة</v>
          </cell>
          <cell r="M6025" t="str">
            <v>C6774</v>
          </cell>
          <cell r="AC6025">
            <v>40.48529053</v>
          </cell>
          <cell r="AD6025">
            <v>36.50549316</v>
          </cell>
        </row>
        <row r="6026">
          <cell r="L6026" t="str">
            <v>مفرق صديق</v>
          </cell>
          <cell r="M6026" t="str">
            <v>C6775</v>
          </cell>
          <cell r="AC6026">
            <v>40.641479490000002</v>
          </cell>
          <cell r="AD6026">
            <v>36.5177002</v>
          </cell>
        </row>
        <row r="6027">
          <cell r="L6027" t="str">
            <v>كورمازة</v>
          </cell>
          <cell r="M6027" t="str">
            <v>C6776</v>
          </cell>
          <cell r="AC6027">
            <v>38.89752197</v>
          </cell>
          <cell r="AD6027">
            <v>36.534484859999999</v>
          </cell>
        </row>
        <row r="6028">
          <cell r="L6028" t="str">
            <v>خربة شعيب</v>
          </cell>
          <cell r="M6028" t="str">
            <v>C6777</v>
          </cell>
          <cell r="AC6028">
            <v>40.470886229999998</v>
          </cell>
          <cell r="AD6028">
            <v>36.537109379999997</v>
          </cell>
        </row>
        <row r="6029">
          <cell r="L6029" t="str">
            <v>قره شرف</v>
          </cell>
          <cell r="M6029" t="str">
            <v>C6778</v>
          </cell>
          <cell r="AC6029">
            <v>38.869689940000001</v>
          </cell>
          <cell r="AD6029">
            <v>36.540527339999997</v>
          </cell>
        </row>
        <row r="6030">
          <cell r="L6030" t="str">
            <v>تل طويل</v>
          </cell>
          <cell r="M6030" t="str">
            <v>C6779</v>
          </cell>
          <cell r="AC6030">
            <v>40.73852539</v>
          </cell>
          <cell r="AD6030">
            <v>36.54528809</v>
          </cell>
        </row>
        <row r="6031">
          <cell r="L6031" t="str">
            <v>تل الطل</v>
          </cell>
          <cell r="M6031" t="str">
            <v>C6780</v>
          </cell>
          <cell r="AC6031">
            <v>40.527709960000003</v>
          </cell>
          <cell r="AD6031">
            <v>36.568298339999998</v>
          </cell>
        </row>
        <row r="6032">
          <cell r="L6032" t="str">
            <v>كفرغان</v>
          </cell>
          <cell r="M6032" t="str">
            <v>C6781</v>
          </cell>
          <cell r="AC6032">
            <v>37.184326169999999</v>
          </cell>
          <cell r="AD6032">
            <v>36.631103520000003</v>
          </cell>
        </row>
        <row r="6033">
          <cell r="L6033" t="str">
            <v>باهية</v>
          </cell>
          <cell r="M6033" t="str">
            <v>C6782</v>
          </cell>
          <cell r="AC6033">
            <v>40.962280270000001</v>
          </cell>
          <cell r="AD6033">
            <v>36.662109379999997</v>
          </cell>
        </row>
        <row r="6034">
          <cell r="L6034" t="str">
            <v>ثامن الأظهر</v>
          </cell>
          <cell r="M6034" t="str">
            <v>C6783</v>
          </cell>
          <cell r="AC6034">
            <v>38.742126470000002</v>
          </cell>
          <cell r="AD6034">
            <v>36.704895020000002</v>
          </cell>
        </row>
        <row r="6035">
          <cell r="L6035" t="str">
            <v>مرزوقة</v>
          </cell>
          <cell r="M6035" t="str">
            <v>C6784</v>
          </cell>
          <cell r="AC6035">
            <v>41.847106930000002</v>
          </cell>
          <cell r="AD6035">
            <v>36.829895020000002</v>
          </cell>
        </row>
        <row r="6036">
          <cell r="L6036" t="str">
            <v>المشيرفة</v>
          </cell>
          <cell r="M6036" t="str">
            <v>C6785</v>
          </cell>
          <cell r="AC6036">
            <v>42.127685550000002</v>
          </cell>
          <cell r="AD6036">
            <v>36.887512209999997</v>
          </cell>
        </row>
        <row r="6037">
          <cell r="L6037" t="str">
            <v>تل حجر</v>
          </cell>
          <cell r="M6037" t="str">
            <v>C6786</v>
          </cell>
          <cell r="AC6037">
            <v>41.679077149999998</v>
          </cell>
          <cell r="AD6037">
            <v>37.018676759999998</v>
          </cell>
        </row>
        <row r="6038">
          <cell r="L6038" t="str">
            <v>شوتي</v>
          </cell>
          <cell r="M6038" t="str">
            <v>C6787</v>
          </cell>
          <cell r="AC6038">
            <v>41.326904300000002</v>
          </cell>
          <cell r="AD6038">
            <v>37.0333252</v>
          </cell>
        </row>
        <row r="6039">
          <cell r="L6039" t="str">
            <v>قرمانية</v>
          </cell>
          <cell r="M6039" t="str">
            <v>C6788</v>
          </cell>
          <cell r="AC6039">
            <v>40.61352539</v>
          </cell>
          <cell r="AD6039">
            <v>37.05352783</v>
          </cell>
        </row>
        <row r="6040">
          <cell r="L6040" t="str">
            <v>تل موزان</v>
          </cell>
          <cell r="M6040" t="str">
            <v>C6789</v>
          </cell>
          <cell r="AC6040">
            <v>40.99310303</v>
          </cell>
          <cell r="AD6040">
            <v>37.059875490000003</v>
          </cell>
        </row>
        <row r="6041">
          <cell r="L6041" t="str">
            <v>علي بدران</v>
          </cell>
          <cell r="M6041" t="str">
            <v>C6790</v>
          </cell>
          <cell r="AC6041">
            <v>41.738891600000002</v>
          </cell>
          <cell r="AD6041">
            <v>37.070495610000002</v>
          </cell>
        </row>
        <row r="6042">
          <cell r="L6042" t="str">
            <v>قره حسن</v>
          </cell>
          <cell r="M6042" t="str">
            <v>C6791</v>
          </cell>
          <cell r="AC6042">
            <v>41.33752441</v>
          </cell>
          <cell r="AD6042">
            <v>37.072082520000002</v>
          </cell>
        </row>
        <row r="6043">
          <cell r="L6043" t="str">
            <v>اليمامة</v>
          </cell>
          <cell r="M6043" t="str">
            <v>C6792</v>
          </cell>
          <cell r="AC6043">
            <v>41.745727539999997</v>
          </cell>
          <cell r="AD6043">
            <v>37.094726559999998</v>
          </cell>
        </row>
        <row r="6044">
          <cell r="L6044" t="str">
            <v>العالية</v>
          </cell>
          <cell r="M6044" t="str">
            <v>C6793</v>
          </cell>
          <cell r="AC6044">
            <v>36.03149414</v>
          </cell>
          <cell r="AD6044">
            <v>32.99310303</v>
          </cell>
        </row>
        <row r="6045">
          <cell r="L6045" t="str">
            <v>البعاجات</v>
          </cell>
          <cell r="M6045" t="str">
            <v>C6794</v>
          </cell>
          <cell r="AC6045">
            <v>40.46850586</v>
          </cell>
          <cell r="AD6045">
            <v>34.289672850000002</v>
          </cell>
        </row>
        <row r="6046">
          <cell r="L6046" t="str">
            <v>الباغوز</v>
          </cell>
          <cell r="M6046" t="str">
            <v>C6795</v>
          </cell>
          <cell r="AC6046">
            <v>40.989318849999997</v>
          </cell>
          <cell r="AD6046">
            <v>34.433715820000003</v>
          </cell>
        </row>
        <row r="6047">
          <cell r="L6047" t="str">
            <v>ضاحية السكرية</v>
          </cell>
          <cell r="M6047" t="str">
            <v>C6796</v>
          </cell>
          <cell r="AC6047">
            <v>40.90350342</v>
          </cell>
          <cell r="AD6047">
            <v>34.473693849999997</v>
          </cell>
        </row>
        <row r="6048">
          <cell r="L6048" t="str">
            <v>السفافنة</v>
          </cell>
          <cell r="M6048" t="str">
            <v>C6797</v>
          </cell>
          <cell r="AC6048">
            <v>40.947326660000002</v>
          </cell>
          <cell r="AD6048">
            <v>34.494323729999998</v>
          </cell>
        </row>
        <row r="6049">
          <cell r="L6049" t="str">
            <v>عشاير</v>
          </cell>
          <cell r="M6049" t="str">
            <v>C6798</v>
          </cell>
          <cell r="AC6049">
            <v>40.904724119999997</v>
          </cell>
          <cell r="AD6049">
            <v>34.514526369999999</v>
          </cell>
        </row>
        <row r="6050">
          <cell r="L6050" t="str">
            <v>البو بدران</v>
          </cell>
          <cell r="M6050" t="str">
            <v>C6799</v>
          </cell>
          <cell r="AC6050">
            <v>40.950927729999997</v>
          </cell>
          <cell r="AD6050">
            <v>34.551086429999998</v>
          </cell>
        </row>
        <row r="6051">
          <cell r="L6051" t="str">
            <v>المطارده</v>
          </cell>
          <cell r="M6051" t="str">
            <v>C6800</v>
          </cell>
          <cell r="AC6051">
            <v>40.811279300000002</v>
          </cell>
          <cell r="AD6051">
            <v>34.59191895</v>
          </cell>
        </row>
        <row r="6052">
          <cell r="L6052" t="str">
            <v>صبيحان</v>
          </cell>
          <cell r="M6052" t="str">
            <v>C6801</v>
          </cell>
          <cell r="AC6052">
            <v>40.89611816</v>
          </cell>
          <cell r="AD6052">
            <v>34.613098149999999</v>
          </cell>
        </row>
        <row r="6053">
          <cell r="L6053" t="str">
            <v>البقعان</v>
          </cell>
          <cell r="M6053" t="str">
            <v>C6802</v>
          </cell>
          <cell r="AC6053">
            <v>40.863098149999999</v>
          </cell>
          <cell r="AD6053">
            <v>34.625488279999999</v>
          </cell>
        </row>
        <row r="6054">
          <cell r="L6054" t="str">
            <v>أبو حسن</v>
          </cell>
          <cell r="M6054" t="str">
            <v>C6803</v>
          </cell>
          <cell r="AC6054">
            <v>40.902893069999998</v>
          </cell>
          <cell r="AD6054">
            <v>34.650878910000003</v>
          </cell>
        </row>
        <row r="6055">
          <cell r="L6055" t="str">
            <v>أبو الخاطر</v>
          </cell>
          <cell r="M6055" t="str">
            <v>C6804</v>
          </cell>
          <cell r="AC6055">
            <v>40.87268066</v>
          </cell>
          <cell r="AD6055">
            <v>34.672729490000002</v>
          </cell>
        </row>
        <row r="6056">
          <cell r="L6056" t="str">
            <v>فيضه الجب</v>
          </cell>
          <cell r="M6056" t="str">
            <v>C6805</v>
          </cell>
          <cell r="AC6056">
            <v>40.275878910000003</v>
          </cell>
          <cell r="AD6056">
            <v>34.713317869999997</v>
          </cell>
        </row>
        <row r="6057">
          <cell r="L6057" t="str">
            <v>صفصاف</v>
          </cell>
          <cell r="M6057" t="str">
            <v>C6806</v>
          </cell>
          <cell r="AC6057">
            <v>40.745300290000003</v>
          </cell>
          <cell r="AD6057">
            <v>34.739501949999998</v>
          </cell>
        </row>
        <row r="6058">
          <cell r="L6058" t="str">
            <v>الشعيطات</v>
          </cell>
          <cell r="M6058" t="str">
            <v>C6807</v>
          </cell>
          <cell r="AC6058">
            <v>40.733276369999999</v>
          </cell>
          <cell r="AD6058">
            <v>34.822082520000002</v>
          </cell>
        </row>
        <row r="6059">
          <cell r="L6059" t="str">
            <v>سويدان شامية</v>
          </cell>
          <cell r="M6059" t="str">
            <v>C6808</v>
          </cell>
          <cell r="AC6059">
            <v>40.562683110000002</v>
          </cell>
          <cell r="AD6059">
            <v>34.907287599999997</v>
          </cell>
        </row>
        <row r="6060">
          <cell r="L6060" t="str">
            <v>الشنان</v>
          </cell>
          <cell r="M6060" t="str">
            <v>C6809</v>
          </cell>
          <cell r="AC6060">
            <v>40.563476559999998</v>
          </cell>
          <cell r="AD6060">
            <v>34.970275880000003</v>
          </cell>
        </row>
        <row r="6061">
          <cell r="L6061" t="str">
            <v>صيجان</v>
          </cell>
          <cell r="M6061" t="str">
            <v>C6810</v>
          </cell>
          <cell r="AC6061">
            <v>40.776123050000002</v>
          </cell>
          <cell r="AD6061">
            <v>35.193908690000001</v>
          </cell>
        </row>
        <row r="6062">
          <cell r="L6062" t="str">
            <v>مليحة</v>
          </cell>
          <cell r="M6062" t="str">
            <v>C6811</v>
          </cell>
          <cell r="AC6062">
            <v>39.980285649999999</v>
          </cell>
          <cell r="AD6062">
            <v>35.240905759999997</v>
          </cell>
        </row>
        <row r="6063">
          <cell r="L6063" t="str">
            <v>مساكن المهندسين</v>
          </cell>
          <cell r="M6063" t="str">
            <v>C6812</v>
          </cell>
          <cell r="AC6063">
            <v>40.13830566</v>
          </cell>
          <cell r="AD6063">
            <v>35.281127929999997</v>
          </cell>
        </row>
        <row r="6064">
          <cell r="L6064" t="str">
            <v>صبحة</v>
          </cell>
          <cell r="M6064" t="str">
            <v>C6813</v>
          </cell>
          <cell r="AC6064">
            <v>40.236511229999998</v>
          </cell>
          <cell r="AD6064">
            <v>35.297912599999997</v>
          </cell>
        </row>
        <row r="6065">
          <cell r="L6065" t="str">
            <v>كونيكو</v>
          </cell>
          <cell r="M6065" t="str">
            <v>C6814</v>
          </cell>
          <cell r="AC6065">
            <v>40.323120119999999</v>
          </cell>
          <cell r="AD6065">
            <v>35.340515140000001</v>
          </cell>
        </row>
        <row r="6066">
          <cell r="L6066" t="str">
            <v>خربة حالول</v>
          </cell>
          <cell r="M6066" t="str">
            <v>C6815</v>
          </cell>
          <cell r="AC6066">
            <v>38.784484859999999</v>
          </cell>
          <cell r="AD6066">
            <v>35.452270509999998</v>
          </cell>
        </row>
        <row r="6067">
          <cell r="L6067" t="str">
            <v>الزملة</v>
          </cell>
          <cell r="M6067" t="str">
            <v>C6816</v>
          </cell>
          <cell r="AC6067">
            <v>38.887084960000003</v>
          </cell>
          <cell r="AD6067">
            <v>35.479125979999999</v>
          </cell>
        </row>
        <row r="6068">
          <cell r="L6068" t="str">
            <v>رصافة</v>
          </cell>
          <cell r="M6068" t="str">
            <v>C6817</v>
          </cell>
          <cell r="AC6068">
            <v>39.976501470000002</v>
          </cell>
          <cell r="AD6068">
            <v>35.497314449999998</v>
          </cell>
        </row>
        <row r="6069">
          <cell r="L6069" t="str">
            <v>بير حوران</v>
          </cell>
          <cell r="M6069" t="str">
            <v>C6818</v>
          </cell>
          <cell r="AC6069">
            <v>38.787109379999997</v>
          </cell>
          <cell r="AD6069">
            <v>35.502685550000002</v>
          </cell>
        </row>
        <row r="6070">
          <cell r="L6070" t="str">
            <v>جويف</v>
          </cell>
          <cell r="M6070" t="str">
            <v>C6819</v>
          </cell>
          <cell r="AC6070">
            <v>40.898498539999999</v>
          </cell>
          <cell r="AD6070">
            <v>35.516113279999999</v>
          </cell>
        </row>
        <row r="6071">
          <cell r="L6071" t="str">
            <v>بير العتاو</v>
          </cell>
          <cell r="M6071" t="str">
            <v>C6820</v>
          </cell>
          <cell r="AC6071">
            <v>38.723083500000001</v>
          </cell>
          <cell r="AD6071">
            <v>35.518920899999998</v>
          </cell>
        </row>
        <row r="6072">
          <cell r="L6072" t="str">
            <v>بير زناتي</v>
          </cell>
          <cell r="M6072" t="str">
            <v>C6821</v>
          </cell>
          <cell r="AC6072">
            <v>38.692077640000001</v>
          </cell>
          <cell r="AD6072">
            <v>35.521911619999997</v>
          </cell>
        </row>
        <row r="6073">
          <cell r="L6073" t="str">
            <v>بير الصافية</v>
          </cell>
          <cell r="M6073" t="str">
            <v>C6822</v>
          </cell>
          <cell r="AC6073">
            <v>38.495300290000003</v>
          </cell>
          <cell r="AD6073">
            <v>35.602905270000001</v>
          </cell>
        </row>
        <row r="6074">
          <cell r="L6074" t="str">
            <v>وادي خربة الرشيد</v>
          </cell>
          <cell r="M6074" t="str">
            <v>C6823</v>
          </cell>
          <cell r="AC6074">
            <v>40.677490229999997</v>
          </cell>
          <cell r="AD6074">
            <v>35.604919430000002</v>
          </cell>
        </row>
        <row r="6075">
          <cell r="L6075" t="str">
            <v>الرصافة</v>
          </cell>
          <cell r="M6075" t="str">
            <v>C6824</v>
          </cell>
          <cell r="AC6075">
            <v>38.76330566</v>
          </cell>
          <cell r="AD6075">
            <v>35.6270752</v>
          </cell>
        </row>
        <row r="6076">
          <cell r="L6076" t="str">
            <v>العساوي</v>
          </cell>
          <cell r="M6076" t="str">
            <v>C6825</v>
          </cell>
          <cell r="AC6076">
            <v>38.736083979999997</v>
          </cell>
          <cell r="AD6076">
            <v>35.632080080000001</v>
          </cell>
        </row>
        <row r="6077">
          <cell r="L6077" t="str">
            <v>جب غانم</v>
          </cell>
          <cell r="M6077" t="str">
            <v>C6826</v>
          </cell>
          <cell r="AC6077">
            <v>38.3203125</v>
          </cell>
          <cell r="AD6077">
            <v>35.656311039999999</v>
          </cell>
        </row>
        <row r="6078">
          <cell r="L6078" t="str">
            <v>ابدن</v>
          </cell>
          <cell r="M6078" t="str">
            <v>C6827</v>
          </cell>
          <cell r="AC6078">
            <v>40.591308589999997</v>
          </cell>
          <cell r="AD6078">
            <v>35.659118650000003</v>
          </cell>
        </row>
        <row r="6079">
          <cell r="L6079" t="str">
            <v>السلام عليكم</v>
          </cell>
          <cell r="M6079" t="str">
            <v>C6828</v>
          </cell>
          <cell r="AC6079">
            <v>39.332702640000001</v>
          </cell>
          <cell r="AD6079">
            <v>35.672485350000002</v>
          </cell>
        </row>
        <row r="6080">
          <cell r="L6080" t="str">
            <v>شويحان</v>
          </cell>
          <cell r="M6080" t="str">
            <v>C6829</v>
          </cell>
          <cell r="AC6080">
            <v>38.76147461</v>
          </cell>
          <cell r="AD6080">
            <v>35.673095699999998</v>
          </cell>
        </row>
        <row r="6081">
          <cell r="L6081" t="str">
            <v>حلبية</v>
          </cell>
          <cell r="M6081" t="str">
            <v>C6830</v>
          </cell>
          <cell r="AC6081">
            <v>39.825683589999997</v>
          </cell>
          <cell r="AD6081">
            <v>35.673522949999999</v>
          </cell>
        </row>
        <row r="6082">
          <cell r="L6082" t="str">
            <v>العجيل</v>
          </cell>
          <cell r="M6082" t="str">
            <v>C6831</v>
          </cell>
          <cell r="AC6082">
            <v>38.506286619999997</v>
          </cell>
          <cell r="AD6082">
            <v>35.732910160000003</v>
          </cell>
        </row>
        <row r="6083">
          <cell r="L6083" t="str">
            <v>جب الواوي</v>
          </cell>
          <cell r="M6083" t="str">
            <v>C6832</v>
          </cell>
          <cell r="AC6083">
            <v>38.25231934</v>
          </cell>
          <cell r="AD6083">
            <v>35.739074709999997</v>
          </cell>
        </row>
        <row r="6084">
          <cell r="L6084" t="str">
            <v>بير احمد الخلف</v>
          </cell>
          <cell r="M6084" t="str">
            <v>C6833</v>
          </cell>
          <cell r="AC6084">
            <v>38.38189697</v>
          </cell>
          <cell r="AD6084">
            <v>35.743286130000001</v>
          </cell>
        </row>
        <row r="6085">
          <cell r="L6085" t="str">
            <v>المتحا</v>
          </cell>
          <cell r="M6085" t="str">
            <v>C6834</v>
          </cell>
          <cell r="AC6085">
            <v>39.644897460000003</v>
          </cell>
          <cell r="AD6085">
            <v>35.744873050000002</v>
          </cell>
        </row>
        <row r="6086">
          <cell r="L6086" t="str">
            <v>المشيرفة</v>
          </cell>
          <cell r="M6086" t="str">
            <v>C6835</v>
          </cell>
          <cell r="AC6086">
            <v>38.336303710000003</v>
          </cell>
          <cell r="AD6086">
            <v>35.762084960000003</v>
          </cell>
        </row>
        <row r="6087">
          <cell r="L6087" t="str">
            <v>بير مليحان</v>
          </cell>
          <cell r="M6087" t="str">
            <v>C6836</v>
          </cell>
          <cell r="AC6087">
            <v>38.240295410000002</v>
          </cell>
          <cell r="AD6087">
            <v>35.766479490000002</v>
          </cell>
        </row>
        <row r="6088">
          <cell r="L6088" t="str">
            <v>الكبر</v>
          </cell>
          <cell r="M6088" t="str">
            <v>C6837</v>
          </cell>
          <cell r="AC6088">
            <v>39.791870119999999</v>
          </cell>
          <cell r="AD6088">
            <v>35.768676759999998</v>
          </cell>
        </row>
        <row r="6089">
          <cell r="L6089" t="str">
            <v>الجميم</v>
          </cell>
          <cell r="M6089" t="str">
            <v>C6838</v>
          </cell>
          <cell r="AC6089">
            <v>38.426330569999998</v>
          </cell>
          <cell r="AD6089">
            <v>35.77368164</v>
          </cell>
        </row>
        <row r="6090">
          <cell r="L6090" t="str">
            <v>أبو عاصي</v>
          </cell>
          <cell r="M6090" t="str">
            <v>C6839</v>
          </cell>
          <cell r="AC6090">
            <v>38.32788086</v>
          </cell>
          <cell r="AD6090">
            <v>35.774475099999997</v>
          </cell>
        </row>
        <row r="6091">
          <cell r="L6091" t="str">
            <v>اياد كبير</v>
          </cell>
          <cell r="M6091" t="str">
            <v>C6840</v>
          </cell>
          <cell r="AC6091">
            <v>38.505126949999998</v>
          </cell>
          <cell r="AD6091">
            <v>35.778686520000001</v>
          </cell>
        </row>
        <row r="6092">
          <cell r="L6092" t="str">
            <v>هداج</v>
          </cell>
          <cell r="M6092" t="str">
            <v>C6841</v>
          </cell>
          <cell r="AC6092">
            <v>38.372924810000001</v>
          </cell>
          <cell r="AD6092">
            <v>35.790710449999999</v>
          </cell>
        </row>
        <row r="6093">
          <cell r="L6093" t="str">
            <v>الحجاج</v>
          </cell>
          <cell r="M6093" t="str">
            <v>C6842</v>
          </cell>
          <cell r="AC6093">
            <v>39.685729979999998</v>
          </cell>
          <cell r="AD6093">
            <v>35.792907720000002</v>
          </cell>
        </row>
        <row r="6094">
          <cell r="L6094" t="str">
            <v>شريدة</v>
          </cell>
          <cell r="M6094" t="str">
            <v>C6843</v>
          </cell>
          <cell r="AC6094">
            <v>39.277526860000002</v>
          </cell>
          <cell r="AD6094">
            <v>35.80169678</v>
          </cell>
        </row>
        <row r="6095">
          <cell r="L6095" t="str">
            <v>خس داكور</v>
          </cell>
          <cell r="M6095" t="str">
            <v>C6844</v>
          </cell>
          <cell r="AC6095">
            <v>39.623107910000002</v>
          </cell>
          <cell r="AD6095">
            <v>35.808715820000003</v>
          </cell>
        </row>
        <row r="6096">
          <cell r="L6096" t="str">
            <v>العلية</v>
          </cell>
          <cell r="M6096" t="str">
            <v>C6845</v>
          </cell>
          <cell r="AC6096">
            <v>38.76470947</v>
          </cell>
          <cell r="AD6096">
            <v>35.821716309999999</v>
          </cell>
        </row>
        <row r="6097">
          <cell r="L6097" t="str">
            <v>عباد</v>
          </cell>
          <cell r="M6097" t="str">
            <v>C6846</v>
          </cell>
          <cell r="AC6097">
            <v>38.65509033</v>
          </cell>
          <cell r="AD6097">
            <v>35.825500490000003</v>
          </cell>
        </row>
        <row r="6098">
          <cell r="L6098" t="str">
            <v>عايد صغير</v>
          </cell>
          <cell r="M6098" t="str">
            <v>C6847</v>
          </cell>
          <cell r="AC6098">
            <v>38.518676759999998</v>
          </cell>
          <cell r="AD6098">
            <v>35.828491210000003</v>
          </cell>
        </row>
        <row r="6099">
          <cell r="L6099" t="str">
            <v>بير جلود</v>
          </cell>
          <cell r="M6099" t="str">
            <v>C6849</v>
          </cell>
          <cell r="AC6099">
            <v>40.404479979999998</v>
          </cell>
          <cell r="AD6099">
            <v>35.839477539999997</v>
          </cell>
        </row>
        <row r="6100">
          <cell r="L6100" t="str">
            <v>الهورة</v>
          </cell>
          <cell r="M6100" t="str">
            <v>C6850</v>
          </cell>
          <cell r="AC6100">
            <v>38.796508789999997</v>
          </cell>
          <cell r="AD6100">
            <v>35.847473149999999</v>
          </cell>
        </row>
        <row r="6101">
          <cell r="L6101" t="str">
            <v>سهل الخشب</v>
          </cell>
          <cell r="M6101" t="str">
            <v>C6851</v>
          </cell>
          <cell r="AC6101">
            <v>38.639892580000001</v>
          </cell>
          <cell r="AD6101">
            <v>35.874511720000001</v>
          </cell>
        </row>
        <row r="6102">
          <cell r="L6102" t="str">
            <v>عقربا</v>
          </cell>
          <cell r="M6102" t="str">
            <v>C6852</v>
          </cell>
          <cell r="AC6102">
            <v>39.341674810000001</v>
          </cell>
          <cell r="AD6102">
            <v>35.876281740000003</v>
          </cell>
        </row>
        <row r="6103">
          <cell r="L6103" t="str">
            <v>هيلو</v>
          </cell>
          <cell r="M6103" t="str">
            <v>C6853</v>
          </cell>
          <cell r="AC6103">
            <v>40.0625</v>
          </cell>
          <cell r="AD6103">
            <v>35.876892089999998</v>
          </cell>
        </row>
        <row r="6104">
          <cell r="L6104" t="str">
            <v>محمدية</v>
          </cell>
          <cell r="M6104" t="str">
            <v>C6854</v>
          </cell>
          <cell r="AC6104">
            <v>39.266296390000001</v>
          </cell>
          <cell r="AD6104">
            <v>35.881103520000003</v>
          </cell>
        </row>
        <row r="6105">
          <cell r="L6105" t="str">
            <v>جرقا</v>
          </cell>
          <cell r="M6105" t="str">
            <v>C6856</v>
          </cell>
          <cell r="AC6105">
            <v>39.219299319999998</v>
          </cell>
          <cell r="AD6105">
            <v>35.888488770000002</v>
          </cell>
        </row>
        <row r="6106">
          <cell r="L6106" t="str">
            <v>سوافي</v>
          </cell>
          <cell r="M6106" t="str">
            <v>C6857</v>
          </cell>
          <cell r="AC6106">
            <v>39.010070800000001</v>
          </cell>
          <cell r="AD6106">
            <v>35.89611816</v>
          </cell>
        </row>
        <row r="6107">
          <cell r="L6107" t="str">
            <v>الشارة</v>
          </cell>
          <cell r="M6107" t="str">
            <v>C6858</v>
          </cell>
          <cell r="AC6107">
            <v>38.682922359999999</v>
          </cell>
          <cell r="AD6107">
            <v>35.897888180000002</v>
          </cell>
        </row>
        <row r="6108">
          <cell r="L6108" t="str">
            <v>بير حسن عمو</v>
          </cell>
          <cell r="M6108" t="str">
            <v>C6859</v>
          </cell>
          <cell r="AC6108">
            <v>39.835083009999998</v>
          </cell>
          <cell r="AD6108">
            <v>35.899902339999997</v>
          </cell>
        </row>
        <row r="6109">
          <cell r="L6109" t="str">
            <v>بير حمد</v>
          </cell>
          <cell r="M6109" t="str">
            <v>C6860</v>
          </cell>
          <cell r="AC6109">
            <v>38.72290039</v>
          </cell>
          <cell r="AD6109">
            <v>35.901123050000002</v>
          </cell>
        </row>
        <row r="6110">
          <cell r="L6110" t="str">
            <v>حمرة جماسي</v>
          </cell>
          <cell r="M6110" t="str">
            <v>C6861</v>
          </cell>
          <cell r="AC6110">
            <v>39.129699709999997</v>
          </cell>
          <cell r="AD6110">
            <v>35.901489259999998</v>
          </cell>
        </row>
        <row r="6111">
          <cell r="L6111" t="str">
            <v>تيوس</v>
          </cell>
          <cell r="M6111" t="str">
            <v>C6862</v>
          </cell>
          <cell r="AC6111">
            <v>39.95288086</v>
          </cell>
          <cell r="AD6111">
            <v>35.905273440000002</v>
          </cell>
        </row>
        <row r="6112">
          <cell r="L6112" t="str">
            <v>قمر الدين</v>
          </cell>
          <cell r="M6112" t="str">
            <v>C6863</v>
          </cell>
          <cell r="AC6112">
            <v>40.134704589999998</v>
          </cell>
          <cell r="AD6112">
            <v>35.915527339999997</v>
          </cell>
        </row>
        <row r="6113">
          <cell r="L6113" t="str">
            <v>عطارة</v>
          </cell>
          <cell r="M6113" t="str">
            <v>C6864</v>
          </cell>
          <cell r="AC6113">
            <v>39.092712400000003</v>
          </cell>
          <cell r="AD6113">
            <v>35.921691899999999</v>
          </cell>
        </row>
        <row r="6114">
          <cell r="L6114" t="str">
            <v>فخيخية</v>
          </cell>
          <cell r="M6114" t="str">
            <v>C6865</v>
          </cell>
          <cell r="AC6114">
            <v>38.97747803</v>
          </cell>
          <cell r="AD6114">
            <v>35.921691899999999</v>
          </cell>
        </row>
        <row r="6115">
          <cell r="L6115" t="str">
            <v>الكمب</v>
          </cell>
          <cell r="M6115" t="str">
            <v>C6866</v>
          </cell>
          <cell r="AC6115">
            <v>39.00549316</v>
          </cell>
          <cell r="AD6115">
            <v>35.924316410000003</v>
          </cell>
        </row>
        <row r="6116">
          <cell r="L6116" t="str">
            <v>عجيل</v>
          </cell>
          <cell r="M6116" t="str">
            <v>C6867</v>
          </cell>
          <cell r="AC6116">
            <v>38.694885249999999</v>
          </cell>
          <cell r="AD6116">
            <v>35.925292970000001</v>
          </cell>
        </row>
        <row r="6117">
          <cell r="L6117" t="str">
            <v>خربة المليحة</v>
          </cell>
          <cell r="M6117" t="str">
            <v>C6868</v>
          </cell>
          <cell r="AC6117">
            <v>40.358093259999997</v>
          </cell>
          <cell r="AD6117">
            <v>35.93267822</v>
          </cell>
        </row>
        <row r="6118">
          <cell r="L6118" t="str">
            <v>نزهة</v>
          </cell>
          <cell r="M6118" t="str">
            <v>C6869</v>
          </cell>
          <cell r="AC6118">
            <v>39.072875979999999</v>
          </cell>
          <cell r="AD6118">
            <v>35.937316899999999</v>
          </cell>
        </row>
        <row r="6119">
          <cell r="L6119" t="str">
            <v>تركيا</v>
          </cell>
          <cell r="M6119" t="str">
            <v>C6870</v>
          </cell>
          <cell r="AC6119">
            <v>38.671875</v>
          </cell>
          <cell r="AD6119">
            <v>35.937927250000001</v>
          </cell>
        </row>
        <row r="6120">
          <cell r="L6120" t="str">
            <v>الجزرة</v>
          </cell>
          <cell r="M6120" t="str">
            <v>C6871</v>
          </cell>
          <cell r="AC6120">
            <v>38.962707520000002</v>
          </cell>
          <cell r="AD6120">
            <v>35.942077640000001</v>
          </cell>
        </row>
        <row r="6121">
          <cell r="L6121" t="str">
            <v>هرقلة</v>
          </cell>
          <cell r="M6121" t="str">
            <v>C6872</v>
          </cell>
          <cell r="AC6121">
            <v>38.94689941</v>
          </cell>
          <cell r="AD6121">
            <v>35.95611572</v>
          </cell>
        </row>
        <row r="6122">
          <cell r="L6122" t="str">
            <v>مظلوم</v>
          </cell>
          <cell r="M6122" t="str">
            <v>C6873</v>
          </cell>
          <cell r="AC6122">
            <v>38.719116210000003</v>
          </cell>
          <cell r="AD6122">
            <v>35.957092289999999</v>
          </cell>
        </row>
        <row r="6123">
          <cell r="L6123" t="str">
            <v>بردان غربي</v>
          </cell>
          <cell r="M6123" t="str">
            <v>C6874</v>
          </cell>
          <cell r="AC6123">
            <v>40.083679199999999</v>
          </cell>
          <cell r="AD6123">
            <v>35.960876470000002</v>
          </cell>
        </row>
        <row r="6124">
          <cell r="L6124" t="str">
            <v>عناده</v>
          </cell>
          <cell r="M6124" t="str">
            <v>C6875</v>
          </cell>
          <cell r="AC6124">
            <v>39.095092770000001</v>
          </cell>
          <cell r="AD6124">
            <v>35.96691895</v>
          </cell>
        </row>
        <row r="6125">
          <cell r="L6125" t="str">
            <v>خربة الزهمك</v>
          </cell>
          <cell r="M6125" t="str">
            <v>C6876</v>
          </cell>
          <cell r="AC6125">
            <v>39.953308110000002</v>
          </cell>
          <cell r="AD6125">
            <v>35.967529300000002</v>
          </cell>
        </row>
        <row r="6126">
          <cell r="L6126" t="str">
            <v>محمد الشيخ</v>
          </cell>
          <cell r="M6126" t="str">
            <v>C6877</v>
          </cell>
          <cell r="AC6126">
            <v>38.360473630000001</v>
          </cell>
          <cell r="AD6126">
            <v>35.971130369999997</v>
          </cell>
        </row>
        <row r="6127">
          <cell r="L6127" t="str">
            <v>حمارين</v>
          </cell>
          <cell r="M6127" t="str">
            <v>C6878</v>
          </cell>
          <cell r="AC6127">
            <v>38.623901369999999</v>
          </cell>
          <cell r="AD6127">
            <v>35.972290039999997</v>
          </cell>
        </row>
        <row r="6128">
          <cell r="L6128" t="str">
            <v>الطويحينة</v>
          </cell>
          <cell r="M6128" t="str">
            <v>C6879</v>
          </cell>
          <cell r="AC6128">
            <v>38.423278809999999</v>
          </cell>
          <cell r="AD6128">
            <v>35.972290039999997</v>
          </cell>
        </row>
        <row r="6129">
          <cell r="L6129" t="str">
            <v>سكر</v>
          </cell>
          <cell r="M6129" t="str">
            <v>C6880</v>
          </cell>
          <cell r="AC6129">
            <v>39.620483399999998</v>
          </cell>
          <cell r="AD6129">
            <v>35.972473149999999</v>
          </cell>
        </row>
        <row r="6130">
          <cell r="L6130" t="str">
            <v>بير شويحان</v>
          </cell>
          <cell r="M6130" t="str">
            <v>C6881</v>
          </cell>
          <cell r="AC6130">
            <v>39.86328125</v>
          </cell>
          <cell r="AD6130">
            <v>35.97290039</v>
          </cell>
        </row>
        <row r="6131">
          <cell r="L6131" t="str">
            <v>فنان الشرقي</v>
          </cell>
          <cell r="M6131" t="str">
            <v>C6882</v>
          </cell>
          <cell r="AC6131">
            <v>40.16888428</v>
          </cell>
          <cell r="AD6131">
            <v>35.976074220000001</v>
          </cell>
        </row>
        <row r="6132">
          <cell r="L6132" t="str">
            <v>الغضبان</v>
          </cell>
          <cell r="M6132" t="str">
            <v>C6884</v>
          </cell>
          <cell r="AC6132">
            <v>38.480529789999999</v>
          </cell>
          <cell r="AD6132">
            <v>35.978271479999997</v>
          </cell>
        </row>
        <row r="6133">
          <cell r="L6133" t="str">
            <v>عزمان</v>
          </cell>
          <cell r="M6133" t="str">
            <v>C6885</v>
          </cell>
          <cell r="AC6133">
            <v>39.934082029999999</v>
          </cell>
          <cell r="AD6133">
            <v>35.982910160000003</v>
          </cell>
        </row>
        <row r="6134">
          <cell r="L6134" t="str">
            <v>تياسا</v>
          </cell>
          <cell r="M6134" t="str">
            <v>C6886</v>
          </cell>
          <cell r="AC6134">
            <v>38.370727539999997</v>
          </cell>
          <cell r="AD6134">
            <v>35.987304690000002</v>
          </cell>
        </row>
        <row r="6135">
          <cell r="L6135" t="str">
            <v>الهنهد</v>
          </cell>
          <cell r="M6135" t="str">
            <v>C6887</v>
          </cell>
          <cell r="AC6135">
            <v>38.567871089999997</v>
          </cell>
          <cell r="AD6135">
            <v>35.987487790000003</v>
          </cell>
        </row>
        <row r="6136">
          <cell r="L6136" t="str">
            <v>بير سانا</v>
          </cell>
          <cell r="M6136" t="str">
            <v>C6888</v>
          </cell>
          <cell r="AC6136">
            <v>38.58892822</v>
          </cell>
          <cell r="AD6136">
            <v>35.987670899999998</v>
          </cell>
        </row>
        <row r="6137">
          <cell r="L6137" t="str">
            <v>حسن حجي</v>
          </cell>
          <cell r="M6137" t="str">
            <v>C6889</v>
          </cell>
          <cell r="AC6137">
            <v>38.400329589999998</v>
          </cell>
          <cell r="AD6137">
            <v>35.98852539</v>
          </cell>
        </row>
        <row r="6138">
          <cell r="L6138" t="str">
            <v>بلش</v>
          </cell>
          <cell r="M6138" t="str">
            <v>C6890</v>
          </cell>
          <cell r="AC6138">
            <v>39.91430664</v>
          </cell>
          <cell r="AD6138">
            <v>35.988708500000001</v>
          </cell>
        </row>
        <row r="6139">
          <cell r="L6139" t="str">
            <v>بير الهاشم</v>
          </cell>
          <cell r="M6139" t="str">
            <v>C6891</v>
          </cell>
          <cell r="AC6139">
            <v>38.885070800000001</v>
          </cell>
          <cell r="AD6139">
            <v>36.000305179999998</v>
          </cell>
        </row>
        <row r="6140">
          <cell r="L6140" t="str">
            <v>الدليل</v>
          </cell>
          <cell r="M6140" t="str">
            <v>C6892</v>
          </cell>
          <cell r="AC6140">
            <v>38.640319820000002</v>
          </cell>
          <cell r="AD6140">
            <v>36.003295899999998</v>
          </cell>
        </row>
        <row r="6141">
          <cell r="L6141" t="str">
            <v>ملالي</v>
          </cell>
          <cell r="M6141" t="str">
            <v>C6893</v>
          </cell>
          <cell r="AC6141">
            <v>39.07330322</v>
          </cell>
          <cell r="AD6141">
            <v>36.007507320000002</v>
          </cell>
        </row>
        <row r="6142">
          <cell r="L6142" t="str">
            <v>فينان غربي</v>
          </cell>
          <cell r="M6142" t="str">
            <v>C6894</v>
          </cell>
          <cell r="AC6142">
            <v>40.080078129999997</v>
          </cell>
          <cell r="AD6142">
            <v>36.012084960000003</v>
          </cell>
        </row>
        <row r="6143">
          <cell r="L6143" t="str">
            <v>ابو قويرة</v>
          </cell>
          <cell r="M6143" t="str">
            <v>C6895</v>
          </cell>
          <cell r="AC6143">
            <v>38.718078609999999</v>
          </cell>
          <cell r="AD6143">
            <v>36.016296390000001</v>
          </cell>
        </row>
        <row r="6144">
          <cell r="L6144" t="str">
            <v>المارودة</v>
          </cell>
          <cell r="M6144" t="str">
            <v>C6896</v>
          </cell>
          <cell r="AC6144">
            <v>39.069885249999999</v>
          </cell>
          <cell r="AD6144">
            <v>36.017089839999997</v>
          </cell>
        </row>
        <row r="6145">
          <cell r="L6145" t="str">
            <v>طارق غربي</v>
          </cell>
          <cell r="M6145" t="str">
            <v>C6897</v>
          </cell>
          <cell r="AC6145">
            <v>38.601684570000003</v>
          </cell>
          <cell r="AD6145">
            <v>36.026916499999999</v>
          </cell>
        </row>
        <row r="6146">
          <cell r="L6146" t="str">
            <v>الروضة</v>
          </cell>
          <cell r="M6146" t="str">
            <v>C6898</v>
          </cell>
          <cell r="AC6146">
            <v>38.987304690000002</v>
          </cell>
          <cell r="AD6146">
            <v>36.03009033</v>
          </cell>
        </row>
        <row r="6147">
          <cell r="L6147" t="str">
            <v>بير ادمان</v>
          </cell>
          <cell r="M6147" t="str">
            <v>C6899</v>
          </cell>
          <cell r="AC6147">
            <v>39.883483890000001</v>
          </cell>
          <cell r="AD6147">
            <v>36.033874509999997</v>
          </cell>
        </row>
        <row r="6148">
          <cell r="L6148" t="str">
            <v>مهباش</v>
          </cell>
          <cell r="M6148" t="str">
            <v>C6901</v>
          </cell>
          <cell r="AC6148">
            <v>40.024475099999997</v>
          </cell>
          <cell r="AD6148">
            <v>36.03607178</v>
          </cell>
        </row>
        <row r="6149">
          <cell r="L6149" t="str">
            <v>هداج</v>
          </cell>
          <cell r="M6149" t="str">
            <v>C6902</v>
          </cell>
          <cell r="AC6149">
            <v>38.530883789999997</v>
          </cell>
          <cell r="AD6149">
            <v>36.036682130000003</v>
          </cell>
        </row>
        <row r="6150">
          <cell r="L6150" t="str">
            <v>ام هناوي</v>
          </cell>
          <cell r="M6150" t="str">
            <v>C6903</v>
          </cell>
          <cell r="AC6150">
            <v>38.447326660000002</v>
          </cell>
          <cell r="AD6150">
            <v>36.036926270000002</v>
          </cell>
        </row>
        <row r="6151">
          <cell r="L6151" t="str">
            <v>خويتار</v>
          </cell>
          <cell r="M6151" t="str">
            <v>C6904</v>
          </cell>
          <cell r="AC6151">
            <v>39.786682130000003</v>
          </cell>
          <cell r="AD6151">
            <v>36.038330080000001</v>
          </cell>
        </row>
        <row r="6152">
          <cell r="L6152" t="str">
            <v>بير سنجار الجنوبي</v>
          </cell>
          <cell r="M6152" t="str">
            <v>C6905</v>
          </cell>
          <cell r="AC6152">
            <v>38.32928467</v>
          </cell>
          <cell r="AD6152">
            <v>36.040527339999997</v>
          </cell>
        </row>
        <row r="6153">
          <cell r="L6153" t="str">
            <v>مرمى ابن درويش</v>
          </cell>
          <cell r="M6153" t="str">
            <v>C6906</v>
          </cell>
          <cell r="AC6153">
            <v>38.979492190000002</v>
          </cell>
          <cell r="AD6153">
            <v>36.04388428</v>
          </cell>
        </row>
        <row r="6154">
          <cell r="L6154" t="str">
            <v>عباسية</v>
          </cell>
          <cell r="M6154" t="str">
            <v>C6907</v>
          </cell>
          <cell r="AC6154">
            <v>38.818298339999998</v>
          </cell>
          <cell r="AD6154">
            <v>36.044677729999997</v>
          </cell>
        </row>
        <row r="6155">
          <cell r="L6155" t="str">
            <v>مستور</v>
          </cell>
          <cell r="M6155" t="str">
            <v>C6908</v>
          </cell>
          <cell r="AC6155">
            <v>39.791076660000002</v>
          </cell>
          <cell r="AD6155">
            <v>36.053894040000003</v>
          </cell>
        </row>
        <row r="6156">
          <cell r="L6156" t="str">
            <v>كسار</v>
          </cell>
          <cell r="M6156" t="str">
            <v>C6909</v>
          </cell>
          <cell r="AC6156">
            <v>39.802124020000001</v>
          </cell>
          <cell r="AD6156">
            <v>36.0625</v>
          </cell>
        </row>
        <row r="6157">
          <cell r="L6157" t="str">
            <v>بير شمري</v>
          </cell>
          <cell r="M6157" t="str">
            <v>C6910</v>
          </cell>
          <cell r="AC6157">
            <v>39.838073729999998</v>
          </cell>
          <cell r="AD6157">
            <v>36.064514160000002</v>
          </cell>
        </row>
        <row r="6158">
          <cell r="L6158" t="str">
            <v>صباح الخير</v>
          </cell>
          <cell r="M6158" t="str">
            <v>C6911</v>
          </cell>
          <cell r="AC6158">
            <v>39.808288570000002</v>
          </cell>
          <cell r="AD6158">
            <v>36.071716309999999</v>
          </cell>
        </row>
        <row r="6159">
          <cell r="L6159" t="str">
            <v>أبو الشامات</v>
          </cell>
          <cell r="M6159" t="str">
            <v>C6912</v>
          </cell>
          <cell r="AC6159">
            <v>38.351684570000003</v>
          </cell>
          <cell r="AD6159">
            <v>36.072875979999999</v>
          </cell>
        </row>
        <row r="6160">
          <cell r="L6160" t="str">
            <v>أبو جب</v>
          </cell>
          <cell r="M6160" t="str">
            <v>C6913</v>
          </cell>
          <cell r="AC6160">
            <v>38.550292970000001</v>
          </cell>
          <cell r="AD6160">
            <v>36.077514649999998</v>
          </cell>
        </row>
        <row r="6161">
          <cell r="L6161" t="str">
            <v>أبو حوايا</v>
          </cell>
          <cell r="M6161" t="str">
            <v>C6914</v>
          </cell>
          <cell r="AC6161">
            <v>38.454895020000002</v>
          </cell>
          <cell r="AD6161">
            <v>36.078125</v>
          </cell>
        </row>
        <row r="6162">
          <cell r="L6162" t="str">
            <v>كرمنجو</v>
          </cell>
          <cell r="M6162" t="str">
            <v>C6915</v>
          </cell>
          <cell r="AC6162">
            <v>38.640686039999999</v>
          </cell>
          <cell r="AD6162">
            <v>36.081298830000001</v>
          </cell>
        </row>
        <row r="6163">
          <cell r="L6163" t="str">
            <v>الصالحية</v>
          </cell>
          <cell r="M6163" t="str">
            <v>C6916</v>
          </cell>
          <cell r="AC6163">
            <v>38.86627197</v>
          </cell>
          <cell r="AD6163">
            <v>36.084899900000003</v>
          </cell>
        </row>
        <row r="6164">
          <cell r="L6164" t="str">
            <v>جويس</v>
          </cell>
          <cell r="M6164" t="str">
            <v>C6917</v>
          </cell>
          <cell r="AC6164">
            <v>39.883483890000001</v>
          </cell>
          <cell r="AD6164">
            <v>36.091125490000003</v>
          </cell>
        </row>
        <row r="6165">
          <cell r="L6165" t="str">
            <v>بير جربو</v>
          </cell>
          <cell r="M6165" t="str">
            <v>C6918</v>
          </cell>
          <cell r="AC6165">
            <v>39.015075680000002</v>
          </cell>
          <cell r="AD6165">
            <v>36.093872070000003</v>
          </cell>
        </row>
        <row r="6166">
          <cell r="L6166" t="str">
            <v>ثنيات حسن علي</v>
          </cell>
          <cell r="M6166" t="str">
            <v>C6919</v>
          </cell>
          <cell r="AC6166">
            <v>38.187927250000001</v>
          </cell>
          <cell r="AD6166">
            <v>36.094116210000003</v>
          </cell>
        </row>
        <row r="6167">
          <cell r="L6167" t="str">
            <v>بير زاحط</v>
          </cell>
          <cell r="M6167" t="str">
            <v>C6920</v>
          </cell>
          <cell r="AC6167">
            <v>38.417480470000001</v>
          </cell>
          <cell r="AD6167">
            <v>36.094482419999999</v>
          </cell>
        </row>
        <row r="6168">
          <cell r="L6168" t="str">
            <v>نوفل</v>
          </cell>
          <cell r="M6168" t="str">
            <v>C6921</v>
          </cell>
          <cell r="AC6168">
            <v>39.825317380000001</v>
          </cell>
          <cell r="AD6168">
            <v>36.098083500000001</v>
          </cell>
        </row>
        <row r="6169">
          <cell r="L6169" t="str">
            <v>عزيز</v>
          </cell>
          <cell r="M6169" t="str">
            <v>C6922</v>
          </cell>
          <cell r="AC6169">
            <v>39.785705569999998</v>
          </cell>
          <cell r="AD6169">
            <v>36.099121089999997</v>
          </cell>
        </row>
        <row r="6170">
          <cell r="L6170" t="str">
            <v>الرشيد</v>
          </cell>
          <cell r="M6170" t="str">
            <v>C6923</v>
          </cell>
          <cell r="AC6170">
            <v>38.776123050000002</v>
          </cell>
          <cell r="AD6170">
            <v>36.106079100000002</v>
          </cell>
        </row>
        <row r="6171">
          <cell r="L6171" t="str">
            <v>حسن زيد</v>
          </cell>
          <cell r="M6171" t="str">
            <v>C6924</v>
          </cell>
          <cell r="AC6171">
            <v>39.974121089999997</v>
          </cell>
          <cell r="AD6171">
            <v>36.108276369999999</v>
          </cell>
        </row>
        <row r="6172">
          <cell r="L6172" t="str">
            <v>السياد</v>
          </cell>
          <cell r="M6172" t="str">
            <v>C6925</v>
          </cell>
          <cell r="AC6172">
            <v>39.994689940000001</v>
          </cell>
          <cell r="AD6172">
            <v>36.108276369999999</v>
          </cell>
        </row>
        <row r="6173">
          <cell r="L6173" t="str">
            <v>أبو جدي</v>
          </cell>
          <cell r="M6173" t="str">
            <v>C6926</v>
          </cell>
          <cell r="AC6173">
            <v>38.593688970000002</v>
          </cell>
          <cell r="AD6173">
            <v>36.110900880000003</v>
          </cell>
        </row>
        <row r="6174">
          <cell r="L6174" t="str">
            <v>جروة</v>
          </cell>
          <cell r="M6174" t="str">
            <v>C6927</v>
          </cell>
          <cell r="AC6174">
            <v>39.010314940000001</v>
          </cell>
          <cell r="AD6174">
            <v>36.110900880000003</v>
          </cell>
        </row>
        <row r="6175">
          <cell r="L6175" t="str">
            <v>بير جابر</v>
          </cell>
          <cell r="M6175" t="str">
            <v>C6928</v>
          </cell>
          <cell r="AC6175">
            <v>38.446289059999998</v>
          </cell>
          <cell r="AD6175">
            <v>36.113098149999999</v>
          </cell>
        </row>
        <row r="6176">
          <cell r="L6176" t="str">
            <v>أبو رداني</v>
          </cell>
          <cell r="M6176" t="str">
            <v>C6929</v>
          </cell>
          <cell r="AC6176">
            <v>38.489929199999999</v>
          </cell>
          <cell r="AD6176">
            <v>36.11950684</v>
          </cell>
        </row>
        <row r="6177">
          <cell r="L6177" t="str">
            <v>الذيبة</v>
          </cell>
          <cell r="M6177" t="str">
            <v>C6930</v>
          </cell>
          <cell r="AC6177">
            <v>38.213073729999998</v>
          </cell>
          <cell r="AD6177">
            <v>36.125305179999998</v>
          </cell>
        </row>
        <row r="6178">
          <cell r="L6178" t="str">
            <v>مقمان</v>
          </cell>
          <cell r="M6178" t="str">
            <v>C6931</v>
          </cell>
          <cell r="AC6178">
            <v>40.026123050000002</v>
          </cell>
          <cell r="AD6178">
            <v>36.125671390000001</v>
          </cell>
        </row>
        <row r="6179">
          <cell r="L6179" t="str">
            <v>بئر ظاهر</v>
          </cell>
          <cell r="M6179" t="str">
            <v>C6932</v>
          </cell>
          <cell r="AC6179">
            <v>38.405517580000001</v>
          </cell>
          <cell r="AD6179">
            <v>36.126708979999997</v>
          </cell>
        </row>
        <row r="6180">
          <cell r="L6180" t="str">
            <v>ماشوط</v>
          </cell>
          <cell r="M6180" t="str">
            <v>C6933</v>
          </cell>
          <cell r="AC6180">
            <v>38.552490229999997</v>
          </cell>
          <cell r="AD6180">
            <v>36.128112790000003</v>
          </cell>
        </row>
        <row r="6181">
          <cell r="L6181" t="str">
            <v>عبدالله حميدي المسعود</v>
          </cell>
          <cell r="M6181" t="str">
            <v>C6934</v>
          </cell>
          <cell r="AC6181">
            <v>38.275878910000003</v>
          </cell>
          <cell r="AD6181">
            <v>36.135070800000001</v>
          </cell>
        </row>
        <row r="6182">
          <cell r="L6182" t="str">
            <v>بير علندة</v>
          </cell>
          <cell r="M6182" t="str">
            <v>C6935</v>
          </cell>
          <cell r="AC6182">
            <v>39.805480959999997</v>
          </cell>
          <cell r="AD6182">
            <v>36.13671875</v>
          </cell>
        </row>
        <row r="6183">
          <cell r="L6183" t="str">
            <v>دويرة</v>
          </cell>
          <cell r="M6183" t="str">
            <v>C6936</v>
          </cell>
          <cell r="AC6183">
            <v>38.215698240000002</v>
          </cell>
          <cell r="AD6183">
            <v>36.140075680000002</v>
          </cell>
        </row>
        <row r="6184">
          <cell r="L6184" t="str">
            <v>صناكر</v>
          </cell>
          <cell r="M6184" t="str">
            <v>C6937</v>
          </cell>
          <cell r="AC6184">
            <v>38.389526369999999</v>
          </cell>
          <cell r="AD6184">
            <v>36.146911619999997</v>
          </cell>
        </row>
        <row r="6185">
          <cell r="L6185" t="str">
            <v>البقارة</v>
          </cell>
          <cell r="M6185" t="str">
            <v>C6938</v>
          </cell>
          <cell r="AC6185">
            <v>38.50689697</v>
          </cell>
          <cell r="AD6185">
            <v>36.151489259999998</v>
          </cell>
        </row>
        <row r="6186">
          <cell r="L6186" t="str">
            <v>كرجي</v>
          </cell>
          <cell r="M6186" t="str">
            <v>C6939</v>
          </cell>
          <cell r="AC6186">
            <v>38.590515140000001</v>
          </cell>
          <cell r="AD6186">
            <v>36.151672359999999</v>
          </cell>
        </row>
        <row r="6187">
          <cell r="L6187" t="str">
            <v>بير حسين</v>
          </cell>
          <cell r="M6187" t="str">
            <v>C6940</v>
          </cell>
          <cell r="AC6187">
            <v>38.188293459999997</v>
          </cell>
          <cell r="AD6187">
            <v>36.151672359999999</v>
          </cell>
        </row>
        <row r="6188">
          <cell r="L6188" t="str">
            <v>المعامرة</v>
          </cell>
          <cell r="M6188" t="str">
            <v>C6941</v>
          </cell>
          <cell r="AC6188">
            <v>38.151489259999998</v>
          </cell>
          <cell r="AD6188">
            <v>36.154113770000002</v>
          </cell>
        </row>
        <row r="6189">
          <cell r="L6189" t="str">
            <v>المشيرفة</v>
          </cell>
          <cell r="M6189" t="str">
            <v>C6942</v>
          </cell>
          <cell r="AC6189">
            <v>39.195922850000002</v>
          </cell>
          <cell r="AD6189">
            <v>36.15509033</v>
          </cell>
        </row>
        <row r="6190">
          <cell r="L6190" t="str">
            <v>سمره الكبير</v>
          </cell>
          <cell r="M6190" t="str">
            <v>C6943</v>
          </cell>
          <cell r="AC6190">
            <v>38.270507809999998</v>
          </cell>
          <cell r="AD6190">
            <v>36.1583252</v>
          </cell>
        </row>
        <row r="6191">
          <cell r="L6191" t="str">
            <v>جب الشاعر</v>
          </cell>
          <cell r="M6191" t="str">
            <v>C6944</v>
          </cell>
          <cell r="AC6191">
            <v>38.72888184</v>
          </cell>
          <cell r="AD6191">
            <v>36.160278320000003</v>
          </cell>
        </row>
        <row r="6192">
          <cell r="L6192" t="str">
            <v>بير حميدي العلي</v>
          </cell>
          <cell r="M6192" t="str">
            <v>C6945</v>
          </cell>
          <cell r="AC6192">
            <v>38.190307619999999</v>
          </cell>
          <cell r="AD6192">
            <v>36.160888669999999</v>
          </cell>
        </row>
        <row r="6193">
          <cell r="L6193" t="str">
            <v>سمرا الصغرى</v>
          </cell>
          <cell r="M6193" t="str">
            <v>C6946</v>
          </cell>
          <cell r="AC6193">
            <v>38.280883789999997</v>
          </cell>
          <cell r="AD6193">
            <v>36.162292479999998</v>
          </cell>
        </row>
        <row r="6194">
          <cell r="L6194" t="str">
            <v>كردوش</v>
          </cell>
          <cell r="M6194" t="str">
            <v>C6947</v>
          </cell>
          <cell r="AC6194">
            <v>38.581909179999997</v>
          </cell>
          <cell r="AD6194">
            <v>36.163330080000001</v>
          </cell>
        </row>
        <row r="6195">
          <cell r="L6195" t="str">
            <v>اكوش</v>
          </cell>
          <cell r="M6195" t="str">
            <v>C6948</v>
          </cell>
          <cell r="AC6195">
            <v>38.593322749999999</v>
          </cell>
          <cell r="AD6195">
            <v>36.168518069999998</v>
          </cell>
        </row>
        <row r="6196">
          <cell r="L6196" t="str">
            <v>جرن الاسود</v>
          </cell>
          <cell r="M6196" t="str">
            <v>C6949</v>
          </cell>
          <cell r="AC6196">
            <v>38.888122559999999</v>
          </cell>
          <cell r="AD6196">
            <v>36.17071533</v>
          </cell>
        </row>
        <row r="6197">
          <cell r="L6197" t="str">
            <v>جب الابيض</v>
          </cell>
          <cell r="M6197" t="str">
            <v>C6950</v>
          </cell>
          <cell r="AC6197">
            <v>38.247497559999999</v>
          </cell>
          <cell r="AD6197">
            <v>36.171508789999997</v>
          </cell>
        </row>
        <row r="6198">
          <cell r="L6198" t="str">
            <v>ابو كبرة</v>
          </cell>
          <cell r="M6198" t="str">
            <v>C6951</v>
          </cell>
          <cell r="AC6198">
            <v>39.240905759999997</v>
          </cell>
          <cell r="AD6198">
            <v>36.173522949999999</v>
          </cell>
        </row>
        <row r="6199">
          <cell r="L6199" t="str">
            <v>ام تليل</v>
          </cell>
          <cell r="M6199" t="str">
            <v>C6952</v>
          </cell>
          <cell r="AC6199">
            <v>38.70727539</v>
          </cell>
          <cell r="AD6199">
            <v>36.178710940000002</v>
          </cell>
        </row>
        <row r="6200">
          <cell r="L6200" t="str">
            <v>خربة هلال</v>
          </cell>
          <cell r="M6200" t="str">
            <v>C6953</v>
          </cell>
          <cell r="AC6200">
            <v>38.5546875</v>
          </cell>
          <cell r="AD6200">
            <v>36.181884770000003</v>
          </cell>
        </row>
        <row r="6201">
          <cell r="L6201" t="str">
            <v>اصالية</v>
          </cell>
          <cell r="M6201" t="str">
            <v>C6954</v>
          </cell>
          <cell r="AC6201">
            <v>39.984313970000002</v>
          </cell>
          <cell r="AD6201">
            <v>36.183288570000002</v>
          </cell>
        </row>
        <row r="6202">
          <cell r="L6202" t="str">
            <v>أبو نيتولة</v>
          </cell>
          <cell r="M6202" t="str">
            <v>C6955</v>
          </cell>
          <cell r="AC6202">
            <v>39.427917479999998</v>
          </cell>
          <cell r="AD6202">
            <v>36.188110350000002</v>
          </cell>
        </row>
        <row r="6203">
          <cell r="L6203" t="str">
            <v>سفاخير</v>
          </cell>
          <cell r="M6203" t="str">
            <v>C6956</v>
          </cell>
          <cell r="AC6203">
            <v>38.341491699999999</v>
          </cell>
          <cell r="AD6203">
            <v>36.18908691</v>
          </cell>
        </row>
        <row r="6204">
          <cell r="L6204" t="str">
            <v>بير بغبغ</v>
          </cell>
          <cell r="M6204" t="str">
            <v>C6957</v>
          </cell>
          <cell r="AC6204">
            <v>38.532287599999997</v>
          </cell>
          <cell r="AD6204">
            <v>36.189880369999997</v>
          </cell>
        </row>
        <row r="6205">
          <cell r="L6205" t="str">
            <v>شجر قوير</v>
          </cell>
          <cell r="M6205" t="str">
            <v>C6958</v>
          </cell>
          <cell r="AC6205">
            <v>38.623474119999997</v>
          </cell>
          <cell r="AD6205">
            <v>36.19647217</v>
          </cell>
        </row>
        <row r="6206">
          <cell r="L6206" t="str">
            <v>بغيلان</v>
          </cell>
          <cell r="M6206" t="str">
            <v>C6959</v>
          </cell>
          <cell r="AC6206">
            <v>38.577514649999998</v>
          </cell>
          <cell r="AD6206">
            <v>36.199890140000001</v>
          </cell>
        </row>
        <row r="6207">
          <cell r="L6207" t="str">
            <v>بئر أبو شعف</v>
          </cell>
          <cell r="M6207" t="str">
            <v>C6960</v>
          </cell>
          <cell r="AC6207">
            <v>38.484313970000002</v>
          </cell>
          <cell r="AD6207">
            <v>36.200927729999997</v>
          </cell>
        </row>
        <row r="6208">
          <cell r="L6208" t="str">
            <v>مجيبينه</v>
          </cell>
          <cell r="M6208" t="str">
            <v>C6961</v>
          </cell>
          <cell r="AC6208">
            <v>38.461486819999998</v>
          </cell>
          <cell r="AD6208">
            <v>36.20129395</v>
          </cell>
        </row>
        <row r="6209">
          <cell r="L6209" t="str">
            <v>سويلم</v>
          </cell>
          <cell r="M6209" t="str">
            <v>C6962</v>
          </cell>
          <cell r="AC6209">
            <v>38.846923830000001</v>
          </cell>
          <cell r="AD6209">
            <v>36.20428467</v>
          </cell>
        </row>
        <row r="6210">
          <cell r="L6210" t="str">
            <v>الدحلان</v>
          </cell>
          <cell r="M6210" t="str">
            <v>C6963</v>
          </cell>
          <cell r="AC6210">
            <v>38.804321289999997</v>
          </cell>
          <cell r="AD6210">
            <v>36.20428467</v>
          </cell>
        </row>
        <row r="6211">
          <cell r="L6211" t="str">
            <v>حرملا</v>
          </cell>
          <cell r="M6211" t="str">
            <v>C6964</v>
          </cell>
          <cell r="AC6211">
            <v>38.67028809</v>
          </cell>
          <cell r="AD6211">
            <v>36.205078129999997</v>
          </cell>
        </row>
        <row r="6212">
          <cell r="L6212" t="str">
            <v>الحيدي</v>
          </cell>
          <cell r="M6212" t="str">
            <v>C6965</v>
          </cell>
          <cell r="AC6212">
            <v>38.652282720000002</v>
          </cell>
          <cell r="AD6212">
            <v>36.205322270000003</v>
          </cell>
        </row>
        <row r="6213">
          <cell r="L6213" t="str">
            <v>الهادي</v>
          </cell>
          <cell r="M6213" t="str">
            <v>C6966</v>
          </cell>
          <cell r="AC6213">
            <v>39.413085940000002</v>
          </cell>
          <cell r="AD6213">
            <v>36.207092289999999</v>
          </cell>
        </row>
        <row r="6214">
          <cell r="L6214" t="str">
            <v>الباري</v>
          </cell>
          <cell r="M6214" t="str">
            <v>C6967</v>
          </cell>
          <cell r="AC6214">
            <v>38.601684570000003</v>
          </cell>
          <cell r="AD6214">
            <v>36.209472660000003</v>
          </cell>
        </row>
        <row r="6215">
          <cell r="L6215" t="str">
            <v>خربة الشرفات</v>
          </cell>
          <cell r="M6215" t="str">
            <v>C6968</v>
          </cell>
          <cell r="AC6215">
            <v>38.178283690000001</v>
          </cell>
          <cell r="AD6215">
            <v>36.210083009999998</v>
          </cell>
        </row>
        <row r="6216">
          <cell r="L6216" t="str">
            <v>طولكابديلكا</v>
          </cell>
          <cell r="M6216" t="str">
            <v>C6969</v>
          </cell>
          <cell r="AC6216">
            <v>38.441894529999999</v>
          </cell>
          <cell r="AD6216">
            <v>36.224304199999999</v>
          </cell>
        </row>
        <row r="6217">
          <cell r="L6217" t="str">
            <v>ام سليم</v>
          </cell>
          <cell r="M6217" t="str">
            <v>C6970</v>
          </cell>
          <cell r="AC6217">
            <v>38.484924319999998</v>
          </cell>
          <cell r="AD6217">
            <v>36.229675290000003</v>
          </cell>
        </row>
        <row r="6218">
          <cell r="L6218" t="str">
            <v>وردات العجاجيه</v>
          </cell>
          <cell r="M6218" t="str">
            <v>C6971</v>
          </cell>
          <cell r="AC6218">
            <v>38.299072270000003</v>
          </cell>
          <cell r="AD6218">
            <v>36.233886720000001</v>
          </cell>
        </row>
        <row r="6219">
          <cell r="L6219" t="str">
            <v>شطحه</v>
          </cell>
          <cell r="M6219" t="str">
            <v>C6972</v>
          </cell>
          <cell r="AC6219">
            <v>38.573913570000002</v>
          </cell>
          <cell r="AD6219">
            <v>36.23828125</v>
          </cell>
        </row>
        <row r="6220">
          <cell r="L6220" t="str">
            <v>المسك</v>
          </cell>
          <cell r="M6220" t="str">
            <v>C6973</v>
          </cell>
          <cell r="AC6220">
            <v>38.267272949999999</v>
          </cell>
          <cell r="AD6220">
            <v>36.24310303</v>
          </cell>
        </row>
        <row r="6221">
          <cell r="L6221" t="str">
            <v>الظاهر</v>
          </cell>
          <cell r="M6221" t="str">
            <v>C6974</v>
          </cell>
          <cell r="AC6221">
            <v>38.310485839999998</v>
          </cell>
          <cell r="AD6221">
            <v>36.245483399999998</v>
          </cell>
        </row>
        <row r="6222">
          <cell r="L6222" t="str">
            <v>السمحانية</v>
          </cell>
          <cell r="M6222" t="str">
            <v>C6975</v>
          </cell>
          <cell r="AC6222">
            <v>38.634704589999998</v>
          </cell>
          <cell r="AD6222">
            <v>36.245483399999998</v>
          </cell>
        </row>
        <row r="6223">
          <cell r="L6223" t="str">
            <v>العجية</v>
          </cell>
          <cell r="M6223" t="str">
            <v>C6976</v>
          </cell>
          <cell r="AC6223">
            <v>38.541687009999997</v>
          </cell>
          <cell r="AD6223">
            <v>36.25689697</v>
          </cell>
        </row>
        <row r="6224">
          <cell r="L6224" t="str">
            <v>الشلال</v>
          </cell>
          <cell r="M6224" t="str">
            <v>C6977</v>
          </cell>
          <cell r="AC6224">
            <v>38.335510249999999</v>
          </cell>
          <cell r="AD6224">
            <v>36.261108399999998</v>
          </cell>
        </row>
        <row r="6225">
          <cell r="L6225" t="str">
            <v>منطقة خنيز</v>
          </cell>
          <cell r="M6225" t="str">
            <v>C6978</v>
          </cell>
          <cell r="AC6225">
            <v>39.041870119999999</v>
          </cell>
          <cell r="AD6225">
            <v>36.269714360000002</v>
          </cell>
        </row>
        <row r="6226">
          <cell r="L6226" t="str">
            <v>تلق / شعيب دلق مغار</v>
          </cell>
          <cell r="M6226" t="str">
            <v>C6980</v>
          </cell>
          <cell r="AC6226">
            <v>38.710876470000002</v>
          </cell>
          <cell r="AD6226">
            <v>36.28009033</v>
          </cell>
        </row>
        <row r="6227">
          <cell r="L6227" t="str">
            <v>هيشة الشبل</v>
          </cell>
          <cell r="M6227" t="str">
            <v>C6981</v>
          </cell>
          <cell r="AC6227">
            <v>38.999328609999999</v>
          </cell>
          <cell r="AD6227">
            <v>36.280883789999997</v>
          </cell>
        </row>
        <row r="6228">
          <cell r="L6228" t="str">
            <v>خنيز مجادمي</v>
          </cell>
          <cell r="M6228" t="str">
            <v>C6982</v>
          </cell>
          <cell r="AC6228">
            <v>39.045471190000001</v>
          </cell>
          <cell r="AD6228">
            <v>36.283508300000001</v>
          </cell>
        </row>
        <row r="6229">
          <cell r="L6229" t="str">
            <v>بير الداير</v>
          </cell>
          <cell r="M6229" t="str">
            <v>C6983</v>
          </cell>
          <cell r="AC6229">
            <v>38.794677729999997</v>
          </cell>
          <cell r="AD6229">
            <v>36.291503910000003</v>
          </cell>
        </row>
        <row r="6230">
          <cell r="L6230" t="str">
            <v>حريبشة</v>
          </cell>
          <cell r="M6230" t="str">
            <v>C6984</v>
          </cell>
          <cell r="AC6230">
            <v>38.769103999999999</v>
          </cell>
          <cell r="AD6230">
            <v>36.298095699999998</v>
          </cell>
        </row>
        <row r="6231">
          <cell r="L6231" t="str">
            <v>شطي الجميجم</v>
          </cell>
          <cell r="M6231" t="str">
            <v>C6985</v>
          </cell>
          <cell r="AC6231">
            <v>38.848693849999997</v>
          </cell>
          <cell r="AD6231">
            <v>36.304077149999998</v>
          </cell>
        </row>
        <row r="6232">
          <cell r="L6232" t="str">
            <v>مويلح</v>
          </cell>
          <cell r="M6232" t="str">
            <v>C6986</v>
          </cell>
          <cell r="AC6232">
            <v>38.807128910000003</v>
          </cell>
          <cell r="AD6232">
            <v>36.306884770000003</v>
          </cell>
        </row>
        <row r="6233">
          <cell r="L6233" t="str">
            <v>الغازلي</v>
          </cell>
          <cell r="M6233" t="str">
            <v>C6987</v>
          </cell>
          <cell r="AC6233">
            <v>39.017272949999999</v>
          </cell>
          <cell r="AD6233">
            <v>36.30950928</v>
          </cell>
        </row>
        <row r="6234">
          <cell r="L6234" t="str">
            <v>دوامينة</v>
          </cell>
          <cell r="M6234" t="str">
            <v>C6988</v>
          </cell>
          <cell r="AC6234">
            <v>38.86169434</v>
          </cell>
          <cell r="AD6234">
            <v>36.3125</v>
          </cell>
        </row>
        <row r="6235">
          <cell r="L6235" t="str">
            <v>الجويزع</v>
          </cell>
          <cell r="M6235" t="str">
            <v>C6989</v>
          </cell>
          <cell r="AC6235">
            <v>38.685302729999997</v>
          </cell>
          <cell r="AD6235">
            <v>36.319274900000003</v>
          </cell>
        </row>
        <row r="6236">
          <cell r="L6236" t="str">
            <v>الحنيان</v>
          </cell>
          <cell r="M6236" t="str">
            <v>C6990</v>
          </cell>
          <cell r="AC6236">
            <v>38.9083252</v>
          </cell>
          <cell r="AD6236">
            <v>36.320678710000003</v>
          </cell>
        </row>
        <row r="6237">
          <cell r="L6237" t="str">
            <v>المشهاده</v>
          </cell>
          <cell r="M6237" t="str">
            <v>C6991</v>
          </cell>
          <cell r="AC6237">
            <v>38.814270020000002</v>
          </cell>
          <cell r="AD6237">
            <v>36.32147217</v>
          </cell>
        </row>
        <row r="6238">
          <cell r="L6238" t="str">
            <v>نبية</v>
          </cell>
          <cell r="M6238" t="str">
            <v>C6992</v>
          </cell>
          <cell r="AC6238">
            <v>38.700500490000003</v>
          </cell>
          <cell r="AD6238">
            <v>36.326110839999998</v>
          </cell>
        </row>
        <row r="6239">
          <cell r="L6239" t="str">
            <v>شالي</v>
          </cell>
          <cell r="M6239" t="str">
            <v>C6993</v>
          </cell>
          <cell r="AC6239">
            <v>38.71368408</v>
          </cell>
          <cell r="AD6239">
            <v>36.328918459999997</v>
          </cell>
        </row>
        <row r="6240">
          <cell r="L6240" t="str">
            <v>صران</v>
          </cell>
          <cell r="M6240" t="str">
            <v>C6994</v>
          </cell>
          <cell r="AC6240">
            <v>39.068115229999997</v>
          </cell>
          <cell r="AD6240">
            <v>36.32928467</v>
          </cell>
        </row>
        <row r="6241">
          <cell r="L6241" t="str">
            <v>كلطة</v>
          </cell>
          <cell r="M6241" t="str">
            <v>C6995</v>
          </cell>
          <cell r="AC6241">
            <v>38.975891109999999</v>
          </cell>
          <cell r="AD6241">
            <v>36.32928467</v>
          </cell>
        </row>
        <row r="6242">
          <cell r="L6242" t="str">
            <v>الوقيد</v>
          </cell>
          <cell r="M6242" t="str">
            <v>C6996</v>
          </cell>
          <cell r="AC6242">
            <v>38.652282720000002</v>
          </cell>
          <cell r="AD6242">
            <v>36.329895020000002</v>
          </cell>
        </row>
        <row r="6243">
          <cell r="L6243" t="str">
            <v>الوحيد</v>
          </cell>
          <cell r="M6243" t="str">
            <v>C6997</v>
          </cell>
          <cell r="AC6243">
            <v>38.879699709999997</v>
          </cell>
          <cell r="AD6243">
            <v>36.330505369999997</v>
          </cell>
        </row>
        <row r="6244">
          <cell r="L6244" t="str">
            <v>معين</v>
          </cell>
          <cell r="M6244" t="str">
            <v>C6998</v>
          </cell>
          <cell r="AC6244">
            <v>38.684692380000001</v>
          </cell>
          <cell r="AD6244">
            <v>36.339111330000001</v>
          </cell>
        </row>
        <row r="6245">
          <cell r="L6245" t="str">
            <v>الكشيش</v>
          </cell>
          <cell r="M6245" t="str">
            <v>C6999</v>
          </cell>
          <cell r="AC6245">
            <v>39.068908690000001</v>
          </cell>
          <cell r="AD6245">
            <v>36.349121089999997</v>
          </cell>
        </row>
        <row r="6246">
          <cell r="L6246" t="str">
            <v>مليحان</v>
          </cell>
          <cell r="M6246" t="str">
            <v>C7000</v>
          </cell>
          <cell r="AC6246">
            <v>38.975708009999998</v>
          </cell>
          <cell r="AD6246">
            <v>36.349487310000001</v>
          </cell>
        </row>
        <row r="6247">
          <cell r="L6247" t="str">
            <v>خربة شيخ جدي</v>
          </cell>
          <cell r="M6247" t="str">
            <v>C7001</v>
          </cell>
          <cell r="AC6247">
            <v>38.655517580000001</v>
          </cell>
          <cell r="AD6247">
            <v>36.350708009999998</v>
          </cell>
        </row>
        <row r="6248">
          <cell r="L6248" t="str">
            <v>المستريحة</v>
          </cell>
          <cell r="M6248" t="str">
            <v>C7002</v>
          </cell>
          <cell r="AC6248">
            <v>38.694274900000003</v>
          </cell>
          <cell r="AD6248">
            <v>36.359313970000002</v>
          </cell>
        </row>
        <row r="6249">
          <cell r="L6249" t="str">
            <v>الحضريات</v>
          </cell>
          <cell r="M6249" t="str">
            <v>C7003</v>
          </cell>
          <cell r="AC6249">
            <v>38.969299319999998</v>
          </cell>
          <cell r="AD6249">
            <v>36.363098149999999</v>
          </cell>
        </row>
        <row r="6250">
          <cell r="L6250" t="str">
            <v>غازلي (خلف العيسى البيك)</v>
          </cell>
          <cell r="M6250" t="str">
            <v>C7004</v>
          </cell>
          <cell r="AC6250">
            <v>39.08752441</v>
          </cell>
          <cell r="AD6250">
            <v>36.365722660000003</v>
          </cell>
        </row>
        <row r="6251">
          <cell r="L6251" t="str">
            <v>الحوران</v>
          </cell>
          <cell r="M6251" t="str">
            <v>C7005</v>
          </cell>
          <cell r="AC6251">
            <v>38.731323240000002</v>
          </cell>
          <cell r="AD6251">
            <v>36.366088869999999</v>
          </cell>
        </row>
        <row r="6252">
          <cell r="L6252" t="str">
            <v>المغيرة</v>
          </cell>
          <cell r="M6252" t="str">
            <v>C7006</v>
          </cell>
          <cell r="AC6252">
            <v>38.675109859999999</v>
          </cell>
          <cell r="AD6252">
            <v>36.369079589999998</v>
          </cell>
        </row>
        <row r="6253">
          <cell r="L6253" t="str">
            <v>خربة فليفل</v>
          </cell>
          <cell r="M6253" t="str">
            <v>C7007</v>
          </cell>
          <cell r="AC6253">
            <v>38.823120119999999</v>
          </cell>
          <cell r="AD6253">
            <v>36.373718259999997</v>
          </cell>
        </row>
        <row r="6254">
          <cell r="L6254" t="str">
            <v>سويدان</v>
          </cell>
          <cell r="M6254" t="str">
            <v>C7008</v>
          </cell>
          <cell r="AC6254">
            <v>38.747924810000001</v>
          </cell>
          <cell r="AD6254">
            <v>36.380310059999999</v>
          </cell>
        </row>
        <row r="6255">
          <cell r="L6255" t="str">
            <v>المستورة</v>
          </cell>
          <cell r="M6255" t="str">
            <v>C7009</v>
          </cell>
          <cell r="AC6255">
            <v>38.816284179999997</v>
          </cell>
          <cell r="AD6255">
            <v>36.394897460000003</v>
          </cell>
        </row>
        <row r="6256">
          <cell r="L6256" t="str">
            <v>حويجة</v>
          </cell>
          <cell r="M6256" t="str">
            <v>C7010</v>
          </cell>
          <cell r="AC6256">
            <v>39.08087158</v>
          </cell>
          <cell r="AD6256">
            <v>36.39569092</v>
          </cell>
        </row>
        <row r="6257">
          <cell r="L6257" t="str">
            <v>تل محلط</v>
          </cell>
          <cell r="M6257" t="str">
            <v>C7011</v>
          </cell>
          <cell r="AC6257">
            <v>39.103271479999997</v>
          </cell>
          <cell r="AD6257">
            <v>36.39752197</v>
          </cell>
        </row>
        <row r="6258">
          <cell r="L6258" t="str">
            <v>قنطاري</v>
          </cell>
          <cell r="M6258" t="str">
            <v>C7012</v>
          </cell>
          <cell r="AC6258">
            <v>39.265319820000002</v>
          </cell>
          <cell r="AD6258">
            <v>36.4005127</v>
          </cell>
        </row>
        <row r="6259">
          <cell r="L6259" t="str">
            <v>ام الطابات</v>
          </cell>
          <cell r="M6259" t="str">
            <v>C7013</v>
          </cell>
          <cell r="AC6259">
            <v>38.777709960000003</v>
          </cell>
          <cell r="AD6259">
            <v>36.401672359999999</v>
          </cell>
        </row>
        <row r="6260">
          <cell r="L6260" t="str">
            <v>صيدا</v>
          </cell>
          <cell r="M6260" t="str">
            <v>C7014</v>
          </cell>
          <cell r="AC6260">
            <v>38.864501949999998</v>
          </cell>
          <cell r="AD6260">
            <v>36.401916499999999</v>
          </cell>
        </row>
        <row r="6261">
          <cell r="L6261" t="str">
            <v>جديده</v>
          </cell>
          <cell r="M6261" t="str">
            <v>C7015</v>
          </cell>
          <cell r="AC6261">
            <v>38.831909179999997</v>
          </cell>
          <cell r="AD6261">
            <v>36.403076169999999</v>
          </cell>
        </row>
        <row r="6262">
          <cell r="L6262" t="str">
            <v>مشيرفة</v>
          </cell>
          <cell r="M6262" t="str">
            <v>C7016</v>
          </cell>
          <cell r="AC6262">
            <v>38.893127440000001</v>
          </cell>
          <cell r="AD6262">
            <v>36.408508300000001</v>
          </cell>
        </row>
        <row r="6263">
          <cell r="L6263" t="str">
            <v>الفراج</v>
          </cell>
          <cell r="M6263" t="str">
            <v>C7017</v>
          </cell>
          <cell r="AC6263">
            <v>39.38970947</v>
          </cell>
          <cell r="AD6263">
            <v>36.410095220000002</v>
          </cell>
        </row>
        <row r="6264">
          <cell r="L6264" t="str">
            <v>الخالدية</v>
          </cell>
          <cell r="M6264" t="str">
            <v>C7018</v>
          </cell>
          <cell r="AC6264">
            <v>38.809875490000003</v>
          </cell>
          <cell r="AD6264">
            <v>36.418273929999998</v>
          </cell>
        </row>
        <row r="6265">
          <cell r="L6265" t="str">
            <v>خريجة</v>
          </cell>
          <cell r="M6265" t="str">
            <v>C7019</v>
          </cell>
          <cell r="AC6265">
            <v>38.947875979999999</v>
          </cell>
          <cell r="AD6265">
            <v>36.41888428</v>
          </cell>
        </row>
        <row r="6266">
          <cell r="L6266" t="str">
            <v>المسعودية</v>
          </cell>
          <cell r="M6266" t="str">
            <v>C7020</v>
          </cell>
          <cell r="AC6266">
            <v>39.160888669999999</v>
          </cell>
          <cell r="AD6266">
            <v>36.41912842</v>
          </cell>
        </row>
        <row r="6267">
          <cell r="L6267" t="str">
            <v>خافية</v>
          </cell>
          <cell r="M6267" t="str">
            <v>C7021</v>
          </cell>
          <cell r="AC6267">
            <v>38.892272949999999</v>
          </cell>
          <cell r="AD6267">
            <v>36.422302250000001</v>
          </cell>
        </row>
        <row r="6268">
          <cell r="L6268" t="str">
            <v>تل سكيرو</v>
          </cell>
          <cell r="M6268" t="str">
            <v>C7022</v>
          </cell>
          <cell r="AC6268">
            <v>39.069519040000003</v>
          </cell>
          <cell r="AD6268">
            <v>36.428283690000001</v>
          </cell>
        </row>
        <row r="6269">
          <cell r="L6269" t="str">
            <v>بير عيسى</v>
          </cell>
          <cell r="M6269" t="str">
            <v>C7023</v>
          </cell>
          <cell r="AC6269">
            <v>39.018920899999998</v>
          </cell>
          <cell r="AD6269">
            <v>36.429077149999998</v>
          </cell>
        </row>
        <row r="6270">
          <cell r="L6270" t="str">
            <v>عبدو</v>
          </cell>
          <cell r="M6270" t="str">
            <v>C7024</v>
          </cell>
          <cell r="AC6270">
            <v>38.911682130000003</v>
          </cell>
          <cell r="AD6270">
            <v>36.431884770000003</v>
          </cell>
        </row>
        <row r="6271">
          <cell r="L6271" t="str">
            <v>الحرملة</v>
          </cell>
          <cell r="M6271" t="str">
            <v>C7025</v>
          </cell>
          <cell r="AC6271">
            <v>39.014099119999997</v>
          </cell>
          <cell r="AD6271">
            <v>36.433471679999997</v>
          </cell>
        </row>
        <row r="6272">
          <cell r="L6272" t="str">
            <v>كولاح</v>
          </cell>
          <cell r="M6272" t="str">
            <v>C7026</v>
          </cell>
          <cell r="AC6272">
            <v>38.737304690000002</v>
          </cell>
          <cell r="AD6272">
            <v>36.434692380000001</v>
          </cell>
        </row>
        <row r="6273">
          <cell r="L6273" t="str">
            <v>عطشانه</v>
          </cell>
          <cell r="M6273" t="str">
            <v>C7027</v>
          </cell>
          <cell r="AC6273">
            <v>38.707885740000002</v>
          </cell>
          <cell r="AD6273">
            <v>36.436523440000002</v>
          </cell>
        </row>
        <row r="6274">
          <cell r="L6274" t="str">
            <v>النعسان</v>
          </cell>
          <cell r="M6274" t="str">
            <v>C7028</v>
          </cell>
          <cell r="AC6274">
            <v>39.024902339999997</v>
          </cell>
          <cell r="AD6274">
            <v>36.448120119999999</v>
          </cell>
        </row>
        <row r="6275">
          <cell r="L6275" t="str">
            <v>حبيب الأحمد</v>
          </cell>
          <cell r="M6275" t="str">
            <v>C7029</v>
          </cell>
          <cell r="AC6275">
            <v>39.005676270000002</v>
          </cell>
          <cell r="AD6275">
            <v>36.46069336</v>
          </cell>
        </row>
        <row r="6276">
          <cell r="L6276" t="str">
            <v>سكيرو</v>
          </cell>
          <cell r="M6276" t="str">
            <v>C7030</v>
          </cell>
          <cell r="AC6276">
            <v>39.06549072</v>
          </cell>
          <cell r="AD6276">
            <v>36.461120610000002</v>
          </cell>
        </row>
        <row r="6277">
          <cell r="L6277" t="str">
            <v>معرودة فوقاني</v>
          </cell>
          <cell r="M6277" t="str">
            <v>C7031</v>
          </cell>
          <cell r="AC6277">
            <v>38.991882320000002</v>
          </cell>
          <cell r="AD6277">
            <v>36.461303710000003</v>
          </cell>
        </row>
        <row r="6278">
          <cell r="L6278" t="str">
            <v>بيون</v>
          </cell>
          <cell r="M6278" t="str">
            <v>C7032</v>
          </cell>
          <cell r="AC6278">
            <v>38.910888669999999</v>
          </cell>
          <cell r="AD6278">
            <v>36.46368408</v>
          </cell>
        </row>
        <row r="6279">
          <cell r="L6279" t="str">
            <v>مكسور</v>
          </cell>
          <cell r="M6279" t="str">
            <v>C7033</v>
          </cell>
          <cell r="AC6279">
            <v>38.983276369999999</v>
          </cell>
          <cell r="AD6279">
            <v>36.466674810000001</v>
          </cell>
        </row>
        <row r="6280">
          <cell r="L6280" t="str">
            <v>مكسور وسطى</v>
          </cell>
          <cell r="M6280" t="str">
            <v>C7034</v>
          </cell>
          <cell r="AC6280">
            <v>38.985473630000001</v>
          </cell>
          <cell r="AD6280">
            <v>36.471130369999997</v>
          </cell>
        </row>
        <row r="6281">
          <cell r="L6281" t="str">
            <v>كورمزه وسطى</v>
          </cell>
          <cell r="M6281" t="str">
            <v>C7035</v>
          </cell>
          <cell r="AC6281">
            <v>38.919494630000003</v>
          </cell>
          <cell r="AD6281">
            <v>36.483520509999998</v>
          </cell>
        </row>
        <row r="6282">
          <cell r="L6282" t="str">
            <v>العماير</v>
          </cell>
          <cell r="M6282" t="str">
            <v>C7036</v>
          </cell>
          <cell r="AC6282">
            <v>38.900695800000001</v>
          </cell>
          <cell r="AD6282">
            <v>36.485107419999999</v>
          </cell>
        </row>
        <row r="6283">
          <cell r="L6283" t="str">
            <v>جوتاما</v>
          </cell>
          <cell r="M6283" t="str">
            <v>C7037</v>
          </cell>
          <cell r="AC6283">
            <v>38.889099119999997</v>
          </cell>
          <cell r="AD6283">
            <v>36.485717770000001</v>
          </cell>
        </row>
        <row r="6284">
          <cell r="L6284" t="str">
            <v>كورمزه خلف</v>
          </cell>
          <cell r="M6284" t="str">
            <v>C7038</v>
          </cell>
          <cell r="AC6284">
            <v>38.885314940000001</v>
          </cell>
          <cell r="AD6284">
            <v>36.48712158</v>
          </cell>
        </row>
        <row r="6285">
          <cell r="L6285" t="str">
            <v>تل الحليب</v>
          </cell>
          <cell r="M6285" t="str">
            <v>C7039</v>
          </cell>
          <cell r="AC6285">
            <v>38.916687009999997</v>
          </cell>
          <cell r="AD6285">
            <v>36.491699220000001</v>
          </cell>
        </row>
        <row r="6286">
          <cell r="L6286" t="str">
            <v>صخرة عمر</v>
          </cell>
          <cell r="M6286" t="str">
            <v>C7040</v>
          </cell>
          <cell r="AC6286">
            <v>38.96069336</v>
          </cell>
          <cell r="AD6286">
            <v>36.492492679999998</v>
          </cell>
        </row>
        <row r="6287">
          <cell r="L6287" t="str">
            <v>صخرة مطرود</v>
          </cell>
          <cell r="M6287" t="str">
            <v>C7041</v>
          </cell>
          <cell r="AC6287">
            <v>38.95587158</v>
          </cell>
          <cell r="AD6287">
            <v>36.498107910000002</v>
          </cell>
        </row>
        <row r="6288">
          <cell r="L6288" t="str">
            <v>بوغاز الصغيرة</v>
          </cell>
          <cell r="M6288" t="str">
            <v>C7042</v>
          </cell>
          <cell r="AC6288">
            <v>38.747924810000001</v>
          </cell>
          <cell r="AD6288">
            <v>36.503295899999998</v>
          </cell>
        </row>
        <row r="6289">
          <cell r="L6289" t="str">
            <v>حيمر كبير</v>
          </cell>
          <cell r="M6289" t="str">
            <v>C7043</v>
          </cell>
          <cell r="AC6289">
            <v>38.73712158</v>
          </cell>
          <cell r="AD6289">
            <v>36.507080080000001</v>
          </cell>
        </row>
        <row r="6290">
          <cell r="L6290" t="str">
            <v>بئر حواس</v>
          </cell>
          <cell r="M6290" t="str">
            <v>C7044</v>
          </cell>
          <cell r="AC6290">
            <v>39.257324220000001</v>
          </cell>
          <cell r="AD6290">
            <v>36.509094240000003</v>
          </cell>
        </row>
        <row r="6291">
          <cell r="L6291" t="str">
            <v>شويحان</v>
          </cell>
          <cell r="M6291" t="str">
            <v>C7045</v>
          </cell>
          <cell r="AC6291">
            <v>38.726684570000003</v>
          </cell>
          <cell r="AD6291">
            <v>36.517517089999998</v>
          </cell>
        </row>
        <row r="6292">
          <cell r="L6292" t="str">
            <v>طميش</v>
          </cell>
          <cell r="M6292" t="str">
            <v>C7046</v>
          </cell>
          <cell r="AC6292">
            <v>39.283874509999997</v>
          </cell>
          <cell r="AD6292">
            <v>36.520324709999997</v>
          </cell>
        </row>
        <row r="6293">
          <cell r="L6293" t="str">
            <v>فريحان</v>
          </cell>
          <cell r="M6293" t="str">
            <v>C7047</v>
          </cell>
          <cell r="AC6293">
            <v>38.752685550000002</v>
          </cell>
          <cell r="AD6293">
            <v>36.52227783</v>
          </cell>
        </row>
        <row r="6294">
          <cell r="L6294" t="str">
            <v>عقله الكوشان</v>
          </cell>
          <cell r="M6294" t="str">
            <v>C7048</v>
          </cell>
          <cell r="AC6294">
            <v>38.997070309999998</v>
          </cell>
          <cell r="AD6294">
            <v>36.527893069999998</v>
          </cell>
        </row>
        <row r="6295">
          <cell r="L6295" t="str">
            <v>خربة جاش</v>
          </cell>
          <cell r="M6295" t="str">
            <v>C7049</v>
          </cell>
          <cell r="AC6295">
            <v>38.805480959999997</v>
          </cell>
          <cell r="AD6295">
            <v>36.528686520000001</v>
          </cell>
        </row>
        <row r="6296">
          <cell r="L6296" t="str">
            <v>زنار</v>
          </cell>
          <cell r="M6296" t="str">
            <v>C7050</v>
          </cell>
          <cell r="AC6296">
            <v>38.728271479999997</v>
          </cell>
          <cell r="AD6296">
            <v>36.533874509999997</v>
          </cell>
        </row>
        <row r="6297">
          <cell r="L6297" t="str">
            <v>أم حرمله</v>
          </cell>
          <cell r="M6297" t="str">
            <v>C7051</v>
          </cell>
          <cell r="AC6297">
            <v>38.959899900000003</v>
          </cell>
          <cell r="AD6297">
            <v>36.534728999999999</v>
          </cell>
        </row>
        <row r="6298">
          <cell r="L6298" t="str">
            <v>خربة فارس</v>
          </cell>
          <cell r="M6298" t="str">
            <v>C7052</v>
          </cell>
          <cell r="AC6298">
            <v>38.791076660000002</v>
          </cell>
          <cell r="AD6298">
            <v>36.536499020000001</v>
          </cell>
        </row>
        <row r="6299">
          <cell r="L6299" t="str">
            <v>السعدة</v>
          </cell>
          <cell r="M6299" t="str">
            <v>C7053</v>
          </cell>
          <cell r="AC6299">
            <v>39.315124509999997</v>
          </cell>
          <cell r="AD6299">
            <v>36.538879399999999</v>
          </cell>
        </row>
        <row r="6300">
          <cell r="L6300" t="str">
            <v>الزقوط</v>
          </cell>
          <cell r="M6300" t="str">
            <v>C7054</v>
          </cell>
          <cell r="AC6300">
            <v>39.222717289999999</v>
          </cell>
          <cell r="AD6300">
            <v>36.545471190000001</v>
          </cell>
        </row>
        <row r="6301">
          <cell r="L6301" t="str">
            <v>فريحان برابرة</v>
          </cell>
          <cell r="M6301" t="str">
            <v>C7055</v>
          </cell>
          <cell r="AC6301">
            <v>38.89611816</v>
          </cell>
          <cell r="AD6301">
            <v>36.558105470000001</v>
          </cell>
        </row>
        <row r="6302">
          <cell r="L6302" t="str">
            <v>واسطة</v>
          </cell>
          <cell r="M6302" t="str">
            <v>C7056</v>
          </cell>
          <cell r="AC6302">
            <v>38.790527339999997</v>
          </cell>
          <cell r="AD6302">
            <v>36.56872559</v>
          </cell>
        </row>
        <row r="6303">
          <cell r="L6303" t="str">
            <v>ضبعة</v>
          </cell>
          <cell r="M6303" t="str">
            <v>C7057</v>
          </cell>
          <cell r="AC6303">
            <v>38.845703129999997</v>
          </cell>
          <cell r="AD6303">
            <v>36.573120119999999</v>
          </cell>
        </row>
        <row r="6304">
          <cell r="L6304" t="str">
            <v>كركاحية</v>
          </cell>
          <cell r="M6304" t="str">
            <v>C7058</v>
          </cell>
          <cell r="AC6304">
            <v>38.77368164</v>
          </cell>
          <cell r="AD6304">
            <v>36.573913570000002</v>
          </cell>
        </row>
        <row r="6305">
          <cell r="L6305" t="str">
            <v>الكون</v>
          </cell>
          <cell r="M6305" t="str">
            <v>C7059</v>
          </cell>
          <cell r="AC6305">
            <v>38.927673339999998</v>
          </cell>
          <cell r="AD6305">
            <v>36.575500490000003</v>
          </cell>
        </row>
        <row r="6306">
          <cell r="L6306" t="str">
            <v>دوغانية</v>
          </cell>
          <cell r="M6306" t="str">
            <v>C7060</v>
          </cell>
          <cell r="AC6306">
            <v>39.011108399999998</v>
          </cell>
          <cell r="AD6306">
            <v>36.576721190000001</v>
          </cell>
        </row>
        <row r="6307">
          <cell r="L6307" t="str">
            <v>ام تنيكة</v>
          </cell>
          <cell r="M6307" t="str">
            <v>C7061</v>
          </cell>
          <cell r="AC6307">
            <v>39.323120119999999</v>
          </cell>
          <cell r="AD6307">
            <v>36.577514649999998</v>
          </cell>
        </row>
        <row r="6308">
          <cell r="L6308" t="str">
            <v>بير مليحان</v>
          </cell>
          <cell r="M6308" t="str">
            <v>C7062</v>
          </cell>
          <cell r="AC6308">
            <v>39.191284179999997</v>
          </cell>
          <cell r="AD6308">
            <v>36.578125</v>
          </cell>
        </row>
        <row r="6309">
          <cell r="L6309" t="str">
            <v>الحساني</v>
          </cell>
          <cell r="M6309" t="str">
            <v>C7063</v>
          </cell>
          <cell r="AC6309">
            <v>39.337890629999997</v>
          </cell>
          <cell r="AD6309">
            <v>36.584289550000001</v>
          </cell>
        </row>
        <row r="6310">
          <cell r="L6310" t="str">
            <v>ام حيايا</v>
          </cell>
          <cell r="M6310" t="str">
            <v>C7064</v>
          </cell>
          <cell r="AC6310">
            <v>39.498718259999997</v>
          </cell>
          <cell r="AD6310">
            <v>36.586120610000002</v>
          </cell>
        </row>
        <row r="6311">
          <cell r="L6311" t="str">
            <v>مالوطيا</v>
          </cell>
          <cell r="M6311" t="str">
            <v>C7065</v>
          </cell>
          <cell r="AC6311">
            <v>38.877502440000001</v>
          </cell>
          <cell r="AD6311">
            <v>36.586730959999997</v>
          </cell>
        </row>
        <row r="6312">
          <cell r="L6312" t="str">
            <v>الرز</v>
          </cell>
          <cell r="M6312" t="str">
            <v>C7066</v>
          </cell>
          <cell r="AC6312">
            <v>38.981079100000002</v>
          </cell>
          <cell r="AD6312">
            <v>36.589477539999997</v>
          </cell>
        </row>
        <row r="6313">
          <cell r="L6313" t="str">
            <v>ام غوير</v>
          </cell>
          <cell r="M6313" t="str">
            <v>C7067</v>
          </cell>
          <cell r="AC6313">
            <v>38.907897949999999</v>
          </cell>
          <cell r="AD6313">
            <v>36.590881349999997</v>
          </cell>
        </row>
        <row r="6314">
          <cell r="L6314" t="str">
            <v>رجوبا</v>
          </cell>
          <cell r="M6314" t="str">
            <v>C7068</v>
          </cell>
          <cell r="AC6314">
            <v>39.171508789999997</v>
          </cell>
          <cell r="AD6314">
            <v>36.591674810000001</v>
          </cell>
        </row>
        <row r="6315">
          <cell r="L6315" t="str">
            <v>البوز</v>
          </cell>
          <cell r="M6315" t="str">
            <v>C7069</v>
          </cell>
          <cell r="AC6315">
            <v>38.983093259999997</v>
          </cell>
          <cell r="AD6315">
            <v>36.592529300000002</v>
          </cell>
        </row>
        <row r="6316">
          <cell r="L6316" t="str">
            <v>الكلته</v>
          </cell>
          <cell r="M6316" t="str">
            <v>C7070</v>
          </cell>
          <cell r="AC6316">
            <v>38.877502440000001</v>
          </cell>
          <cell r="AD6316">
            <v>36.592529300000002</v>
          </cell>
        </row>
        <row r="6317">
          <cell r="L6317" t="str">
            <v>مليحان</v>
          </cell>
          <cell r="M6317" t="str">
            <v>C7071</v>
          </cell>
          <cell r="AC6317">
            <v>39.183105470000001</v>
          </cell>
          <cell r="AD6317">
            <v>36.593322749999999</v>
          </cell>
        </row>
        <row r="6318">
          <cell r="L6318" t="str">
            <v>رستم مصطفى</v>
          </cell>
          <cell r="M6318" t="str">
            <v>C7072</v>
          </cell>
          <cell r="AC6318">
            <v>39.060119630000003</v>
          </cell>
          <cell r="AD6318">
            <v>36.593322749999999</v>
          </cell>
        </row>
        <row r="6319">
          <cell r="L6319" t="str">
            <v>قاهرة</v>
          </cell>
          <cell r="M6319" t="str">
            <v>C7073</v>
          </cell>
          <cell r="AC6319">
            <v>39.085327149999998</v>
          </cell>
          <cell r="AD6319">
            <v>36.59350586</v>
          </cell>
        </row>
        <row r="6320">
          <cell r="L6320" t="str">
            <v>شريعان</v>
          </cell>
          <cell r="M6320" t="str">
            <v>C7075</v>
          </cell>
          <cell r="AC6320">
            <v>38.995300290000003</v>
          </cell>
          <cell r="AD6320">
            <v>36.596130369999997</v>
          </cell>
        </row>
        <row r="6321">
          <cell r="L6321" t="str">
            <v>الماغات</v>
          </cell>
          <cell r="M6321" t="str">
            <v>C7076</v>
          </cell>
          <cell r="AC6321">
            <v>39.115722660000003</v>
          </cell>
          <cell r="AD6321">
            <v>36.597290039999997</v>
          </cell>
        </row>
        <row r="6322">
          <cell r="L6322" t="str">
            <v>جاموس</v>
          </cell>
          <cell r="M6322" t="str">
            <v>C7077</v>
          </cell>
          <cell r="AC6322">
            <v>39.279296879999997</v>
          </cell>
          <cell r="AD6322">
            <v>36.597290039999997</v>
          </cell>
        </row>
        <row r="6323">
          <cell r="L6323" t="str">
            <v>رسم الغزال</v>
          </cell>
          <cell r="M6323" t="str">
            <v>C7078</v>
          </cell>
          <cell r="AC6323">
            <v>38.916687009999997</v>
          </cell>
          <cell r="AD6323">
            <v>36.600097660000003</v>
          </cell>
        </row>
        <row r="6324">
          <cell r="L6324" t="str">
            <v>الرجم</v>
          </cell>
          <cell r="M6324" t="str">
            <v>C7079</v>
          </cell>
          <cell r="AC6324">
            <v>38.938903809999999</v>
          </cell>
          <cell r="AD6324">
            <v>36.600891109999999</v>
          </cell>
        </row>
        <row r="6325">
          <cell r="L6325" t="str">
            <v>ام حرملة</v>
          </cell>
          <cell r="M6325" t="str">
            <v>C7080</v>
          </cell>
          <cell r="AC6325">
            <v>39.221313479999999</v>
          </cell>
          <cell r="AD6325">
            <v>36.601074220000001</v>
          </cell>
        </row>
        <row r="6326">
          <cell r="L6326" t="str">
            <v>الجرين</v>
          </cell>
          <cell r="M6326" t="str">
            <v>C7081</v>
          </cell>
          <cell r="AC6326">
            <v>39.150085449999999</v>
          </cell>
          <cell r="AD6326">
            <v>36.601074220000001</v>
          </cell>
        </row>
        <row r="6327">
          <cell r="L6327" t="str">
            <v>سوادية</v>
          </cell>
          <cell r="M6327" t="str">
            <v>C7082</v>
          </cell>
          <cell r="AC6327">
            <v>39.344482419999999</v>
          </cell>
          <cell r="AD6327">
            <v>36.608886720000001</v>
          </cell>
        </row>
        <row r="6328">
          <cell r="L6328" t="str">
            <v>بير شملي</v>
          </cell>
          <cell r="M6328" t="str">
            <v>C7083</v>
          </cell>
          <cell r="AC6328">
            <v>39.065673830000001</v>
          </cell>
          <cell r="AD6328">
            <v>36.609313970000002</v>
          </cell>
        </row>
        <row r="6329">
          <cell r="L6329" t="str">
            <v>سويدية</v>
          </cell>
          <cell r="M6329" t="str">
            <v>C7084</v>
          </cell>
          <cell r="AC6329">
            <v>39.301086429999998</v>
          </cell>
          <cell r="AD6329">
            <v>36.614929199999999</v>
          </cell>
        </row>
        <row r="6330">
          <cell r="L6330" t="str">
            <v>خريجة ترودين</v>
          </cell>
          <cell r="M6330" t="str">
            <v>C7085</v>
          </cell>
          <cell r="AC6330">
            <v>39.167114259999998</v>
          </cell>
          <cell r="AD6330">
            <v>36.61950684</v>
          </cell>
        </row>
        <row r="6331">
          <cell r="L6331" t="str">
            <v>تل عبدالله</v>
          </cell>
          <cell r="M6331" t="str">
            <v>C7086</v>
          </cell>
          <cell r="AC6331">
            <v>39.210510249999999</v>
          </cell>
          <cell r="AD6331">
            <v>36.620483399999998</v>
          </cell>
        </row>
        <row r="6332">
          <cell r="L6332" t="str">
            <v>الختوم</v>
          </cell>
          <cell r="M6332" t="str">
            <v>C7087</v>
          </cell>
          <cell r="AC6332">
            <v>39.326110839999998</v>
          </cell>
          <cell r="AD6332">
            <v>36.622070309999998</v>
          </cell>
        </row>
        <row r="6333">
          <cell r="L6333" t="str">
            <v>الطاهر</v>
          </cell>
          <cell r="M6333" t="str">
            <v>C7088</v>
          </cell>
          <cell r="AC6333">
            <v>39.181884770000003</v>
          </cell>
          <cell r="AD6333">
            <v>36.622314449999998</v>
          </cell>
        </row>
        <row r="6334">
          <cell r="L6334" t="str">
            <v>بير عفلة</v>
          </cell>
          <cell r="M6334" t="str">
            <v>C7089</v>
          </cell>
          <cell r="AC6334">
            <v>39.370727539999997</v>
          </cell>
          <cell r="AD6334">
            <v>36.626525880000003</v>
          </cell>
        </row>
        <row r="6335">
          <cell r="L6335" t="str">
            <v>حسنة الشرقية</v>
          </cell>
          <cell r="M6335" t="str">
            <v>C7090</v>
          </cell>
          <cell r="AC6335">
            <v>39.290283199999998</v>
          </cell>
          <cell r="AD6335">
            <v>36.630676270000002</v>
          </cell>
        </row>
        <row r="6336">
          <cell r="L6336" t="str">
            <v>حسنة الغربية</v>
          </cell>
          <cell r="M6336" t="str">
            <v>C7091</v>
          </cell>
          <cell r="AC6336">
            <v>39.27227783</v>
          </cell>
          <cell r="AD6336">
            <v>36.632080080000001</v>
          </cell>
        </row>
        <row r="6337">
          <cell r="L6337" t="str">
            <v>رجم مزعل</v>
          </cell>
          <cell r="M6337" t="str">
            <v>C7092</v>
          </cell>
          <cell r="AC6337">
            <v>39.404296879999997</v>
          </cell>
          <cell r="AD6337">
            <v>36.632324220000001</v>
          </cell>
        </row>
        <row r="6338">
          <cell r="L6338" t="str">
            <v>تنوزة</v>
          </cell>
          <cell r="M6338" t="str">
            <v>C7093</v>
          </cell>
          <cell r="AC6338">
            <v>38.856872559999999</v>
          </cell>
          <cell r="AD6338">
            <v>36.64868164</v>
          </cell>
        </row>
        <row r="6339">
          <cell r="L6339" t="str">
            <v>طاش باش</v>
          </cell>
          <cell r="M6339" t="str">
            <v>C7094</v>
          </cell>
          <cell r="AC6339">
            <v>38.965271000000001</v>
          </cell>
          <cell r="AD6339">
            <v>36.649902339999997</v>
          </cell>
        </row>
        <row r="6340">
          <cell r="L6340" t="str">
            <v>جدلة</v>
          </cell>
          <cell r="M6340" t="str">
            <v>C7095</v>
          </cell>
          <cell r="AC6340">
            <v>38.946105959999997</v>
          </cell>
          <cell r="AD6340">
            <v>36.659728999999999</v>
          </cell>
        </row>
        <row r="6341">
          <cell r="L6341" t="str">
            <v>ام زيوف</v>
          </cell>
          <cell r="M6341" t="str">
            <v>C7096</v>
          </cell>
          <cell r="AC6341">
            <v>39.314514160000002</v>
          </cell>
          <cell r="AD6341">
            <v>36.662109379999997</v>
          </cell>
        </row>
        <row r="6342">
          <cell r="L6342" t="str">
            <v>بير شويلان</v>
          </cell>
          <cell r="M6342" t="str">
            <v>C7097</v>
          </cell>
          <cell r="AC6342">
            <v>39.376525880000003</v>
          </cell>
          <cell r="AD6342">
            <v>36.662719729999999</v>
          </cell>
        </row>
        <row r="6343">
          <cell r="L6343" t="str">
            <v>حشيشة</v>
          </cell>
          <cell r="M6343" t="str">
            <v>C7098</v>
          </cell>
          <cell r="AC6343">
            <v>39.330078129999997</v>
          </cell>
          <cell r="AD6343">
            <v>36.67028809</v>
          </cell>
        </row>
        <row r="6344">
          <cell r="L6344" t="str">
            <v>رفح</v>
          </cell>
          <cell r="M6344" t="str">
            <v>C7099</v>
          </cell>
          <cell r="AC6344">
            <v>39.14428711</v>
          </cell>
          <cell r="AD6344">
            <v>36.671081540000003</v>
          </cell>
        </row>
        <row r="6345">
          <cell r="L6345" t="str">
            <v>ابو كابر</v>
          </cell>
          <cell r="M6345" t="str">
            <v>C7100</v>
          </cell>
          <cell r="AC6345">
            <v>39.026489259999998</v>
          </cell>
          <cell r="AD6345">
            <v>36.67852783</v>
          </cell>
        </row>
        <row r="6346">
          <cell r="L6346" t="str">
            <v>أبو قبر</v>
          </cell>
          <cell r="M6346" t="str">
            <v>C7101</v>
          </cell>
          <cell r="AC6346">
            <v>39.106506349999997</v>
          </cell>
          <cell r="AD6346">
            <v>36.681091309999999</v>
          </cell>
        </row>
        <row r="6347">
          <cell r="L6347" t="str">
            <v>مشرفه العزو</v>
          </cell>
          <cell r="M6347" t="str">
            <v>C7102</v>
          </cell>
          <cell r="AC6347">
            <v>39.121276860000002</v>
          </cell>
          <cell r="AD6347">
            <v>36.68127441</v>
          </cell>
        </row>
        <row r="6348">
          <cell r="L6348" t="str">
            <v>العيساوي</v>
          </cell>
          <cell r="M6348" t="str">
            <v>C7103</v>
          </cell>
          <cell r="AC6348">
            <v>39.055725099999997</v>
          </cell>
          <cell r="AD6348">
            <v>36.688720699999998</v>
          </cell>
        </row>
        <row r="6349">
          <cell r="L6349" t="str">
            <v>تل نصيف</v>
          </cell>
          <cell r="M6349" t="str">
            <v>C7104</v>
          </cell>
          <cell r="AC6349">
            <v>39.492492679999998</v>
          </cell>
          <cell r="AD6349">
            <v>36.691528320000003</v>
          </cell>
        </row>
        <row r="6350">
          <cell r="L6350" t="str">
            <v>اغباش</v>
          </cell>
          <cell r="M6350" t="str">
            <v>C7105</v>
          </cell>
          <cell r="AC6350">
            <v>38.6875</v>
          </cell>
          <cell r="AD6350">
            <v>36.729675290000003</v>
          </cell>
        </row>
        <row r="6351">
          <cell r="L6351" t="str">
            <v>بزديك</v>
          </cell>
          <cell r="M6351" t="str">
            <v>C7106</v>
          </cell>
          <cell r="AC6351">
            <v>38.660095220000002</v>
          </cell>
          <cell r="AD6351">
            <v>36.735473630000001</v>
          </cell>
        </row>
        <row r="6352">
          <cell r="L6352" t="str">
            <v>كلتاب</v>
          </cell>
          <cell r="M6352" t="str">
            <v>C7107</v>
          </cell>
          <cell r="AC6352">
            <v>38.658508300000001</v>
          </cell>
          <cell r="AD6352">
            <v>36.75390625</v>
          </cell>
        </row>
        <row r="6353">
          <cell r="L6353" t="str">
            <v>تل مجدع</v>
          </cell>
          <cell r="M6353" t="str">
            <v>C7108</v>
          </cell>
          <cell r="AC6353">
            <v>36.881286619999997</v>
          </cell>
          <cell r="AD6353">
            <v>32.514892580000001</v>
          </cell>
        </row>
        <row r="6354">
          <cell r="L6354" t="str">
            <v>الاشعري</v>
          </cell>
          <cell r="M6354" t="str">
            <v>C7109</v>
          </cell>
          <cell r="AC6354">
            <v>36.026672359999999</v>
          </cell>
          <cell r="AD6354">
            <v>32.763916020000003</v>
          </cell>
        </row>
        <row r="6355">
          <cell r="L6355" t="str">
            <v>خربة الدياث</v>
          </cell>
          <cell r="M6355" t="str">
            <v>C7110</v>
          </cell>
          <cell r="AC6355">
            <v>36.856323240000002</v>
          </cell>
          <cell r="AD6355">
            <v>32.784301759999998</v>
          </cell>
        </row>
        <row r="6356">
          <cell r="L6356" t="str">
            <v>الجعيلة</v>
          </cell>
          <cell r="M6356" t="str">
            <v>C7112</v>
          </cell>
          <cell r="AC6356">
            <v>36.101074220000001</v>
          </cell>
          <cell r="AD6356">
            <v>32.813903809999999</v>
          </cell>
        </row>
        <row r="6357">
          <cell r="L6357" t="str">
            <v>خربة الكوكلية</v>
          </cell>
          <cell r="M6357" t="str">
            <v>C7113</v>
          </cell>
          <cell r="AC6357">
            <v>35.859313970000002</v>
          </cell>
          <cell r="AD6357">
            <v>32.842102050000001</v>
          </cell>
        </row>
        <row r="6358">
          <cell r="L6358" t="str">
            <v>الشيخ حسين</v>
          </cell>
          <cell r="M6358" t="str">
            <v>C7114</v>
          </cell>
          <cell r="AC6358">
            <v>35.914123539999999</v>
          </cell>
          <cell r="AD6358">
            <v>32.848083500000001</v>
          </cell>
        </row>
        <row r="6359">
          <cell r="L6359" t="str">
            <v>عين القاضي</v>
          </cell>
          <cell r="M6359" t="str">
            <v>C7115</v>
          </cell>
          <cell r="AC6359">
            <v>35.873901369999999</v>
          </cell>
          <cell r="AD6359">
            <v>32.882690429999997</v>
          </cell>
        </row>
        <row r="6360">
          <cell r="L6360" t="str">
            <v>عين زبدة</v>
          </cell>
          <cell r="M6360" t="str">
            <v>C7116</v>
          </cell>
          <cell r="AC6360">
            <v>35.900695800000001</v>
          </cell>
          <cell r="AD6360">
            <v>32.893310550000002</v>
          </cell>
        </row>
        <row r="6361">
          <cell r="L6361" t="str">
            <v>التينة</v>
          </cell>
          <cell r="M6361" t="str">
            <v>C7117</v>
          </cell>
          <cell r="AC6361">
            <v>36.24310303</v>
          </cell>
          <cell r="AD6361">
            <v>32.921508789999997</v>
          </cell>
        </row>
        <row r="6362">
          <cell r="L6362" t="str">
            <v>العبدلي</v>
          </cell>
          <cell r="M6362" t="str">
            <v>C7118</v>
          </cell>
          <cell r="AC6362">
            <v>35.921325680000002</v>
          </cell>
          <cell r="AD6362">
            <v>32.936096190000001</v>
          </cell>
        </row>
        <row r="6363">
          <cell r="L6363" t="str">
            <v>الشياح اللجاة</v>
          </cell>
          <cell r="M6363" t="str">
            <v>C7119</v>
          </cell>
          <cell r="AC6363">
            <v>36.391113279999999</v>
          </cell>
          <cell r="AD6363">
            <v>32.978088380000003</v>
          </cell>
        </row>
        <row r="6364">
          <cell r="L6364" t="str">
            <v>خربة المند</v>
          </cell>
          <cell r="M6364" t="str">
            <v>C7120</v>
          </cell>
          <cell r="AC6364">
            <v>36.360900880000003</v>
          </cell>
          <cell r="AD6364">
            <v>32.993286130000001</v>
          </cell>
        </row>
        <row r="6365">
          <cell r="L6365" t="str">
            <v>البلانة</v>
          </cell>
          <cell r="M6365" t="str">
            <v>C7121</v>
          </cell>
          <cell r="AC6365">
            <v>36.307128910000003</v>
          </cell>
          <cell r="AD6365">
            <v>32.994873050000002</v>
          </cell>
        </row>
        <row r="6366">
          <cell r="L6366" t="str">
            <v>زبيدة شرقية</v>
          </cell>
          <cell r="M6366" t="str">
            <v>C7122</v>
          </cell>
          <cell r="AC6366">
            <v>35.893676759999998</v>
          </cell>
          <cell r="AD6366">
            <v>33.078918459999997</v>
          </cell>
        </row>
        <row r="6367">
          <cell r="L6367" t="str">
            <v>شولي</v>
          </cell>
          <cell r="M6367" t="str">
            <v>C7123</v>
          </cell>
          <cell r="AC6367">
            <v>35.850280759999997</v>
          </cell>
          <cell r="AD6367">
            <v>33.111328129999997</v>
          </cell>
        </row>
        <row r="6368">
          <cell r="L6368" t="str">
            <v>المشرفة</v>
          </cell>
          <cell r="M6368" t="str">
            <v>C7124</v>
          </cell>
          <cell r="AC6368">
            <v>36.504699709999997</v>
          </cell>
          <cell r="AD6368">
            <v>33.18450928</v>
          </cell>
        </row>
        <row r="6369">
          <cell r="L6369" t="str">
            <v>السنديانة</v>
          </cell>
          <cell r="M6369" t="str">
            <v>C7125</v>
          </cell>
          <cell r="AC6369">
            <v>35.936889649999998</v>
          </cell>
          <cell r="AD6369">
            <v>33.195495610000002</v>
          </cell>
        </row>
        <row r="6370">
          <cell r="L6370" t="str">
            <v>كوم الويبسة</v>
          </cell>
          <cell r="M6370" t="str">
            <v>C7126</v>
          </cell>
          <cell r="AC6370">
            <v>35.926330569999998</v>
          </cell>
          <cell r="AD6370">
            <v>33.211120610000002</v>
          </cell>
        </row>
        <row r="6371">
          <cell r="L6371" t="str">
            <v>العثمانية</v>
          </cell>
          <cell r="M6371" t="str">
            <v>C7127</v>
          </cell>
          <cell r="AC6371">
            <v>35.989318849999997</v>
          </cell>
          <cell r="AD6371">
            <v>33.21508789</v>
          </cell>
        </row>
        <row r="6372">
          <cell r="L6372" t="str">
            <v>المازنية</v>
          </cell>
          <cell r="M6372" t="str">
            <v>C7128</v>
          </cell>
          <cell r="AC6372">
            <v>36.183471679999997</v>
          </cell>
          <cell r="AD6372">
            <v>33.279479979999998</v>
          </cell>
        </row>
        <row r="6373">
          <cell r="L6373" t="str">
            <v>الخزرجية</v>
          </cell>
          <cell r="M6373" t="str">
            <v>C7129</v>
          </cell>
          <cell r="AC6373">
            <v>35.99768066</v>
          </cell>
          <cell r="AD6373">
            <v>33.281311039999999</v>
          </cell>
        </row>
        <row r="6374">
          <cell r="L6374" t="str">
            <v>المجدية</v>
          </cell>
          <cell r="M6374" t="str">
            <v>C7130</v>
          </cell>
          <cell r="AC6374">
            <v>36.285888669999999</v>
          </cell>
          <cell r="AD6374">
            <v>33.296691899999999</v>
          </cell>
        </row>
        <row r="6375">
          <cell r="L6375" t="str">
            <v>الظهر الاسود</v>
          </cell>
          <cell r="M6375" t="str">
            <v>C7131</v>
          </cell>
          <cell r="AC6375">
            <v>35.979125979999999</v>
          </cell>
          <cell r="AD6375">
            <v>33.310485839999998</v>
          </cell>
        </row>
        <row r="6376">
          <cell r="L6376" t="str">
            <v>ارض الطاحون</v>
          </cell>
          <cell r="M6376" t="str">
            <v>C7132</v>
          </cell>
          <cell r="AC6376">
            <v>36.500488279999999</v>
          </cell>
          <cell r="AD6376">
            <v>33.44689941</v>
          </cell>
        </row>
        <row r="6377">
          <cell r="L6377" t="str">
            <v>خبرة زرقا</v>
          </cell>
          <cell r="M6377" t="str">
            <v>C7133</v>
          </cell>
          <cell r="AC6377">
            <v>38.289916990000002</v>
          </cell>
          <cell r="AD6377">
            <v>33.45428467</v>
          </cell>
        </row>
        <row r="6378">
          <cell r="L6378" t="str">
            <v>كنتارا</v>
          </cell>
          <cell r="M6378" t="str">
            <v>C7134</v>
          </cell>
          <cell r="AC6378">
            <v>36.441711429999998</v>
          </cell>
          <cell r="AD6378">
            <v>33.475708009999998</v>
          </cell>
        </row>
        <row r="6379">
          <cell r="L6379" t="str">
            <v>روان</v>
          </cell>
          <cell r="M6379" t="str">
            <v>C7135</v>
          </cell>
          <cell r="AC6379">
            <v>36.474487310000001</v>
          </cell>
          <cell r="AD6379">
            <v>33.47631836</v>
          </cell>
        </row>
        <row r="6380">
          <cell r="L6380" t="str">
            <v>حوش الخانم</v>
          </cell>
          <cell r="M6380" t="str">
            <v>C7136</v>
          </cell>
          <cell r="AC6380">
            <v>36.475097660000003</v>
          </cell>
          <cell r="AD6380">
            <v>33.527526860000002</v>
          </cell>
        </row>
        <row r="6381">
          <cell r="L6381" t="str">
            <v>الصيفرية</v>
          </cell>
          <cell r="M6381" t="str">
            <v>C7137</v>
          </cell>
          <cell r="AC6381">
            <v>36.523071289999997</v>
          </cell>
          <cell r="AD6381">
            <v>33.58868408</v>
          </cell>
        </row>
        <row r="6382">
          <cell r="L6382" t="str">
            <v>عدرا الجديدة</v>
          </cell>
          <cell r="M6382" t="str">
            <v>C7138</v>
          </cell>
          <cell r="AC6382">
            <v>36.484680179999998</v>
          </cell>
          <cell r="AD6382">
            <v>33.608703609999999</v>
          </cell>
        </row>
        <row r="6383">
          <cell r="L6383" t="str">
            <v>درة</v>
          </cell>
          <cell r="M6383" t="str">
            <v>C7139</v>
          </cell>
          <cell r="AC6383">
            <v>36.246276860000002</v>
          </cell>
          <cell r="AD6383">
            <v>33.838073729999998</v>
          </cell>
        </row>
        <row r="6384">
          <cell r="L6384" t="str">
            <v>الهباري</v>
          </cell>
          <cell r="M6384" t="str">
            <v>C7140</v>
          </cell>
          <cell r="AC6384">
            <v>38.836730959999997</v>
          </cell>
          <cell r="AD6384">
            <v>34.165527339999997</v>
          </cell>
        </row>
        <row r="6385">
          <cell r="L6385" t="str">
            <v>خنيفيس</v>
          </cell>
          <cell r="M6385" t="str">
            <v>C7141</v>
          </cell>
          <cell r="AC6385">
            <v>37.810119630000003</v>
          </cell>
          <cell r="AD6385">
            <v>34.23669434</v>
          </cell>
        </row>
        <row r="6386">
          <cell r="L6386" t="str">
            <v>بير الضليعية</v>
          </cell>
          <cell r="M6386" t="str">
            <v>C7142</v>
          </cell>
          <cell r="AC6386">
            <v>39.567077640000001</v>
          </cell>
          <cell r="AD6386">
            <v>34.442077640000001</v>
          </cell>
        </row>
        <row r="6387">
          <cell r="L6387" t="str">
            <v>التليلة</v>
          </cell>
          <cell r="M6387" t="str">
            <v>C7143</v>
          </cell>
          <cell r="AC6387">
            <v>38.498474119999997</v>
          </cell>
          <cell r="AD6387">
            <v>34.467712400000003</v>
          </cell>
        </row>
        <row r="6388">
          <cell r="L6388" t="str">
            <v>العامرية تدمر</v>
          </cell>
          <cell r="M6388" t="str">
            <v>C7144</v>
          </cell>
          <cell r="AC6388">
            <v>38.288330080000001</v>
          </cell>
          <cell r="AD6388">
            <v>34.588317869999997</v>
          </cell>
        </row>
        <row r="6389">
          <cell r="L6389" t="str">
            <v>الصرايم</v>
          </cell>
          <cell r="M6389" t="str">
            <v>C7145</v>
          </cell>
          <cell r="AC6389">
            <v>39.587890629999997</v>
          </cell>
          <cell r="AD6389">
            <v>34.630920410000002</v>
          </cell>
        </row>
        <row r="6390">
          <cell r="L6390" t="str">
            <v>حوش عرندس</v>
          </cell>
          <cell r="M6390" t="str">
            <v>C7146</v>
          </cell>
          <cell r="AC6390">
            <v>36.896484379999997</v>
          </cell>
          <cell r="AD6390">
            <v>34.64727783</v>
          </cell>
        </row>
        <row r="6391">
          <cell r="L6391" t="str">
            <v>جحار</v>
          </cell>
          <cell r="M6391" t="str">
            <v>C7147</v>
          </cell>
          <cell r="AC6391">
            <v>37.815673830000001</v>
          </cell>
          <cell r="AD6391">
            <v>34.673889160000002</v>
          </cell>
        </row>
        <row r="6392">
          <cell r="L6392" t="str">
            <v>ضبعة المللي</v>
          </cell>
          <cell r="M6392" t="str">
            <v>C7148</v>
          </cell>
          <cell r="AC6392">
            <v>37.27069092</v>
          </cell>
          <cell r="AD6392">
            <v>34.677124020000001</v>
          </cell>
        </row>
        <row r="6393">
          <cell r="L6393" t="str">
            <v>طلعة الشرقية</v>
          </cell>
          <cell r="M6393" t="str">
            <v>C7149</v>
          </cell>
          <cell r="AC6393">
            <v>37.33752441</v>
          </cell>
          <cell r="AD6393">
            <v>34.681518560000001</v>
          </cell>
        </row>
        <row r="6394">
          <cell r="L6394" t="str">
            <v>دنحة</v>
          </cell>
          <cell r="M6394" t="str">
            <v>C7150</v>
          </cell>
          <cell r="AC6394">
            <v>36.571105959999997</v>
          </cell>
          <cell r="AD6394">
            <v>34.69689941</v>
          </cell>
        </row>
        <row r="6395">
          <cell r="L6395" t="str">
            <v>غنيمان</v>
          </cell>
          <cell r="M6395" t="str">
            <v>C7151</v>
          </cell>
          <cell r="AC6395">
            <v>37.582519529999999</v>
          </cell>
          <cell r="AD6395">
            <v>34.736877440000001</v>
          </cell>
        </row>
        <row r="6396">
          <cell r="L6396" t="str">
            <v>الوهابية</v>
          </cell>
          <cell r="M6396" t="str">
            <v>C7152</v>
          </cell>
          <cell r="AC6396">
            <v>37.529113770000002</v>
          </cell>
          <cell r="AD6396">
            <v>34.745300290000003</v>
          </cell>
        </row>
        <row r="6397">
          <cell r="L6397" t="str">
            <v>زغروتية</v>
          </cell>
          <cell r="M6397" t="str">
            <v>C7153</v>
          </cell>
          <cell r="AC6397">
            <v>37.464111330000001</v>
          </cell>
          <cell r="AD6397">
            <v>34.751525880000003</v>
          </cell>
        </row>
        <row r="6398">
          <cell r="L6398" t="str">
            <v>حليحلة</v>
          </cell>
          <cell r="M6398" t="str">
            <v>C7154</v>
          </cell>
          <cell r="AC6398">
            <v>38.752685550000002</v>
          </cell>
          <cell r="AD6398">
            <v>34.764282229999999</v>
          </cell>
        </row>
        <row r="6399">
          <cell r="L6399" t="str">
            <v>فاو شاويش</v>
          </cell>
          <cell r="M6399" t="str">
            <v>C7155</v>
          </cell>
          <cell r="AC6399">
            <v>37.311706540000003</v>
          </cell>
          <cell r="AD6399">
            <v>34.765930179999998</v>
          </cell>
        </row>
        <row r="6400">
          <cell r="L6400" t="str">
            <v>تل مرمد</v>
          </cell>
          <cell r="M6400" t="str">
            <v>C7156</v>
          </cell>
          <cell r="AC6400">
            <v>36.776916499999999</v>
          </cell>
          <cell r="AD6400">
            <v>34.766479490000002</v>
          </cell>
        </row>
        <row r="6401">
          <cell r="L6401" t="str">
            <v>ام تين المعلق</v>
          </cell>
          <cell r="M6401" t="str">
            <v>C7157</v>
          </cell>
          <cell r="AC6401">
            <v>37.498291020000003</v>
          </cell>
          <cell r="AD6401">
            <v>34.796325680000002</v>
          </cell>
        </row>
        <row r="6402">
          <cell r="L6402" t="str">
            <v>ملوك</v>
          </cell>
          <cell r="M6402" t="str">
            <v>C7158</v>
          </cell>
          <cell r="AC6402">
            <v>36.727905270000001</v>
          </cell>
          <cell r="AD6402">
            <v>34.819274900000003</v>
          </cell>
        </row>
        <row r="6403">
          <cell r="L6403" t="str">
            <v>حلموز</v>
          </cell>
          <cell r="M6403" t="str">
            <v>C7159</v>
          </cell>
          <cell r="AC6403">
            <v>36.674926759999998</v>
          </cell>
          <cell r="AD6403">
            <v>34.822692869999997</v>
          </cell>
        </row>
        <row r="6404">
          <cell r="L6404" t="str">
            <v>رسم السويد</v>
          </cell>
          <cell r="M6404" t="str">
            <v>C7160</v>
          </cell>
          <cell r="AC6404">
            <v>37.409301759999998</v>
          </cell>
          <cell r="AD6404">
            <v>34.828308110000002</v>
          </cell>
        </row>
        <row r="6405">
          <cell r="L6405" t="str">
            <v>مقسم الضهر</v>
          </cell>
          <cell r="M6405" t="str">
            <v>C7161</v>
          </cell>
          <cell r="AC6405">
            <v>36.657714839999997</v>
          </cell>
          <cell r="AD6405">
            <v>34.830322270000003</v>
          </cell>
        </row>
        <row r="6406">
          <cell r="L6406" t="str">
            <v>الخافية</v>
          </cell>
          <cell r="M6406" t="str">
            <v>C7162</v>
          </cell>
          <cell r="AC6406">
            <v>37.566894529999999</v>
          </cell>
          <cell r="AD6406">
            <v>34.848510740000002</v>
          </cell>
        </row>
        <row r="6407">
          <cell r="L6407" t="str">
            <v>الفرحانية الشرقية</v>
          </cell>
          <cell r="M6407" t="str">
            <v>C7163</v>
          </cell>
          <cell r="AC6407">
            <v>36.732299810000001</v>
          </cell>
          <cell r="AD6407">
            <v>34.867492679999998</v>
          </cell>
        </row>
        <row r="6408">
          <cell r="L6408" t="str">
            <v>خطاب</v>
          </cell>
          <cell r="M6408" t="str">
            <v>C7164</v>
          </cell>
          <cell r="AC6408">
            <v>37.322875979999999</v>
          </cell>
          <cell r="AD6408">
            <v>34.906311039999999</v>
          </cell>
        </row>
        <row r="6409">
          <cell r="L6409" t="str">
            <v>ام قبيبة</v>
          </cell>
          <cell r="M6409" t="str">
            <v>C7165</v>
          </cell>
          <cell r="AC6409">
            <v>37.528686520000001</v>
          </cell>
          <cell r="AD6409">
            <v>34.90649414</v>
          </cell>
        </row>
        <row r="6410">
          <cell r="L6410" t="str">
            <v>الصالحية جب الجراح</v>
          </cell>
          <cell r="M6410" t="str">
            <v>C7166</v>
          </cell>
          <cell r="AC6410">
            <v>37.34490967</v>
          </cell>
          <cell r="AD6410">
            <v>34.916320800000001</v>
          </cell>
        </row>
        <row r="6411">
          <cell r="L6411" t="str">
            <v>الحمرات</v>
          </cell>
          <cell r="M6411" t="str">
            <v>C7167</v>
          </cell>
          <cell r="AC6411">
            <v>36.916870119999999</v>
          </cell>
          <cell r="AD6411">
            <v>34.92071533</v>
          </cell>
        </row>
        <row r="6412">
          <cell r="L6412" t="str">
            <v>محمدية</v>
          </cell>
          <cell r="M6412" t="str">
            <v>C7168</v>
          </cell>
          <cell r="AC6412">
            <v>37.073913570000002</v>
          </cell>
          <cell r="AD6412">
            <v>34.948913570000002</v>
          </cell>
        </row>
        <row r="6413">
          <cell r="L6413" t="str">
            <v>الكن</v>
          </cell>
          <cell r="M6413" t="str">
            <v>C7169</v>
          </cell>
          <cell r="AC6413">
            <v>36.814514160000002</v>
          </cell>
          <cell r="AD6413">
            <v>34.956481930000002</v>
          </cell>
        </row>
        <row r="6414">
          <cell r="L6414" t="str">
            <v>الزيتونة</v>
          </cell>
          <cell r="M6414" t="str">
            <v>C7170</v>
          </cell>
          <cell r="AC6414">
            <v>36.942504880000001</v>
          </cell>
          <cell r="AD6414">
            <v>34.957092289999999</v>
          </cell>
        </row>
        <row r="6415">
          <cell r="L6415" t="str">
            <v>رسم العربة</v>
          </cell>
          <cell r="M6415" t="str">
            <v>C7171</v>
          </cell>
          <cell r="AC6415">
            <v>37.739074709999997</v>
          </cell>
          <cell r="AD6415">
            <v>34.968872070000003</v>
          </cell>
        </row>
        <row r="6416">
          <cell r="L6416" t="str">
            <v>جواسية الجنوبية</v>
          </cell>
          <cell r="M6416" t="str">
            <v>C7172</v>
          </cell>
          <cell r="AC6416">
            <v>37.585876470000002</v>
          </cell>
          <cell r="AD6416">
            <v>34.980285649999999</v>
          </cell>
        </row>
        <row r="6417">
          <cell r="L6417" t="str">
            <v>قحم</v>
          </cell>
          <cell r="M6417" t="str">
            <v>C7173</v>
          </cell>
          <cell r="AC6417">
            <v>36.876708979999997</v>
          </cell>
          <cell r="AD6417">
            <v>34.982482910000002</v>
          </cell>
        </row>
        <row r="6418">
          <cell r="L6418" t="str">
            <v>المشياح</v>
          </cell>
          <cell r="M6418" t="str">
            <v>C7174</v>
          </cell>
          <cell r="AC6418">
            <v>36.860717770000001</v>
          </cell>
          <cell r="AD6418">
            <v>34.985900880000003</v>
          </cell>
        </row>
        <row r="6419">
          <cell r="L6419" t="str">
            <v>جواسية الشمالية</v>
          </cell>
          <cell r="M6419" t="str">
            <v>C7175</v>
          </cell>
          <cell r="AC6419">
            <v>37.57629395</v>
          </cell>
          <cell r="AD6419">
            <v>34.996887209999997</v>
          </cell>
        </row>
        <row r="6420">
          <cell r="L6420" t="str">
            <v>رسم العوايد</v>
          </cell>
          <cell r="M6420" t="str">
            <v>C7176</v>
          </cell>
          <cell r="AC6420">
            <v>37.461303710000003</v>
          </cell>
          <cell r="AD6420">
            <v>35.00390625</v>
          </cell>
        </row>
        <row r="6421">
          <cell r="L6421" t="str">
            <v>الخافية</v>
          </cell>
          <cell r="M6421" t="str">
            <v>C7177</v>
          </cell>
          <cell r="AC6421">
            <v>37.546325680000002</v>
          </cell>
          <cell r="AD6421">
            <v>35.015319820000002</v>
          </cell>
        </row>
        <row r="6422">
          <cell r="L6422" t="str">
            <v>الضاهرية عقيربات</v>
          </cell>
          <cell r="M6422" t="str">
            <v>C7178</v>
          </cell>
          <cell r="AC6422">
            <v>37.568908690000001</v>
          </cell>
          <cell r="AD6422">
            <v>35.030517580000001</v>
          </cell>
        </row>
        <row r="6423">
          <cell r="L6423" t="str">
            <v>رسم الشيخ</v>
          </cell>
          <cell r="M6423" t="str">
            <v>C7179</v>
          </cell>
          <cell r="AC6423">
            <v>37.543701169999999</v>
          </cell>
          <cell r="AD6423">
            <v>35.033874509999997</v>
          </cell>
        </row>
        <row r="6424">
          <cell r="L6424" t="str">
            <v>الويتيرة</v>
          </cell>
          <cell r="M6424" t="str">
            <v>C7180</v>
          </cell>
          <cell r="AC6424">
            <v>37.563903809999999</v>
          </cell>
          <cell r="AD6424">
            <v>35.04272461</v>
          </cell>
        </row>
        <row r="6425">
          <cell r="L6425" t="str">
            <v>جب الرمان</v>
          </cell>
          <cell r="M6425" t="str">
            <v>C7181</v>
          </cell>
          <cell r="AC6425">
            <v>37.491699220000001</v>
          </cell>
          <cell r="AD6425">
            <v>35.047485350000002</v>
          </cell>
        </row>
        <row r="6426">
          <cell r="L6426" t="str">
            <v>تبارة الديبة</v>
          </cell>
          <cell r="M6426" t="str">
            <v>C7182</v>
          </cell>
          <cell r="AC6426">
            <v>37.253112790000003</v>
          </cell>
          <cell r="AD6426">
            <v>35.062072749999999</v>
          </cell>
        </row>
        <row r="6427">
          <cell r="L6427" t="str">
            <v>فاخر</v>
          </cell>
          <cell r="M6427" t="str">
            <v>C7183</v>
          </cell>
          <cell r="AC6427">
            <v>37.546691899999999</v>
          </cell>
          <cell r="AD6427">
            <v>35.072509770000003</v>
          </cell>
        </row>
        <row r="6428">
          <cell r="L6428" t="str">
            <v>رسم الاحمر</v>
          </cell>
          <cell r="M6428" t="str">
            <v>C7184</v>
          </cell>
          <cell r="AC6428">
            <v>37.419677729999997</v>
          </cell>
          <cell r="AD6428">
            <v>35.107910160000003</v>
          </cell>
        </row>
        <row r="6429">
          <cell r="L6429" t="str">
            <v>بئر الاعور</v>
          </cell>
          <cell r="M6429" t="str">
            <v>C7185</v>
          </cell>
          <cell r="AC6429">
            <v>37.951721190000001</v>
          </cell>
          <cell r="AD6429">
            <v>35.127929690000002</v>
          </cell>
        </row>
        <row r="6430">
          <cell r="L6430" t="str">
            <v>ضهر الغربي</v>
          </cell>
          <cell r="M6430" t="str">
            <v>C7186</v>
          </cell>
          <cell r="AC6430">
            <v>37.261108399999998</v>
          </cell>
          <cell r="AD6430">
            <v>35.134521479999997</v>
          </cell>
        </row>
        <row r="6431">
          <cell r="L6431" t="str">
            <v>سليطية</v>
          </cell>
          <cell r="M6431" t="str">
            <v>C7187</v>
          </cell>
          <cell r="AC6431">
            <v>37.395324709999997</v>
          </cell>
          <cell r="AD6431">
            <v>35.1427002</v>
          </cell>
        </row>
        <row r="6432">
          <cell r="L6432" t="str">
            <v>الصالحية السلمية</v>
          </cell>
          <cell r="M6432" t="str">
            <v>C7188</v>
          </cell>
          <cell r="AC6432">
            <v>37.166687009999997</v>
          </cell>
          <cell r="AD6432">
            <v>35.142883300000001</v>
          </cell>
        </row>
        <row r="6433">
          <cell r="L6433" t="str">
            <v>الحردانة</v>
          </cell>
          <cell r="M6433" t="str">
            <v>C7189</v>
          </cell>
          <cell r="AC6433">
            <v>37.293701169999999</v>
          </cell>
          <cell r="AD6433">
            <v>35.159118650000003</v>
          </cell>
        </row>
        <row r="6434">
          <cell r="L6434" t="str">
            <v>قور الصيادة</v>
          </cell>
          <cell r="M6434" t="str">
            <v>C7190</v>
          </cell>
          <cell r="AC6434">
            <v>37.235717770000001</v>
          </cell>
          <cell r="AD6434">
            <v>35.182312009999997</v>
          </cell>
        </row>
        <row r="6435">
          <cell r="L6435" t="str">
            <v>زور البالا</v>
          </cell>
          <cell r="M6435" t="str">
            <v>C7191</v>
          </cell>
          <cell r="AC6435">
            <v>36.698486330000001</v>
          </cell>
          <cell r="AD6435">
            <v>35.186279300000002</v>
          </cell>
        </row>
        <row r="6436">
          <cell r="L6436" t="str">
            <v>كفير الطيبة</v>
          </cell>
          <cell r="M6436" t="str">
            <v>C7192</v>
          </cell>
          <cell r="AC6436">
            <v>36.672302250000001</v>
          </cell>
          <cell r="AD6436">
            <v>35.250305179999998</v>
          </cell>
        </row>
        <row r="6437">
          <cell r="L6437" t="str">
            <v>خرسان</v>
          </cell>
          <cell r="M6437" t="str">
            <v>C7194</v>
          </cell>
          <cell r="AC6437">
            <v>37.057495119999999</v>
          </cell>
          <cell r="AD6437">
            <v>35.297485350000002</v>
          </cell>
        </row>
        <row r="6438">
          <cell r="L6438" t="str">
            <v>كورة</v>
          </cell>
          <cell r="M6438" t="str">
            <v>C7195</v>
          </cell>
          <cell r="AC6438">
            <v>36.44372559</v>
          </cell>
          <cell r="AD6438">
            <v>35.485717770000001</v>
          </cell>
        </row>
        <row r="6439">
          <cell r="L6439" t="str">
            <v>الخالدية</v>
          </cell>
          <cell r="M6439" t="str">
            <v>C7196</v>
          </cell>
          <cell r="AC6439">
            <v>36.401672359999999</v>
          </cell>
          <cell r="AD6439">
            <v>35.493713380000003</v>
          </cell>
        </row>
        <row r="6440">
          <cell r="L6440" t="str">
            <v>الشعيرة</v>
          </cell>
          <cell r="M6440" t="str">
            <v>C7197</v>
          </cell>
          <cell r="AC6440">
            <v>36.309875490000003</v>
          </cell>
          <cell r="AD6440">
            <v>35.568298339999998</v>
          </cell>
        </row>
        <row r="6441">
          <cell r="L6441" t="str">
            <v>الخريبة</v>
          </cell>
          <cell r="M6441" t="str">
            <v>C7198</v>
          </cell>
          <cell r="AC6441">
            <v>35.936706540000003</v>
          </cell>
          <cell r="AD6441">
            <v>35.586120610000002</v>
          </cell>
        </row>
        <row r="6442">
          <cell r="L6442" t="str">
            <v>الغزال</v>
          </cell>
          <cell r="M6442" t="str">
            <v>C7199</v>
          </cell>
          <cell r="AC6442">
            <v>36.204895020000002</v>
          </cell>
          <cell r="AD6442">
            <v>35.591125490000003</v>
          </cell>
        </row>
        <row r="6443">
          <cell r="L6443" t="str">
            <v>منزلة</v>
          </cell>
          <cell r="M6443" t="str">
            <v>C7200</v>
          </cell>
          <cell r="AC6443">
            <v>36.144103999999999</v>
          </cell>
          <cell r="AD6443">
            <v>35.592529300000002</v>
          </cell>
        </row>
        <row r="6444">
          <cell r="L6444" t="str">
            <v>صرنا</v>
          </cell>
          <cell r="M6444" t="str">
            <v>C7201</v>
          </cell>
          <cell r="AC6444">
            <v>36.105896000000001</v>
          </cell>
          <cell r="AD6444">
            <v>35.614501949999998</v>
          </cell>
        </row>
        <row r="6445">
          <cell r="L6445" t="str">
            <v>ريحانية</v>
          </cell>
          <cell r="M6445" t="str">
            <v>C7202</v>
          </cell>
          <cell r="AC6445">
            <v>36.180114750000001</v>
          </cell>
          <cell r="AD6445">
            <v>35.636901860000002</v>
          </cell>
        </row>
        <row r="6446">
          <cell r="L6446" t="str">
            <v>النبي يونس</v>
          </cell>
          <cell r="M6446" t="str">
            <v>C7203</v>
          </cell>
          <cell r="AC6446">
            <v>36.218078609999999</v>
          </cell>
          <cell r="AD6446">
            <v>35.638916020000003</v>
          </cell>
        </row>
        <row r="6447">
          <cell r="L6447" t="str">
            <v>ابو مكة</v>
          </cell>
          <cell r="M6447" t="str">
            <v>C7204</v>
          </cell>
          <cell r="AC6447">
            <v>36.12731934</v>
          </cell>
          <cell r="AD6447">
            <v>35.6427002</v>
          </cell>
        </row>
        <row r="6448">
          <cell r="L6448" t="str">
            <v>عين الجوز</v>
          </cell>
          <cell r="M6448" t="str">
            <v>C7205</v>
          </cell>
          <cell r="AC6448">
            <v>36.195678710000003</v>
          </cell>
          <cell r="AD6448">
            <v>35.658874509999997</v>
          </cell>
        </row>
        <row r="6449">
          <cell r="L6449" t="str">
            <v>مشرفة</v>
          </cell>
          <cell r="M6449" t="str">
            <v>C7206</v>
          </cell>
          <cell r="AC6449">
            <v>36.217102050000001</v>
          </cell>
          <cell r="AD6449">
            <v>35.703308110000002</v>
          </cell>
        </row>
        <row r="6450">
          <cell r="L6450" t="str">
            <v>بيت ميرو</v>
          </cell>
          <cell r="M6450" t="str">
            <v>C7207</v>
          </cell>
          <cell r="AC6450">
            <v>36.128295899999998</v>
          </cell>
          <cell r="AD6450">
            <v>35.70611572</v>
          </cell>
        </row>
        <row r="6451">
          <cell r="L6451" t="str">
            <v>كفرتة</v>
          </cell>
          <cell r="M6451" t="str">
            <v>C7208</v>
          </cell>
          <cell r="AC6451">
            <v>36.139282229999999</v>
          </cell>
          <cell r="AD6451">
            <v>35.723876949999998</v>
          </cell>
        </row>
        <row r="6452">
          <cell r="L6452" t="str">
            <v>قبوح</v>
          </cell>
          <cell r="M6452" t="str">
            <v>C7209</v>
          </cell>
          <cell r="AC6452">
            <v>36.140075680000002</v>
          </cell>
          <cell r="AD6452">
            <v>35.75549316</v>
          </cell>
        </row>
        <row r="6453">
          <cell r="L6453" t="str">
            <v>المليك</v>
          </cell>
          <cell r="M6453" t="str">
            <v>C7210</v>
          </cell>
          <cell r="AC6453">
            <v>35.983276369999999</v>
          </cell>
          <cell r="AD6453">
            <v>35.774475099999997</v>
          </cell>
        </row>
        <row r="6454">
          <cell r="L6454" t="str">
            <v>عين الحور</v>
          </cell>
          <cell r="M6454" t="str">
            <v>C7211</v>
          </cell>
          <cell r="AC6454">
            <v>36.167480470000001</v>
          </cell>
          <cell r="AD6454">
            <v>35.781311039999999</v>
          </cell>
        </row>
        <row r="6455">
          <cell r="L6455" t="str">
            <v>بيت بلدير</v>
          </cell>
          <cell r="M6455" t="str">
            <v>C7212</v>
          </cell>
          <cell r="AC6455">
            <v>35.99450684</v>
          </cell>
          <cell r="AD6455">
            <v>35.79412842</v>
          </cell>
        </row>
        <row r="6456">
          <cell r="L6456" t="str">
            <v>بيت عبيدة</v>
          </cell>
          <cell r="M6456" t="str">
            <v>C7213</v>
          </cell>
          <cell r="AC6456">
            <v>35.950683589999997</v>
          </cell>
          <cell r="AD6456">
            <v>35.796691899999999</v>
          </cell>
        </row>
        <row r="6457">
          <cell r="L6457" t="str">
            <v>القنطارة</v>
          </cell>
          <cell r="M6457" t="str">
            <v>C7214</v>
          </cell>
          <cell r="AC6457">
            <v>35.982910160000003</v>
          </cell>
          <cell r="AD6457">
            <v>35.821716309999999</v>
          </cell>
        </row>
        <row r="6458">
          <cell r="L6458" t="str">
            <v>الصخرة</v>
          </cell>
          <cell r="M6458" t="str">
            <v>C7215</v>
          </cell>
          <cell r="AC6458">
            <v>36.001708979999997</v>
          </cell>
          <cell r="AD6458">
            <v>35.933288570000002</v>
          </cell>
        </row>
        <row r="6459">
          <cell r="L6459" t="str">
            <v>الناصرية</v>
          </cell>
          <cell r="M6459" t="str">
            <v>C7216</v>
          </cell>
          <cell r="AC6459">
            <v>37.05352783</v>
          </cell>
          <cell r="AD6459">
            <v>35.48852539</v>
          </cell>
        </row>
        <row r="6460">
          <cell r="L6460" t="str">
            <v>ام رفول</v>
          </cell>
          <cell r="M6460" t="str">
            <v>C7217</v>
          </cell>
          <cell r="AC6460">
            <v>36.974304199999999</v>
          </cell>
          <cell r="AD6460">
            <v>35.517089839999997</v>
          </cell>
        </row>
        <row r="6461">
          <cell r="L6461" t="str">
            <v>رسم برجس</v>
          </cell>
          <cell r="M6461" t="str">
            <v>C7218</v>
          </cell>
          <cell r="AC6461">
            <v>37.17669678</v>
          </cell>
          <cell r="AD6461">
            <v>35.529113770000002</v>
          </cell>
        </row>
        <row r="6462">
          <cell r="L6462" t="str">
            <v>مزرعة حواء</v>
          </cell>
          <cell r="M6462" t="str">
            <v>C7219</v>
          </cell>
          <cell r="AC6462">
            <v>37.089721679999997</v>
          </cell>
          <cell r="AD6462">
            <v>35.529907229999999</v>
          </cell>
        </row>
        <row r="6463">
          <cell r="L6463" t="str">
            <v>نباز الشمالي</v>
          </cell>
          <cell r="M6463" t="str">
            <v>C7220</v>
          </cell>
          <cell r="AC6463">
            <v>37.073730470000001</v>
          </cell>
          <cell r="AD6463">
            <v>35.536926270000002</v>
          </cell>
        </row>
        <row r="6464">
          <cell r="L6464" t="str">
            <v>الهرش</v>
          </cell>
          <cell r="M6464" t="str">
            <v>C7221</v>
          </cell>
          <cell r="AC6464">
            <v>37.203125</v>
          </cell>
          <cell r="AD6464">
            <v>35.551330569999998</v>
          </cell>
        </row>
        <row r="6465">
          <cell r="L6465" t="str">
            <v>ام دق</v>
          </cell>
          <cell r="M6465" t="str">
            <v>C7222</v>
          </cell>
          <cell r="AC6465">
            <v>37.262695309999998</v>
          </cell>
          <cell r="AD6465">
            <v>35.56408691</v>
          </cell>
        </row>
        <row r="6466">
          <cell r="L6466" t="str">
            <v>ام رجوم</v>
          </cell>
          <cell r="M6466" t="str">
            <v>C7223</v>
          </cell>
          <cell r="AC6466">
            <v>37.236328129999997</v>
          </cell>
          <cell r="AD6466">
            <v>35.571716309999999</v>
          </cell>
        </row>
        <row r="6467">
          <cell r="L6467" t="str">
            <v>بطوشية</v>
          </cell>
          <cell r="M6467" t="str">
            <v>C7224</v>
          </cell>
          <cell r="AC6467">
            <v>37.206298830000001</v>
          </cell>
          <cell r="AD6467">
            <v>35.578918459999997</v>
          </cell>
        </row>
        <row r="6468">
          <cell r="L6468" t="str">
            <v>خربة عرب</v>
          </cell>
          <cell r="M6468" t="str">
            <v>C7225</v>
          </cell>
          <cell r="AC6468">
            <v>36.90509033</v>
          </cell>
          <cell r="AD6468">
            <v>35.597106930000002</v>
          </cell>
        </row>
        <row r="6469">
          <cell r="L6469" t="str">
            <v>عين الدير</v>
          </cell>
          <cell r="M6469" t="str">
            <v>C7226</v>
          </cell>
          <cell r="AC6469">
            <v>36.696716309999999</v>
          </cell>
          <cell r="AD6469">
            <v>35.614318849999997</v>
          </cell>
        </row>
        <row r="6470">
          <cell r="L6470" t="str">
            <v>عين قري</v>
          </cell>
          <cell r="M6470" t="str">
            <v>C7227</v>
          </cell>
          <cell r="AC6470">
            <v>36.68267822</v>
          </cell>
          <cell r="AD6470">
            <v>35.62890625</v>
          </cell>
        </row>
        <row r="6471">
          <cell r="L6471" t="str">
            <v>رجم القط</v>
          </cell>
          <cell r="M6471" t="str">
            <v>C7228</v>
          </cell>
          <cell r="AC6471">
            <v>36.883117679999998</v>
          </cell>
          <cell r="AD6471">
            <v>35.634521479999997</v>
          </cell>
        </row>
        <row r="6472">
          <cell r="L6472" t="str">
            <v>تل فا</v>
          </cell>
          <cell r="M6472" t="str">
            <v>C7229</v>
          </cell>
          <cell r="AC6472">
            <v>37.399291990000002</v>
          </cell>
          <cell r="AD6472">
            <v>35.637329100000002</v>
          </cell>
        </row>
        <row r="6473">
          <cell r="L6473" t="str">
            <v>عقلة البويدر</v>
          </cell>
          <cell r="M6473" t="str">
            <v>C7230</v>
          </cell>
          <cell r="AC6473">
            <v>37.129089360000002</v>
          </cell>
          <cell r="AD6473">
            <v>35.665527339999997</v>
          </cell>
        </row>
        <row r="6474">
          <cell r="L6474" t="str">
            <v>عزيزية</v>
          </cell>
          <cell r="M6474" t="str">
            <v>C7231</v>
          </cell>
          <cell r="AC6474">
            <v>37.09350586</v>
          </cell>
          <cell r="AD6474">
            <v>35.676513669999999</v>
          </cell>
        </row>
        <row r="6475">
          <cell r="L6475" t="str">
            <v>ام سلاسل</v>
          </cell>
          <cell r="M6475" t="str">
            <v>C7232</v>
          </cell>
          <cell r="AC6475">
            <v>37.273925779999999</v>
          </cell>
          <cell r="AD6475">
            <v>35.680297850000002</v>
          </cell>
        </row>
        <row r="6476">
          <cell r="L6476" t="str">
            <v>كبرى</v>
          </cell>
          <cell r="M6476" t="str">
            <v>C7233</v>
          </cell>
          <cell r="AC6476">
            <v>40.718322749999999</v>
          </cell>
          <cell r="AD6476">
            <v>35.686889649999998</v>
          </cell>
        </row>
        <row r="6477">
          <cell r="L6477" t="str">
            <v>العميرات</v>
          </cell>
          <cell r="M6477" t="str">
            <v>C7234</v>
          </cell>
          <cell r="AC6477">
            <v>37.075927729999997</v>
          </cell>
          <cell r="AD6477">
            <v>35.690673830000001</v>
          </cell>
        </row>
        <row r="6478">
          <cell r="L6478" t="str">
            <v>ابو جورة</v>
          </cell>
          <cell r="M6478" t="str">
            <v>C7235</v>
          </cell>
          <cell r="AC6478">
            <v>37.183898929999998</v>
          </cell>
          <cell r="AD6478">
            <v>35.69830322</v>
          </cell>
        </row>
        <row r="6479">
          <cell r="L6479" t="str">
            <v>جفر</v>
          </cell>
          <cell r="M6479" t="str">
            <v>C7236</v>
          </cell>
          <cell r="AC6479">
            <v>37.024902339999997</v>
          </cell>
          <cell r="AD6479">
            <v>35.719726559999998</v>
          </cell>
        </row>
        <row r="6480">
          <cell r="L6480" t="str">
            <v>حمديات</v>
          </cell>
          <cell r="M6480" t="str">
            <v>C7237</v>
          </cell>
          <cell r="AC6480">
            <v>37.139282229999999</v>
          </cell>
          <cell r="AD6480">
            <v>35.734313970000002</v>
          </cell>
        </row>
        <row r="6481">
          <cell r="L6481" t="str">
            <v>تل ابو عزو</v>
          </cell>
          <cell r="M6481" t="str">
            <v>C7238</v>
          </cell>
          <cell r="AC6481">
            <v>37.019470220000002</v>
          </cell>
          <cell r="AD6481">
            <v>35.735717770000001</v>
          </cell>
        </row>
        <row r="6482">
          <cell r="L6482" t="str">
            <v>جب العبد</v>
          </cell>
          <cell r="M6482" t="str">
            <v>C7239</v>
          </cell>
          <cell r="AC6482">
            <v>37.254272460000003</v>
          </cell>
          <cell r="AD6482">
            <v>35.757080080000001</v>
          </cell>
        </row>
        <row r="6483">
          <cell r="L6483" t="str">
            <v>منطار تحتاني</v>
          </cell>
          <cell r="M6483" t="str">
            <v>C7240</v>
          </cell>
          <cell r="AC6483">
            <v>36.366516109999999</v>
          </cell>
          <cell r="AD6483">
            <v>35.763671879999997</v>
          </cell>
        </row>
        <row r="6484">
          <cell r="L6484" t="str">
            <v>الكرنازة</v>
          </cell>
          <cell r="M6484" t="str">
            <v>C7241</v>
          </cell>
          <cell r="AC6484">
            <v>36.362915039999997</v>
          </cell>
          <cell r="AD6484">
            <v>35.764282229999999</v>
          </cell>
        </row>
        <row r="6485">
          <cell r="L6485" t="str">
            <v>جديدة</v>
          </cell>
          <cell r="M6485" t="str">
            <v>C7242</v>
          </cell>
          <cell r="AC6485">
            <v>37.595520020000002</v>
          </cell>
          <cell r="AD6485">
            <v>35.7677002</v>
          </cell>
        </row>
        <row r="6486">
          <cell r="L6486" t="str">
            <v>زيارة</v>
          </cell>
          <cell r="M6486" t="str">
            <v>C7243</v>
          </cell>
          <cell r="AC6486">
            <v>37.247924810000001</v>
          </cell>
          <cell r="AD6486">
            <v>35.770324709999997</v>
          </cell>
        </row>
        <row r="6487">
          <cell r="L6487" t="str">
            <v>الرويشد</v>
          </cell>
          <cell r="M6487" t="str">
            <v>C7244</v>
          </cell>
          <cell r="AC6487">
            <v>40.570495610000002</v>
          </cell>
          <cell r="AD6487">
            <v>35.771728520000003</v>
          </cell>
        </row>
        <row r="6488">
          <cell r="L6488" t="str">
            <v>القطيط</v>
          </cell>
          <cell r="M6488" t="str">
            <v>C7245</v>
          </cell>
          <cell r="AC6488">
            <v>38.087890629999997</v>
          </cell>
          <cell r="AD6488">
            <v>35.774291990000002</v>
          </cell>
        </row>
        <row r="6489">
          <cell r="L6489" t="str">
            <v>فريكة العبيد</v>
          </cell>
          <cell r="M6489" t="str">
            <v>C7246</v>
          </cell>
          <cell r="AC6489">
            <v>36.356079100000002</v>
          </cell>
          <cell r="AD6489">
            <v>35.774475099999997</v>
          </cell>
        </row>
        <row r="6490">
          <cell r="L6490" t="str">
            <v>رويسات</v>
          </cell>
          <cell r="M6490" t="str">
            <v>C7247</v>
          </cell>
          <cell r="AC6490">
            <v>36.213317869999997</v>
          </cell>
          <cell r="AD6490">
            <v>35.775085449999999</v>
          </cell>
        </row>
        <row r="6491">
          <cell r="L6491" t="str">
            <v>صبيح</v>
          </cell>
          <cell r="M6491" t="str">
            <v>C7248</v>
          </cell>
          <cell r="AC6491">
            <v>40.881530759999997</v>
          </cell>
          <cell r="AD6491">
            <v>35.783874509999997</v>
          </cell>
        </row>
        <row r="6492">
          <cell r="L6492" t="str">
            <v>جبل بزة</v>
          </cell>
          <cell r="M6492" t="str">
            <v>C7249</v>
          </cell>
          <cell r="AC6492">
            <v>36.632324220000001</v>
          </cell>
          <cell r="AD6492">
            <v>35.785278320000003</v>
          </cell>
        </row>
        <row r="6493">
          <cell r="L6493" t="str">
            <v>مسعدة</v>
          </cell>
          <cell r="M6493" t="str">
            <v>C7250</v>
          </cell>
          <cell r="AC6493">
            <v>36.97631836</v>
          </cell>
          <cell r="AD6493">
            <v>35.785888669999999</v>
          </cell>
        </row>
        <row r="6494">
          <cell r="L6494" t="str">
            <v>دشيشة</v>
          </cell>
          <cell r="M6494" t="str">
            <v>C7251</v>
          </cell>
          <cell r="AC6494">
            <v>40.819274900000003</v>
          </cell>
          <cell r="AD6494">
            <v>35.787109379999997</v>
          </cell>
        </row>
        <row r="6495">
          <cell r="L6495" t="str">
            <v>ام عمود</v>
          </cell>
          <cell r="M6495" t="str">
            <v>C7252</v>
          </cell>
          <cell r="AC6495">
            <v>37.298522949999999</v>
          </cell>
          <cell r="AD6495">
            <v>35.78747559</v>
          </cell>
        </row>
        <row r="6496">
          <cell r="L6496" t="str">
            <v>عويد</v>
          </cell>
          <cell r="M6496" t="str">
            <v>C7253</v>
          </cell>
          <cell r="AC6496">
            <v>37.258300779999999</v>
          </cell>
          <cell r="AD6496">
            <v>35.788696289999997</v>
          </cell>
        </row>
        <row r="6497">
          <cell r="L6497" t="str">
            <v>ام خبرة</v>
          </cell>
          <cell r="M6497" t="str">
            <v>C7254</v>
          </cell>
          <cell r="AC6497">
            <v>41.036926270000002</v>
          </cell>
          <cell r="AD6497">
            <v>35.791320800000001</v>
          </cell>
        </row>
        <row r="6498">
          <cell r="L6498" t="str">
            <v>بوغاز</v>
          </cell>
          <cell r="M6498" t="str">
            <v>C7255</v>
          </cell>
          <cell r="AC6498">
            <v>36.186706540000003</v>
          </cell>
          <cell r="AD6498">
            <v>35.795898440000002</v>
          </cell>
        </row>
        <row r="6499">
          <cell r="L6499" t="str">
            <v>خربة السبع</v>
          </cell>
          <cell r="M6499" t="str">
            <v>C7256</v>
          </cell>
          <cell r="AC6499">
            <v>38.094299319999998</v>
          </cell>
          <cell r="AD6499">
            <v>35.802917479999998</v>
          </cell>
        </row>
        <row r="6500">
          <cell r="L6500" t="str">
            <v>عناد</v>
          </cell>
          <cell r="M6500" t="str">
            <v>C7257</v>
          </cell>
          <cell r="AC6500">
            <v>41.026916499999999</v>
          </cell>
          <cell r="AD6500">
            <v>35.809875490000003</v>
          </cell>
        </row>
        <row r="6501">
          <cell r="L6501" t="str">
            <v>زريفة</v>
          </cell>
          <cell r="M6501" t="str">
            <v>C7258</v>
          </cell>
          <cell r="AC6501">
            <v>40.895324709999997</v>
          </cell>
          <cell r="AD6501">
            <v>35.811889649999998</v>
          </cell>
        </row>
        <row r="6502">
          <cell r="L6502" t="str">
            <v>العراقية</v>
          </cell>
          <cell r="M6502" t="str">
            <v>C7259</v>
          </cell>
          <cell r="AC6502">
            <v>36.444274900000003</v>
          </cell>
          <cell r="AD6502">
            <v>35.817687990000003</v>
          </cell>
        </row>
        <row r="6503">
          <cell r="L6503" t="str">
            <v>رسم الكر</v>
          </cell>
          <cell r="M6503" t="str">
            <v>C7260</v>
          </cell>
          <cell r="AC6503">
            <v>37.515319820000002</v>
          </cell>
          <cell r="AD6503">
            <v>35.820678710000003</v>
          </cell>
        </row>
        <row r="6504">
          <cell r="L6504" t="str">
            <v>خربة محسن</v>
          </cell>
          <cell r="M6504" t="str">
            <v>C7261</v>
          </cell>
          <cell r="AC6504">
            <v>38.108276369999999</v>
          </cell>
          <cell r="AD6504">
            <v>35.824279789999999</v>
          </cell>
        </row>
        <row r="6505">
          <cell r="L6505" t="str">
            <v>المزرعة</v>
          </cell>
          <cell r="M6505" t="str">
            <v>C7262</v>
          </cell>
          <cell r="AC6505">
            <v>37.541687009999997</v>
          </cell>
          <cell r="AD6505">
            <v>35.827087400000003</v>
          </cell>
        </row>
        <row r="6506">
          <cell r="L6506" t="str">
            <v>رسم البسس</v>
          </cell>
          <cell r="M6506" t="str">
            <v>C7263</v>
          </cell>
          <cell r="AC6506">
            <v>37.376525880000003</v>
          </cell>
          <cell r="AD6506">
            <v>35.831481930000002</v>
          </cell>
        </row>
        <row r="6507">
          <cell r="L6507" t="str">
            <v>الباقات</v>
          </cell>
          <cell r="M6507" t="str">
            <v>C7264</v>
          </cell>
          <cell r="AC6507">
            <v>37.337707520000002</v>
          </cell>
          <cell r="AD6507">
            <v>35.832702640000001</v>
          </cell>
        </row>
        <row r="6508">
          <cell r="L6508" t="str">
            <v>رسم غنيمة</v>
          </cell>
          <cell r="M6508" t="str">
            <v>C7265</v>
          </cell>
          <cell r="AC6508">
            <v>37.494873050000002</v>
          </cell>
          <cell r="AD6508">
            <v>35.832702640000001</v>
          </cell>
        </row>
        <row r="6509">
          <cell r="L6509" t="str">
            <v>بيت سلم</v>
          </cell>
          <cell r="M6509" t="str">
            <v>C7266</v>
          </cell>
          <cell r="AC6509">
            <v>36.560729979999998</v>
          </cell>
          <cell r="AD6509">
            <v>35.842102050000001</v>
          </cell>
        </row>
        <row r="6510">
          <cell r="L6510" t="str">
            <v>ارزغان فوقاني</v>
          </cell>
          <cell r="M6510" t="str">
            <v>C7267</v>
          </cell>
          <cell r="AC6510">
            <v>36.35131836</v>
          </cell>
          <cell r="AD6510">
            <v>35.855529789999999</v>
          </cell>
        </row>
        <row r="6511">
          <cell r="L6511" t="str">
            <v>رجيلة</v>
          </cell>
          <cell r="M6511" t="str">
            <v>C7268</v>
          </cell>
          <cell r="AC6511">
            <v>37.230896000000001</v>
          </cell>
          <cell r="AD6511">
            <v>35.864685059999999</v>
          </cell>
        </row>
        <row r="6512">
          <cell r="L6512" t="str">
            <v>رسم شوكان</v>
          </cell>
          <cell r="M6512" t="str">
            <v>C7269</v>
          </cell>
          <cell r="AC6512">
            <v>37.445922850000002</v>
          </cell>
          <cell r="AD6512">
            <v>35.868713380000003</v>
          </cell>
        </row>
        <row r="6513">
          <cell r="L6513" t="str">
            <v>العرى</v>
          </cell>
          <cell r="M6513" t="str">
            <v>C7270</v>
          </cell>
          <cell r="AC6513">
            <v>40.889526369999999</v>
          </cell>
          <cell r="AD6513">
            <v>35.875671390000001</v>
          </cell>
        </row>
        <row r="6514">
          <cell r="L6514" t="str">
            <v>رجم سعدة</v>
          </cell>
          <cell r="M6514" t="str">
            <v>C7271</v>
          </cell>
          <cell r="AC6514">
            <v>41.317077640000001</v>
          </cell>
          <cell r="AD6514">
            <v>35.882324220000001</v>
          </cell>
        </row>
        <row r="6515">
          <cell r="L6515" t="str">
            <v>الحمرا</v>
          </cell>
          <cell r="M6515" t="str">
            <v>C7272</v>
          </cell>
          <cell r="AC6515">
            <v>38.067687990000003</v>
          </cell>
          <cell r="AD6515">
            <v>35.8848877</v>
          </cell>
        </row>
        <row r="6516">
          <cell r="L6516" t="str">
            <v>دندن</v>
          </cell>
          <cell r="M6516" t="str">
            <v>C7273</v>
          </cell>
          <cell r="AC6516">
            <v>38.130920410000002</v>
          </cell>
          <cell r="AD6516">
            <v>35.88647461</v>
          </cell>
        </row>
        <row r="6517">
          <cell r="L6517" t="str">
            <v>شديد</v>
          </cell>
          <cell r="M6517" t="str">
            <v>C7274</v>
          </cell>
          <cell r="AC6517">
            <v>40.884521479999997</v>
          </cell>
          <cell r="AD6517">
            <v>35.889282229999999</v>
          </cell>
        </row>
        <row r="6518">
          <cell r="L6518" t="str">
            <v>جب السميرية</v>
          </cell>
          <cell r="M6518" t="str">
            <v>C7275</v>
          </cell>
          <cell r="AC6518">
            <v>37.29571533</v>
          </cell>
          <cell r="AD6518">
            <v>35.907897949999999</v>
          </cell>
        </row>
        <row r="6519">
          <cell r="L6519" t="str">
            <v>جب التينة</v>
          </cell>
          <cell r="M6519" t="str">
            <v>C7276</v>
          </cell>
          <cell r="AC6519">
            <v>37.265930179999998</v>
          </cell>
          <cell r="AD6519">
            <v>35.912719729999999</v>
          </cell>
        </row>
        <row r="6520">
          <cell r="L6520" t="str">
            <v>رسم الصهريج</v>
          </cell>
          <cell r="M6520" t="str">
            <v>C7277</v>
          </cell>
          <cell r="AC6520">
            <v>37.34191895</v>
          </cell>
          <cell r="AD6520">
            <v>35.923278809999999</v>
          </cell>
        </row>
        <row r="6521">
          <cell r="L6521" t="str">
            <v>قريحة</v>
          </cell>
          <cell r="M6521" t="str">
            <v>C7278</v>
          </cell>
          <cell r="AC6521">
            <v>37.149291990000002</v>
          </cell>
          <cell r="AD6521">
            <v>35.930908199999998</v>
          </cell>
        </row>
        <row r="6522">
          <cell r="L6522" t="str">
            <v>عين ابو نصرة</v>
          </cell>
          <cell r="M6522" t="str">
            <v>C7279</v>
          </cell>
          <cell r="AC6522">
            <v>37.266479490000002</v>
          </cell>
          <cell r="AD6522">
            <v>35.932922359999999</v>
          </cell>
        </row>
        <row r="6523">
          <cell r="L6523" t="str">
            <v>بئر العبد</v>
          </cell>
          <cell r="M6523" t="str">
            <v>C7280</v>
          </cell>
          <cell r="AC6523">
            <v>41.219116210000003</v>
          </cell>
          <cell r="AD6523">
            <v>35.938476559999998</v>
          </cell>
        </row>
        <row r="6524">
          <cell r="L6524" t="str">
            <v>العوض</v>
          </cell>
          <cell r="M6524" t="str">
            <v>C7281</v>
          </cell>
          <cell r="AC6524">
            <v>40.992309570000003</v>
          </cell>
          <cell r="AD6524">
            <v>35.939880369999997</v>
          </cell>
        </row>
        <row r="6525">
          <cell r="L6525" t="str">
            <v>طشطش</v>
          </cell>
          <cell r="M6525" t="str">
            <v>C7282</v>
          </cell>
          <cell r="AC6525">
            <v>40.738098149999999</v>
          </cell>
          <cell r="AD6525">
            <v>35.940124509999997</v>
          </cell>
        </row>
        <row r="6526">
          <cell r="L6526" t="str">
            <v>صالح الحواش</v>
          </cell>
          <cell r="M6526" t="str">
            <v>C7283</v>
          </cell>
          <cell r="AC6526">
            <v>40.484680179999998</v>
          </cell>
          <cell r="AD6526">
            <v>35.948730470000001</v>
          </cell>
        </row>
        <row r="6527">
          <cell r="L6527" t="str">
            <v>جليفة</v>
          </cell>
          <cell r="M6527" t="str">
            <v>C7284</v>
          </cell>
          <cell r="AC6527">
            <v>40.867492679999998</v>
          </cell>
          <cell r="AD6527">
            <v>35.948486330000001</v>
          </cell>
        </row>
        <row r="6528">
          <cell r="L6528" t="str">
            <v>حميدية الشدادة</v>
          </cell>
          <cell r="M6528" t="str">
            <v>C7285</v>
          </cell>
          <cell r="AC6528">
            <v>40.742309570000003</v>
          </cell>
          <cell r="AD6528">
            <v>35.957519529999999</v>
          </cell>
        </row>
        <row r="6529">
          <cell r="L6529" t="str">
            <v>الواردية الشدادة</v>
          </cell>
          <cell r="M6529" t="str">
            <v>C7286</v>
          </cell>
          <cell r="AC6529">
            <v>40.706481930000002</v>
          </cell>
          <cell r="AD6529">
            <v>35.959716800000002</v>
          </cell>
        </row>
        <row r="6530">
          <cell r="L6530" t="str">
            <v>كلكا</v>
          </cell>
          <cell r="M6530" t="str">
            <v>C7287</v>
          </cell>
          <cell r="AC6530">
            <v>41.20611572</v>
          </cell>
          <cell r="AD6530">
            <v>35.963073729999998</v>
          </cell>
        </row>
        <row r="6531">
          <cell r="L6531" t="str">
            <v>سحيلان</v>
          </cell>
          <cell r="M6531" t="str">
            <v>C7288</v>
          </cell>
          <cell r="AC6531">
            <v>40.856872559999999</v>
          </cell>
          <cell r="AD6531">
            <v>35.966308589999997</v>
          </cell>
        </row>
        <row r="6532">
          <cell r="L6532" t="str">
            <v>جليب ندى</v>
          </cell>
          <cell r="M6532" t="str">
            <v>C7289</v>
          </cell>
          <cell r="AC6532">
            <v>41.001525880000003</v>
          </cell>
          <cell r="AD6532">
            <v>35.96850586</v>
          </cell>
        </row>
        <row r="6533">
          <cell r="L6533" t="str">
            <v>العلوص</v>
          </cell>
          <cell r="M6533" t="str">
            <v>C7290</v>
          </cell>
          <cell r="AC6533">
            <v>40.528686520000001</v>
          </cell>
          <cell r="AD6533">
            <v>35.971313479999999</v>
          </cell>
        </row>
        <row r="6534">
          <cell r="L6534" t="str">
            <v>مرفوعة</v>
          </cell>
          <cell r="M6534" t="str">
            <v>C7291</v>
          </cell>
          <cell r="AC6534">
            <v>40.479919430000002</v>
          </cell>
          <cell r="AD6534">
            <v>35.972473149999999</v>
          </cell>
        </row>
        <row r="6535">
          <cell r="L6535" t="str">
            <v>الريحانية</v>
          </cell>
          <cell r="M6535" t="str">
            <v>C7292</v>
          </cell>
          <cell r="AC6535">
            <v>41.20288086</v>
          </cell>
          <cell r="AD6535">
            <v>35.975097660000003</v>
          </cell>
        </row>
        <row r="6536">
          <cell r="L6536" t="str">
            <v>جنفيخة</v>
          </cell>
          <cell r="M6536" t="str">
            <v>C7293</v>
          </cell>
          <cell r="AC6536">
            <v>40.844482419999999</v>
          </cell>
          <cell r="AD6536">
            <v>35.981506349999997</v>
          </cell>
        </row>
        <row r="6537">
          <cell r="L6537" t="str">
            <v>عوينة الشدادة</v>
          </cell>
          <cell r="M6537" t="str">
            <v>C7294</v>
          </cell>
          <cell r="AC6537">
            <v>40.833312990000003</v>
          </cell>
          <cell r="AD6537">
            <v>35.986083979999997</v>
          </cell>
        </row>
        <row r="6538">
          <cell r="L6538" t="str">
            <v>حويجة</v>
          </cell>
          <cell r="M6538" t="str">
            <v>C7295</v>
          </cell>
          <cell r="AC6538">
            <v>41.182922359999999</v>
          </cell>
          <cell r="AD6538">
            <v>35.996276860000002</v>
          </cell>
        </row>
        <row r="6539">
          <cell r="L6539" t="str">
            <v>جروان</v>
          </cell>
          <cell r="M6539" t="str">
            <v>C7296</v>
          </cell>
          <cell r="AC6539">
            <v>40.436706540000003</v>
          </cell>
          <cell r="AD6539">
            <v>36.002685550000002</v>
          </cell>
        </row>
        <row r="6540">
          <cell r="L6540" t="str">
            <v>صفيان</v>
          </cell>
          <cell r="M6540" t="str">
            <v>C7297</v>
          </cell>
          <cell r="AC6540">
            <v>40.69049072</v>
          </cell>
          <cell r="AD6540">
            <v>36.003478999999999</v>
          </cell>
        </row>
        <row r="6541">
          <cell r="L6541" t="str">
            <v>رجعان</v>
          </cell>
          <cell r="M6541" t="str">
            <v>C7298</v>
          </cell>
          <cell r="AC6541">
            <v>40.361328129999997</v>
          </cell>
          <cell r="AD6541">
            <v>36.00390625</v>
          </cell>
        </row>
        <row r="6542">
          <cell r="L6542" t="str">
            <v>عزيرة</v>
          </cell>
          <cell r="M6542" t="str">
            <v>C7299</v>
          </cell>
          <cell r="AC6542">
            <v>37.33111572</v>
          </cell>
          <cell r="AD6542">
            <v>36.004516600000002</v>
          </cell>
        </row>
        <row r="6543">
          <cell r="L6543" t="str">
            <v>مليحان</v>
          </cell>
          <cell r="M6543" t="str">
            <v>C7300</v>
          </cell>
          <cell r="AC6543">
            <v>41.096130369999997</v>
          </cell>
          <cell r="AD6543">
            <v>36.005676270000002</v>
          </cell>
        </row>
        <row r="6544">
          <cell r="L6544" t="str">
            <v>وادي الصغير</v>
          </cell>
          <cell r="M6544" t="str">
            <v>C7301</v>
          </cell>
          <cell r="AC6544">
            <v>37.06091309</v>
          </cell>
          <cell r="AD6544">
            <v>36.005920410000002</v>
          </cell>
        </row>
        <row r="6545">
          <cell r="L6545" t="str">
            <v>خويبرة</v>
          </cell>
          <cell r="M6545" t="str">
            <v>C7302</v>
          </cell>
          <cell r="AC6545">
            <v>40.983520509999998</v>
          </cell>
          <cell r="AD6545">
            <v>36.013671879999997</v>
          </cell>
        </row>
        <row r="6546">
          <cell r="L6546" t="str">
            <v>صويعان</v>
          </cell>
          <cell r="M6546" t="str">
            <v>C7303</v>
          </cell>
          <cell r="AC6546">
            <v>41.207519529999999</v>
          </cell>
          <cell r="AD6546">
            <v>36.015075680000002</v>
          </cell>
        </row>
        <row r="6547">
          <cell r="L6547" t="str">
            <v>شويخان</v>
          </cell>
          <cell r="M6547" t="str">
            <v>C7304</v>
          </cell>
          <cell r="AC6547">
            <v>41.116699220000001</v>
          </cell>
          <cell r="AD6547">
            <v>36.019714360000002</v>
          </cell>
        </row>
        <row r="6548">
          <cell r="L6548" t="str">
            <v>الحسو</v>
          </cell>
          <cell r="M6548" t="str">
            <v>C7305</v>
          </cell>
          <cell r="AC6548">
            <v>40.948486330000001</v>
          </cell>
          <cell r="AD6548">
            <v>36.031677250000001</v>
          </cell>
        </row>
        <row r="6549">
          <cell r="L6549" t="str">
            <v>بير البوط</v>
          </cell>
          <cell r="M6549" t="str">
            <v>C7306</v>
          </cell>
          <cell r="AC6549">
            <v>41.190917970000001</v>
          </cell>
          <cell r="AD6549">
            <v>36.03607178</v>
          </cell>
        </row>
        <row r="6550">
          <cell r="L6550" t="str">
            <v>الخالدية الخفسة</v>
          </cell>
          <cell r="M6550" t="str">
            <v>C7307</v>
          </cell>
          <cell r="AC6550">
            <v>37.851501470000002</v>
          </cell>
          <cell r="AD6550">
            <v>36.045471190000001</v>
          </cell>
        </row>
        <row r="6551">
          <cell r="L6551" t="str">
            <v>برزان</v>
          </cell>
          <cell r="M6551" t="str">
            <v>C7308</v>
          </cell>
          <cell r="AC6551">
            <v>40.432128910000003</v>
          </cell>
          <cell r="AD6551">
            <v>36.045471190000001</v>
          </cell>
        </row>
        <row r="6552">
          <cell r="L6552" t="str">
            <v>حسن علي</v>
          </cell>
          <cell r="M6552" t="str">
            <v>C7309</v>
          </cell>
          <cell r="AC6552">
            <v>41.06408691</v>
          </cell>
          <cell r="AD6552">
            <v>36.048522949999999</v>
          </cell>
        </row>
        <row r="6553">
          <cell r="L6553" t="str">
            <v>خويلد الشدادة</v>
          </cell>
          <cell r="M6553" t="str">
            <v>C7310</v>
          </cell>
          <cell r="AC6553">
            <v>41.128295899999998</v>
          </cell>
          <cell r="AD6553">
            <v>36.052490229999997</v>
          </cell>
        </row>
        <row r="6554">
          <cell r="L6554" t="str">
            <v>دريسية</v>
          </cell>
          <cell r="M6554" t="str">
            <v>C7311</v>
          </cell>
          <cell r="AC6554">
            <v>41.076721190000001</v>
          </cell>
          <cell r="AD6554">
            <v>36.052917479999998</v>
          </cell>
        </row>
        <row r="6555">
          <cell r="L6555" t="str">
            <v>السايبة</v>
          </cell>
          <cell r="M6555" t="str">
            <v>C7312</v>
          </cell>
          <cell r="AC6555">
            <v>41.205322270000003</v>
          </cell>
          <cell r="AD6555">
            <v>36.053894040000003</v>
          </cell>
        </row>
        <row r="6556">
          <cell r="L6556" t="str">
            <v>النورية</v>
          </cell>
          <cell r="M6556" t="str">
            <v>C7313</v>
          </cell>
          <cell r="AC6556">
            <v>40.53009033</v>
          </cell>
          <cell r="AD6556">
            <v>36.057312009999997</v>
          </cell>
        </row>
        <row r="6557">
          <cell r="L6557" t="str">
            <v>ابو شوكة</v>
          </cell>
          <cell r="M6557" t="str">
            <v>C7314</v>
          </cell>
          <cell r="AC6557">
            <v>40.38787842</v>
          </cell>
          <cell r="AD6557">
            <v>36.06091309</v>
          </cell>
        </row>
        <row r="6558">
          <cell r="L6558" t="str">
            <v>ام حجر</v>
          </cell>
          <cell r="M6558" t="str">
            <v>C7315</v>
          </cell>
          <cell r="AC6558">
            <v>40.638122559999999</v>
          </cell>
          <cell r="AD6558">
            <v>36.061096190000001</v>
          </cell>
        </row>
        <row r="6559">
          <cell r="L6559" t="str">
            <v>المسحور</v>
          </cell>
          <cell r="M6559" t="str">
            <v>C7316</v>
          </cell>
          <cell r="AC6559">
            <v>41.061279300000002</v>
          </cell>
          <cell r="AD6559">
            <v>36.061279300000002</v>
          </cell>
        </row>
        <row r="6560">
          <cell r="L6560" t="str">
            <v>كميسية</v>
          </cell>
          <cell r="M6560" t="str">
            <v>C7317</v>
          </cell>
          <cell r="AC6560">
            <v>41.104919430000002</v>
          </cell>
          <cell r="AD6560">
            <v>36.06408691</v>
          </cell>
        </row>
        <row r="6561">
          <cell r="L6561" t="str">
            <v>بعاجة شرقية</v>
          </cell>
          <cell r="M6561" t="str">
            <v>C7318</v>
          </cell>
          <cell r="AC6561">
            <v>40.608276369999999</v>
          </cell>
          <cell r="AD6561">
            <v>36.068115229999997</v>
          </cell>
        </row>
        <row r="6562">
          <cell r="L6562" t="str">
            <v>ابو صخرة شمالي</v>
          </cell>
          <cell r="M6562" t="str">
            <v>C7319</v>
          </cell>
          <cell r="AC6562">
            <v>41.134521479999997</v>
          </cell>
          <cell r="AD6562">
            <v>36.069274900000003</v>
          </cell>
        </row>
        <row r="6563">
          <cell r="L6563" t="str">
            <v>حنان باب الخور</v>
          </cell>
          <cell r="M6563" t="str">
            <v>C7320</v>
          </cell>
          <cell r="AC6563">
            <v>40.367492679999998</v>
          </cell>
          <cell r="AD6563">
            <v>36.069885249999999</v>
          </cell>
        </row>
        <row r="6564">
          <cell r="L6564" t="str">
            <v>قدارة</v>
          </cell>
          <cell r="M6564" t="str">
            <v>C7321</v>
          </cell>
          <cell r="AC6564">
            <v>37.132507320000002</v>
          </cell>
          <cell r="AD6564">
            <v>36.0703125</v>
          </cell>
        </row>
        <row r="6565">
          <cell r="L6565" t="str">
            <v>حميدية الشدادة</v>
          </cell>
          <cell r="M6565" t="str">
            <v>C7322</v>
          </cell>
          <cell r="AC6565">
            <v>41.07928467</v>
          </cell>
          <cell r="AD6565">
            <v>36.075927729999997</v>
          </cell>
        </row>
        <row r="6566">
          <cell r="L6566" t="str">
            <v>خانة عسان</v>
          </cell>
          <cell r="M6566" t="str">
            <v>C7323</v>
          </cell>
          <cell r="AC6566">
            <v>37.1953125</v>
          </cell>
          <cell r="AD6566">
            <v>36.084899900000003</v>
          </cell>
        </row>
        <row r="6567">
          <cell r="L6567" t="str">
            <v>خربة البير</v>
          </cell>
          <cell r="M6567" t="str">
            <v>C7324</v>
          </cell>
          <cell r="AC6567">
            <v>40.283508300000001</v>
          </cell>
          <cell r="AD6567">
            <v>36.088500979999999</v>
          </cell>
        </row>
        <row r="6568">
          <cell r="L6568" t="str">
            <v>الحلو</v>
          </cell>
          <cell r="M6568" t="str">
            <v>C7325</v>
          </cell>
          <cell r="AC6568">
            <v>41.091308589999997</v>
          </cell>
          <cell r="AD6568">
            <v>36.08868408</v>
          </cell>
        </row>
        <row r="6569">
          <cell r="L6569" t="str">
            <v>مقمن - مكمن</v>
          </cell>
          <cell r="M6569" t="str">
            <v>C7326</v>
          </cell>
          <cell r="AC6569">
            <v>40.589477539999997</v>
          </cell>
          <cell r="AD6569">
            <v>36.091491699999999</v>
          </cell>
        </row>
        <row r="6570">
          <cell r="L6570" t="str">
            <v>البحيرة</v>
          </cell>
          <cell r="M6570" t="str">
            <v>C7327</v>
          </cell>
          <cell r="AC6570">
            <v>37.154724119999997</v>
          </cell>
          <cell r="AD6570">
            <v>36.092285160000003</v>
          </cell>
        </row>
        <row r="6571">
          <cell r="L6571" t="str">
            <v>الكرين</v>
          </cell>
          <cell r="M6571" t="str">
            <v>C7328</v>
          </cell>
          <cell r="AC6571">
            <v>37.573730470000001</v>
          </cell>
          <cell r="AD6571">
            <v>36.093322749999999</v>
          </cell>
        </row>
        <row r="6572">
          <cell r="L6572" t="str">
            <v>رملان شرقي</v>
          </cell>
          <cell r="M6572" t="str">
            <v>C7329</v>
          </cell>
          <cell r="AC6572">
            <v>40.626892089999998</v>
          </cell>
          <cell r="AD6572">
            <v>36.094482419999999</v>
          </cell>
        </row>
        <row r="6573">
          <cell r="L6573" t="str">
            <v>فكا</v>
          </cell>
          <cell r="M6573" t="str">
            <v>C7330</v>
          </cell>
          <cell r="AC6573">
            <v>41.034301759999998</v>
          </cell>
          <cell r="AD6573">
            <v>36.095703129999997</v>
          </cell>
        </row>
        <row r="6574">
          <cell r="L6574" t="str">
            <v>الكدر</v>
          </cell>
          <cell r="M6574" t="str">
            <v>C7331</v>
          </cell>
          <cell r="AC6574">
            <v>37.146484379999997</v>
          </cell>
          <cell r="AD6574">
            <v>36.096679690000002</v>
          </cell>
        </row>
        <row r="6575">
          <cell r="L6575" t="str">
            <v>ام الماعز</v>
          </cell>
          <cell r="M6575" t="str">
            <v>C7332</v>
          </cell>
          <cell r="AC6575">
            <v>40.46691895</v>
          </cell>
          <cell r="AD6575">
            <v>36.096679690000002</v>
          </cell>
        </row>
        <row r="6576">
          <cell r="L6576" t="str">
            <v>الكسارة</v>
          </cell>
          <cell r="M6576" t="str">
            <v>C7333</v>
          </cell>
          <cell r="AC6576">
            <v>37.152282720000002</v>
          </cell>
          <cell r="AD6576">
            <v>36.097290039999997</v>
          </cell>
        </row>
        <row r="6577">
          <cell r="L6577" t="str">
            <v>العزيزية</v>
          </cell>
          <cell r="M6577" t="str">
            <v>C7334</v>
          </cell>
          <cell r="AC6577">
            <v>37.367675779999999</v>
          </cell>
          <cell r="AD6577">
            <v>36.098083500000001</v>
          </cell>
        </row>
        <row r="6578">
          <cell r="L6578" t="str">
            <v>العامرية جبل سمعان</v>
          </cell>
          <cell r="M6578" t="str">
            <v>C7335</v>
          </cell>
          <cell r="AC6578">
            <v>37.100280759999997</v>
          </cell>
          <cell r="AD6578">
            <v>36.100524900000003</v>
          </cell>
        </row>
        <row r="6579">
          <cell r="L6579" t="str">
            <v>زبيدة</v>
          </cell>
          <cell r="M6579" t="str">
            <v>C7336</v>
          </cell>
          <cell r="AC6579">
            <v>37.641479490000002</v>
          </cell>
          <cell r="AD6579">
            <v>36.106506349999997</v>
          </cell>
        </row>
        <row r="6580">
          <cell r="L6580" t="str">
            <v>كفر جوم شرقي</v>
          </cell>
          <cell r="M6580" t="str">
            <v>C7337</v>
          </cell>
          <cell r="AC6580">
            <v>36.987915039999997</v>
          </cell>
          <cell r="AD6580">
            <v>36.107910160000003</v>
          </cell>
        </row>
        <row r="6581">
          <cell r="L6581" t="str">
            <v>المزار</v>
          </cell>
          <cell r="M6581" t="str">
            <v>C7338</v>
          </cell>
          <cell r="AC6581">
            <v>41.154724119999997</v>
          </cell>
          <cell r="AD6581">
            <v>36.109313970000002</v>
          </cell>
        </row>
        <row r="6582">
          <cell r="L6582" t="str">
            <v>العكلة</v>
          </cell>
          <cell r="M6582" t="str">
            <v>C7339</v>
          </cell>
          <cell r="AC6582">
            <v>40.320495610000002</v>
          </cell>
          <cell r="AD6582">
            <v>36.110900880000003</v>
          </cell>
        </row>
        <row r="6583">
          <cell r="L6583" t="str">
            <v>ترومبة</v>
          </cell>
          <cell r="M6583" t="str">
            <v>C7340</v>
          </cell>
          <cell r="AC6583">
            <v>40.38372803</v>
          </cell>
          <cell r="AD6583">
            <v>36.11328125</v>
          </cell>
        </row>
        <row r="6584">
          <cell r="L6584" t="str">
            <v>رجم حجر</v>
          </cell>
          <cell r="M6584" t="str">
            <v>C7341</v>
          </cell>
          <cell r="AC6584">
            <v>41.226684570000003</v>
          </cell>
          <cell r="AD6584">
            <v>36.115478520000003</v>
          </cell>
        </row>
        <row r="6585">
          <cell r="L6585" t="str">
            <v>المغير</v>
          </cell>
          <cell r="M6585" t="str">
            <v>C7342</v>
          </cell>
          <cell r="AC6585">
            <v>37.007690429999997</v>
          </cell>
          <cell r="AD6585">
            <v>36.118896479999997</v>
          </cell>
        </row>
        <row r="6586">
          <cell r="L6586" t="str">
            <v>خربة السام</v>
          </cell>
          <cell r="M6586" t="str">
            <v>C7343</v>
          </cell>
          <cell r="AC6586">
            <v>40.632873539999999</v>
          </cell>
          <cell r="AD6586">
            <v>36.120483399999998</v>
          </cell>
        </row>
        <row r="6587">
          <cell r="L6587" t="str">
            <v>مسعورة</v>
          </cell>
          <cell r="M6587" t="str">
            <v>C7344</v>
          </cell>
          <cell r="AC6587">
            <v>40.651916499999999</v>
          </cell>
          <cell r="AD6587">
            <v>36.122070309999998</v>
          </cell>
        </row>
        <row r="6588">
          <cell r="L6588" t="str">
            <v>قصيبة</v>
          </cell>
          <cell r="M6588" t="str">
            <v>C7345</v>
          </cell>
          <cell r="AC6588">
            <v>40.236083979999997</v>
          </cell>
          <cell r="AD6588">
            <v>36.124328609999999</v>
          </cell>
        </row>
        <row r="6589">
          <cell r="L6589" t="str">
            <v>رميلان</v>
          </cell>
          <cell r="M6589" t="str">
            <v>C7346</v>
          </cell>
          <cell r="AC6589">
            <v>40.575073240000002</v>
          </cell>
          <cell r="AD6589">
            <v>36.12591553</v>
          </cell>
        </row>
        <row r="6590">
          <cell r="L6590" t="str">
            <v>خربة السوم</v>
          </cell>
          <cell r="M6590" t="str">
            <v>C7347</v>
          </cell>
          <cell r="AC6590">
            <v>40.665283199999998</v>
          </cell>
          <cell r="AD6590">
            <v>36.126281740000003</v>
          </cell>
        </row>
        <row r="6591">
          <cell r="L6591" t="str">
            <v>الرضوان</v>
          </cell>
          <cell r="M6591" t="str">
            <v>C7348</v>
          </cell>
          <cell r="AC6591">
            <v>36.945495610000002</v>
          </cell>
          <cell r="AD6591">
            <v>36.128478999999999</v>
          </cell>
        </row>
        <row r="6592">
          <cell r="L6592" t="str">
            <v>ابو حجر</v>
          </cell>
          <cell r="M6592" t="str">
            <v>C7349</v>
          </cell>
          <cell r="AC6592">
            <v>40.61950684</v>
          </cell>
          <cell r="AD6592">
            <v>36.128723149999999</v>
          </cell>
        </row>
        <row r="6593">
          <cell r="L6593" t="str">
            <v>قريطية</v>
          </cell>
          <cell r="M6593" t="str">
            <v>C7350</v>
          </cell>
          <cell r="AC6593">
            <v>37.398315429999997</v>
          </cell>
          <cell r="AD6593">
            <v>36.133483890000001</v>
          </cell>
        </row>
        <row r="6594">
          <cell r="L6594" t="str">
            <v>خربة التمر</v>
          </cell>
          <cell r="M6594" t="str">
            <v>C7351</v>
          </cell>
          <cell r="AC6594">
            <v>40.643676759999998</v>
          </cell>
          <cell r="AD6594">
            <v>36.134704589999998</v>
          </cell>
        </row>
        <row r="6595">
          <cell r="L6595" t="str">
            <v>شويحان</v>
          </cell>
          <cell r="M6595" t="str">
            <v>C7352</v>
          </cell>
          <cell r="AC6595">
            <v>40.585876470000002</v>
          </cell>
          <cell r="AD6595">
            <v>36.136108399999998</v>
          </cell>
        </row>
        <row r="6596">
          <cell r="L6596" t="str">
            <v>الشويحية</v>
          </cell>
          <cell r="M6596" t="str">
            <v>C7353</v>
          </cell>
          <cell r="AC6596">
            <v>40.866882320000002</v>
          </cell>
          <cell r="AD6596">
            <v>36.137512209999997</v>
          </cell>
        </row>
        <row r="6597">
          <cell r="L6597" t="str">
            <v>سويحان</v>
          </cell>
          <cell r="M6597" t="str">
            <v>C7354</v>
          </cell>
          <cell r="AC6597">
            <v>40.613708500000001</v>
          </cell>
          <cell r="AD6597">
            <v>36.139282229999999</v>
          </cell>
        </row>
        <row r="6598">
          <cell r="L6598" t="str">
            <v>زهرة مدائن</v>
          </cell>
          <cell r="M6598" t="str">
            <v>C7355</v>
          </cell>
          <cell r="AC6598">
            <v>37.013122559999999</v>
          </cell>
          <cell r="AD6598">
            <v>36.140075680000002</v>
          </cell>
        </row>
        <row r="6599">
          <cell r="L6599" t="str">
            <v>عين العصافير</v>
          </cell>
          <cell r="M6599" t="str">
            <v>C7356</v>
          </cell>
          <cell r="AC6599">
            <v>37.155517580000001</v>
          </cell>
          <cell r="AD6599">
            <v>36.141296390000001</v>
          </cell>
        </row>
        <row r="6600">
          <cell r="L6600" t="str">
            <v>خربة خريس</v>
          </cell>
          <cell r="M6600" t="str">
            <v>C7357</v>
          </cell>
          <cell r="AC6600">
            <v>37.067077640000001</v>
          </cell>
          <cell r="AD6600">
            <v>36.141906740000003</v>
          </cell>
        </row>
        <row r="6601">
          <cell r="L6601" t="str">
            <v>ابو شعيلم</v>
          </cell>
          <cell r="M6601" t="str">
            <v>C7358</v>
          </cell>
          <cell r="AC6601">
            <v>37.03009033</v>
          </cell>
          <cell r="AD6601">
            <v>36.142272949999999</v>
          </cell>
        </row>
        <row r="6602">
          <cell r="L6602" t="str">
            <v>جمعية الرحال</v>
          </cell>
          <cell r="M6602" t="str">
            <v>C7359</v>
          </cell>
          <cell r="AC6602">
            <v>36.981079100000002</v>
          </cell>
          <cell r="AD6602">
            <v>36.143676759999998</v>
          </cell>
        </row>
        <row r="6603">
          <cell r="L6603" t="str">
            <v>طريديم</v>
          </cell>
          <cell r="M6603" t="str">
            <v>C7360</v>
          </cell>
          <cell r="AC6603">
            <v>37.392089839999997</v>
          </cell>
          <cell r="AD6603">
            <v>36.145080569999998</v>
          </cell>
        </row>
        <row r="6604">
          <cell r="L6604" t="str">
            <v>خريجي</v>
          </cell>
          <cell r="M6604" t="str">
            <v>C7361</v>
          </cell>
          <cell r="AC6604">
            <v>40.679870610000002</v>
          </cell>
          <cell r="AD6604">
            <v>36.145324709999997</v>
          </cell>
        </row>
        <row r="6605">
          <cell r="L6605" t="str">
            <v>مشيرفة الحسكة</v>
          </cell>
          <cell r="M6605" t="str">
            <v>C7362</v>
          </cell>
          <cell r="AC6605">
            <v>40.600524900000003</v>
          </cell>
          <cell r="AD6605">
            <v>36.146728520000003</v>
          </cell>
        </row>
        <row r="6606">
          <cell r="L6606" t="str">
            <v>هدج</v>
          </cell>
          <cell r="M6606" t="str">
            <v>C7363</v>
          </cell>
          <cell r="AC6606">
            <v>40.560119630000003</v>
          </cell>
          <cell r="AD6606">
            <v>36.146728520000003</v>
          </cell>
        </row>
        <row r="6607">
          <cell r="L6607" t="str">
            <v>النكرورة</v>
          </cell>
          <cell r="M6607" t="str">
            <v>C7364</v>
          </cell>
          <cell r="AC6607">
            <v>37.411926270000002</v>
          </cell>
          <cell r="AD6607">
            <v>36.14868164</v>
          </cell>
        </row>
        <row r="6608">
          <cell r="L6608" t="str">
            <v>خربة الشوك</v>
          </cell>
          <cell r="M6608" t="str">
            <v>C7365</v>
          </cell>
          <cell r="AC6608">
            <v>40.62890625</v>
          </cell>
          <cell r="AD6608">
            <v>36.151672359999999</v>
          </cell>
        </row>
        <row r="6609">
          <cell r="L6609" t="str">
            <v>كهفت صغير</v>
          </cell>
          <cell r="M6609" t="str">
            <v>C7366</v>
          </cell>
          <cell r="AC6609">
            <v>40.644897460000003</v>
          </cell>
          <cell r="AD6609">
            <v>36.152893069999998</v>
          </cell>
        </row>
        <row r="6610">
          <cell r="L6610" t="str">
            <v>خشمانية</v>
          </cell>
          <cell r="M6610" t="str">
            <v>C7367</v>
          </cell>
          <cell r="AC6610">
            <v>40.42028809</v>
          </cell>
          <cell r="AD6610">
            <v>36.157104490000002</v>
          </cell>
        </row>
        <row r="6611">
          <cell r="L6611" t="str">
            <v>العزيزة</v>
          </cell>
          <cell r="M6611" t="str">
            <v>C7368</v>
          </cell>
          <cell r="AC6611">
            <v>37.189880369999997</v>
          </cell>
          <cell r="AD6611">
            <v>36.15991211</v>
          </cell>
        </row>
        <row r="6612">
          <cell r="L6612" t="str">
            <v>الراشدين</v>
          </cell>
          <cell r="M6612" t="str">
            <v>C7369</v>
          </cell>
          <cell r="AC6612">
            <v>37.062927250000001</v>
          </cell>
          <cell r="AD6612">
            <v>36.163330080000001</v>
          </cell>
        </row>
        <row r="6613">
          <cell r="L6613" t="str">
            <v>خربة السوا</v>
          </cell>
          <cell r="M6613" t="str">
            <v>C7370</v>
          </cell>
          <cell r="AC6613">
            <v>40.604675290000003</v>
          </cell>
          <cell r="AD6613">
            <v>36.165283199999998</v>
          </cell>
        </row>
        <row r="6614">
          <cell r="L6614" t="str">
            <v>ام معشية</v>
          </cell>
          <cell r="M6614" t="str">
            <v>C7371</v>
          </cell>
          <cell r="AC6614">
            <v>40.573486330000001</v>
          </cell>
          <cell r="AD6614">
            <v>36.16888428</v>
          </cell>
        </row>
        <row r="6615">
          <cell r="L6615" t="str">
            <v>مطاري</v>
          </cell>
          <cell r="M6615" t="str">
            <v>C7372</v>
          </cell>
          <cell r="AC6615">
            <v>41.178283690000001</v>
          </cell>
          <cell r="AD6615">
            <v>36.169311520000001</v>
          </cell>
        </row>
        <row r="6616">
          <cell r="L6616" t="str">
            <v>الفكا</v>
          </cell>
          <cell r="M6616" t="str">
            <v>C7373</v>
          </cell>
          <cell r="AC6616">
            <v>40.629516600000002</v>
          </cell>
          <cell r="AD6616">
            <v>36.169921879999997</v>
          </cell>
        </row>
        <row r="6617">
          <cell r="L6617" t="str">
            <v>سالمية ام كهف</v>
          </cell>
          <cell r="M6617" t="str">
            <v>C7374</v>
          </cell>
          <cell r="AC6617">
            <v>40.551879880000001</v>
          </cell>
          <cell r="AD6617">
            <v>36.17028809</v>
          </cell>
        </row>
        <row r="6618">
          <cell r="L6618" t="str">
            <v>عسيلة</v>
          </cell>
          <cell r="M6618" t="str">
            <v>C7375</v>
          </cell>
          <cell r="AC6618">
            <v>40.473327640000001</v>
          </cell>
          <cell r="AD6618">
            <v>36.173889160000002</v>
          </cell>
        </row>
        <row r="6619">
          <cell r="L6619" t="str">
            <v>دبشية</v>
          </cell>
          <cell r="M6619" t="str">
            <v>C7376</v>
          </cell>
          <cell r="AC6619">
            <v>40.399902339999997</v>
          </cell>
          <cell r="AD6619">
            <v>36.174316410000003</v>
          </cell>
        </row>
        <row r="6620">
          <cell r="L6620" t="str">
            <v>رجلة الخنزير</v>
          </cell>
          <cell r="M6620" t="str">
            <v>C7377</v>
          </cell>
          <cell r="AC6620">
            <v>40.822082520000002</v>
          </cell>
          <cell r="AD6620">
            <v>36.176330569999998</v>
          </cell>
        </row>
        <row r="6621">
          <cell r="L6621" t="str">
            <v>كنفوشة</v>
          </cell>
          <cell r="M6621" t="str">
            <v>C7378</v>
          </cell>
          <cell r="AC6621">
            <v>40.453125</v>
          </cell>
          <cell r="AD6621">
            <v>36.17669678</v>
          </cell>
        </row>
        <row r="6622">
          <cell r="L6622" t="str">
            <v>غونا</v>
          </cell>
          <cell r="M6622" t="str">
            <v>C7379</v>
          </cell>
          <cell r="AC6622">
            <v>41.070922850000002</v>
          </cell>
          <cell r="AD6622">
            <v>36.178283690000001</v>
          </cell>
        </row>
        <row r="6623">
          <cell r="L6623" t="str">
            <v>المدينة</v>
          </cell>
          <cell r="M6623" t="str">
            <v>C7380</v>
          </cell>
          <cell r="AC6623">
            <v>40.83410645</v>
          </cell>
          <cell r="AD6623">
            <v>36.183715820000003</v>
          </cell>
        </row>
        <row r="6624">
          <cell r="L6624" t="str">
            <v>القرسات</v>
          </cell>
          <cell r="M6624" t="str">
            <v>C7381</v>
          </cell>
          <cell r="AC6624">
            <v>40.975891109999999</v>
          </cell>
          <cell r="AD6624">
            <v>36.18450928</v>
          </cell>
        </row>
        <row r="6625">
          <cell r="L6625" t="str">
            <v>خويتلة</v>
          </cell>
          <cell r="M6625" t="str">
            <v>C7383</v>
          </cell>
          <cell r="AC6625">
            <v>40.515075680000002</v>
          </cell>
          <cell r="AD6625">
            <v>36.186523440000002</v>
          </cell>
        </row>
        <row r="6626">
          <cell r="L6626" t="str">
            <v>فرحية</v>
          </cell>
          <cell r="M6626" t="str">
            <v>C7384</v>
          </cell>
          <cell r="AC6626">
            <v>40.621704100000002</v>
          </cell>
          <cell r="AD6626">
            <v>36.187316899999999</v>
          </cell>
        </row>
        <row r="6627">
          <cell r="L6627" t="str">
            <v>آدم</v>
          </cell>
          <cell r="M6627" t="str">
            <v>C7385</v>
          </cell>
          <cell r="AC6627">
            <v>40.496887209999997</v>
          </cell>
          <cell r="AD6627">
            <v>36.187683110000002</v>
          </cell>
        </row>
        <row r="6628">
          <cell r="L6628" t="str">
            <v>بير شلال غربي</v>
          </cell>
          <cell r="M6628" t="str">
            <v>C7386</v>
          </cell>
          <cell r="AC6628">
            <v>38.405883789999997</v>
          </cell>
          <cell r="AD6628">
            <v>36.188293459999997</v>
          </cell>
        </row>
        <row r="6629">
          <cell r="L6629" t="str">
            <v>بيوض</v>
          </cell>
          <cell r="M6629" t="str">
            <v>C7387</v>
          </cell>
          <cell r="AC6629">
            <v>40.922302250000001</v>
          </cell>
          <cell r="AD6629">
            <v>36.188720699999998</v>
          </cell>
        </row>
        <row r="6630">
          <cell r="L6630" t="str">
            <v>رشيدية الخفسة</v>
          </cell>
          <cell r="M6630" t="str">
            <v>C7388</v>
          </cell>
          <cell r="AC6630">
            <v>37.836730959999997</v>
          </cell>
          <cell r="AD6630">
            <v>36.188903809999999</v>
          </cell>
        </row>
        <row r="6631">
          <cell r="L6631" t="str">
            <v>البلاش</v>
          </cell>
          <cell r="M6631" t="str">
            <v>C7389</v>
          </cell>
          <cell r="AC6631">
            <v>40.87591553</v>
          </cell>
          <cell r="AD6631">
            <v>36.191101070000002</v>
          </cell>
        </row>
        <row r="6632">
          <cell r="L6632" t="str">
            <v>احمد سلام</v>
          </cell>
          <cell r="M6632" t="str">
            <v>C7390</v>
          </cell>
          <cell r="AC6632">
            <v>40.77069092</v>
          </cell>
          <cell r="AD6632">
            <v>36.191528320000003</v>
          </cell>
        </row>
        <row r="6633">
          <cell r="L6633" t="str">
            <v>ابو كبرة</v>
          </cell>
          <cell r="M6633" t="str">
            <v>C7391</v>
          </cell>
          <cell r="AC6633">
            <v>40.829528809999999</v>
          </cell>
          <cell r="AD6633">
            <v>36.193115229999997</v>
          </cell>
        </row>
        <row r="6634">
          <cell r="L6634" t="str">
            <v>مشيرفة العريشة</v>
          </cell>
          <cell r="M6634" t="str">
            <v>C7392</v>
          </cell>
          <cell r="AC6634">
            <v>40.855102539999997</v>
          </cell>
          <cell r="AD6634">
            <v>36.19348145</v>
          </cell>
        </row>
        <row r="6635">
          <cell r="L6635" t="str">
            <v>جمعية عازار</v>
          </cell>
          <cell r="M6635" t="str">
            <v>C7393</v>
          </cell>
          <cell r="AC6635">
            <v>36.980102539999997</v>
          </cell>
          <cell r="AD6635">
            <v>36.194091800000002</v>
          </cell>
        </row>
        <row r="6636">
          <cell r="L6636" t="str">
            <v>الحويلية</v>
          </cell>
          <cell r="M6636" t="str">
            <v>C7394</v>
          </cell>
          <cell r="AC6636">
            <v>41.016723630000001</v>
          </cell>
          <cell r="AD6636">
            <v>36.194702149999998</v>
          </cell>
        </row>
        <row r="6637">
          <cell r="L6637" t="str">
            <v>مرثية</v>
          </cell>
          <cell r="M6637" t="str">
            <v>C7395</v>
          </cell>
          <cell r="AC6637">
            <v>40.503723149999999</v>
          </cell>
          <cell r="AD6637">
            <v>36.1953125</v>
          </cell>
        </row>
        <row r="6638">
          <cell r="L6638" t="str">
            <v>ام الجفا</v>
          </cell>
          <cell r="M6638" t="str">
            <v>C7396</v>
          </cell>
          <cell r="AC6638">
            <v>40.427490229999997</v>
          </cell>
          <cell r="AD6638">
            <v>36.199279789999999</v>
          </cell>
        </row>
        <row r="6639">
          <cell r="L6639" t="str">
            <v>الرايد</v>
          </cell>
          <cell r="M6639" t="str">
            <v>C7397</v>
          </cell>
          <cell r="AC6639">
            <v>40.80767822</v>
          </cell>
          <cell r="AD6639">
            <v>36.199279789999999</v>
          </cell>
        </row>
        <row r="6640">
          <cell r="L6640" t="str">
            <v>خربة السويدية</v>
          </cell>
          <cell r="M6640" t="str">
            <v>C7398</v>
          </cell>
          <cell r="AC6640">
            <v>40.584472660000003</v>
          </cell>
          <cell r="AD6640">
            <v>36.201110839999998</v>
          </cell>
        </row>
        <row r="6641">
          <cell r="L6641" t="str">
            <v>طويلة</v>
          </cell>
          <cell r="M6641" t="str">
            <v>C7399</v>
          </cell>
          <cell r="AC6641">
            <v>40.849670410000002</v>
          </cell>
          <cell r="AD6641">
            <v>36.201477050000001</v>
          </cell>
        </row>
        <row r="6642">
          <cell r="L6642" t="str">
            <v>سيحا</v>
          </cell>
          <cell r="M6642" t="str">
            <v>C7400</v>
          </cell>
          <cell r="AC6642">
            <v>40.924926759999998</v>
          </cell>
          <cell r="AD6642">
            <v>36.202087400000003</v>
          </cell>
        </row>
        <row r="6643">
          <cell r="L6643" t="str">
            <v>ارض الحمرا</v>
          </cell>
          <cell r="M6643" t="str">
            <v>C7401</v>
          </cell>
          <cell r="AC6643">
            <v>37.223510740000002</v>
          </cell>
          <cell r="AD6643">
            <v>36.202087400000003</v>
          </cell>
        </row>
        <row r="6644">
          <cell r="L6644" t="str">
            <v>حويطلة</v>
          </cell>
          <cell r="M6644" t="str">
            <v>C7402</v>
          </cell>
          <cell r="AC6644">
            <v>40.835876470000002</v>
          </cell>
          <cell r="AD6644">
            <v>36.205688479999999</v>
          </cell>
        </row>
        <row r="6645">
          <cell r="L6645" t="str">
            <v>معرة منايا</v>
          </cell>
          <cell r="M6645" t="str">
            <v>C7403</v>
          </cell>
          <cell r="AC6645">
            <v>36.59790039</v>
          </cell>
          <cell r="AD6645">
            <v>36.20587158</v>
          </cell>
        </row>
        <row r="6646">
          <cell r="L6646" t="str">
            <v>ترمانية</v>
          </cell>
          <cell r="M6646" t="str">
            <v>C7404</v>
          </cell>
          <cell r="AC6646">
            <v>41.032287599999997</v>
          </cell>
          <cell r="AD6646">
            <v>36.20910645</v>
          </cell>
        </row>
        <row r="6647">
          <cell r="L6647" t="str">
            <v>الامسرية</v>
          </cell>
          <cell r="M6647" t="str">
            <v>C7405</v>
          </cell>
          <cell r="AC6647">
            <v>41.04272461</v>
          </cell>
          <cell r="AD6647">
            <v>36.209716800000002</v>
          </cell>
        </row>
        <row r="6648">
          <cell r="L6648" t="str">
            <v>الجزيرة</v>
          </cell>
          <cell r="M6648" t="str">
            <v>C7406</v>
          </cell>
          <cell r="AC6648">
            <v>37.065673830000001</v>
          </cell>
          <cell r="AD6648">
            <v>36.209899900000003</v>
          </cell>
        </row>
        <row r="6649">
          <cell r="L6649" t="str">
            <v>الكفير حارم</v>
          </cell>
          <cell r="M6649" t="str">
            <v>C7407</v>
          </cell>
          <cell r="AC6649">
            <v>36.671508789999997</v>
          </cell>
          <cell r="AD6649">
            <v>36.21069336</v>
          </cell>
        </row>
        <row r="6650">
          <cell r="L6650" t="str">
            <v>خربة الخطيب</v>
          </cell>
          <cell r="M6650" t="str">
            <v>C7408</v>
          </cell>
          <cell r="AC6650">
            <v>36.638122559999999</v>
          </cell>
          <cell r="AD6650">
            <v>36.213073729999998</v>
          </cell>
        </row>
        <row r="6651">
          <cell r="L6651" t="str">
            <v>الهوى</v>
          </cell>
          <cell r="M6651" t="str">
            <v>C7409</v>
          </cell>
          <cell r="AC6651">
            <v>40.93127441</v>
          </cell>
          <cell r="AD6651">
            <v>36.21392822</v>
          </cell>
        </row>
        <row r="6652">
          <cell r="L6652" t="str">
            <v>عرنة</v>
          </cell>
          <cell r="M6652" t="str">
            <v>C7410</v>
          </cell>
          <cell r="AC6652">
            <v>38.394714360000002</v>
          </cell>
          <cell r="AD6652">
            <v>36.215515140000001</v>
          </cell>
        </row>
        <row r="6653">
          <cell r="L6653" t="str">
            <v>الخوفة</v>
          </cell>
          <cell r="M6653" t="str">
            <v>C7411</v>
          </cell>
          <cell r="AC6653">
            <v>41.087280270000001</v>
          </cell>
          <cell r="AD6653">
            <v>36.216308589999997</v>
          </cell>
        </row>
        <row r="6654">
          <cell r="L6654" t="str">
            <v>مهبلية</v>
          </cell>
          <cell r="M6654" t="str">
            <v>C7412</v>
          </cell>
          <cell r="AC6654">
            <v>41.06408691</v>
          </cell>
          <cell r="AD6654">
            <v>36.217529300000002</v>
          </cell>
        </row>
        <row r="6655">
          <cell r="L6655" t="str">
            <v>سب جدران</v>
          </cell>
          <cell r="M6655" t="str">
            <v>C7413</v>
          </cell>
          <cell r="AC6655">
            <v>40.920898440000002</v>
          </cell>
          <cell r="AD6655">
            <v>36.218322749999999</v>
          </cell>
        </row>
        <row r="6656">
          <cell r="L6656" t="str">
            <v>تلة الغالي</v>
          </cell>
          <cell r="M6656" t="str">
            <v>C7414</v>
          </cell>
          <cell r="AC6656">
            <v>37.236328129999997</v>
          </cell>
          <cell r="AD6656">
            <v>36.220275880000003</v>
          </cell>
        </row>
        <row r="6657">
          <cell r="L6657" t="str">
            <v>داوودية</v>
          </cell>
          <cell r="M6657" t="str">
            <v>C7415</v>
          </cell>
          <cell r="AC6657">
            <v>40.850280759999997</v>
          </cell>
          <cell r="AD6657">
            <v>36.221313479999999</v>
          </cell>
        </row>
        <row r="6658">
          <cell r="L6658" t="str">
            <v>نايفة</v>
          </cell>
          <cell r="M6658" t="str">
            <v>C7416</v>
          </cell>
          <cell r="AC6658">
            <v>40.925109859999999</v>
          </cell>
          <cell r="AD6658">
            <v>36.222290039999997</v>
          </cell>
        </row>
        <row r="6659">
          <cell r="L6659" t="str">
            <v>البوتا</v>
          </cell>
          <cell r="M6659" t="str">
            <v>C7417</v>
          </cell>
          <cell r="AC6659">
            <v>41.112487790000003</v>
          </cell>
          <cell r="AD6659">
            <v>36.223693849999997</v>
          </cell>
        </row>
        <row r="6660">
          <cell r="L6660" t="str">
            <v>مستورة</v>
          </cell>
          <cell r="M6660" t="str">
            <v>C7418</v>
          </cell>
          <cell r="AC6660">
            <v>40.948913570000002</v>
          </cell>
          <cell r="AD6660">
            <v>36.225097660000003</v>
          </cell>
        </row>
        <row r="6661">
          <cell r="L6661" t="str">
            <v>حنجية</v>
          </cell>
          <cell r="M6661" t="str">
            <v>C7419</v>
          </cell>
          <cell r="AC6661">
            <v>40.786499020000001</v>
          </cell>
          <cell r="AD6661">
            <v>36.225280759999997</v>
          </cell>
        </row>
        <row r="6662">
          <cell r="L6662" t="str">
            <v>الحف</v>
          </cell>
          <cell r="M6662" t="str">
            <v>C7420</v>
          </cell>
          <cell r="AC6662">
            <v>40.897094729999999</v>
          </cell>
          <cell r="AD6662">
            <v>36.228088380000003</v>
          </cell>
        </row>
        <row r="6663">
          <cell r="L6663" t="str">
            <v>سلماسة</v>
          </cell>
          <cell r="M6663" t="str">
            <v>C7421</v>
          </cell>
          <cell r="AC6663">
            <v>40.918090820000003</v>
          </cell>
          <cell r="AD6663">
            <v>36.22930908</v>
          </cell>
        </row>
        <row r="6664">
          <cell r="L6664" t="str">
            <v>بشتولكة</v>
          </cell>
          <cell r="M6664" t="str">
            <v>C7422</v>
          </cell>
          <cell r="AC6664">
            <v>38.375122070000003</v>
          </cell>
          <cell r="AD6664">
            <v>36.229675290000003</v>
          </cell>
        </row>
        <row r="6665">
          <cell r="L6665" t="str">
            <v>مطفية</v>
          </cell>
          <cell r="M6665" t="str">
            <v>C7423</v>
          </cell>
          <cell r="AC6665">
            <v>40.972473149999999</v>
          </cell>
          <cell r="AD6665">
            <v>36.231506349999997</v>
          </cell>
        </row>
        <row r="6666">
          <cell r="L6666" t="str">
            <v>ام حجر</v>
          </cell>
          <cell r="M6666" t="str">
            <v>C7424</v>
          </cell>
          <cell r="AC6666">
            <v>41.046081540000003</v>
          </cell>
          <cell r="AD6666">
            <v>36.232910160000003</v>
          </cell>
        </row>
        <row r="6667">
          <cell r="L6667" t="str">
            <v>الفيضة</v>
          </cell>
          <cell r="M6667" t="str">
            <v>C7425</v>
          </cell>
          <cell r="AC6667">
            <v>41.086486819999998</v>
          </cell>
          <cell r="AD6667">
            <v>36.235473630000001</v>
          </cell>
        </row>
        <row r="6668">
          <cell r="L6668" t="str">
            <v>الكلسة</v>
          </cell>
          <cell r="M6668" t="str">
            <v>C7426</v>
          </cell>
          <cell r="AC6668">
            <v>40.885681150000003</v>
          </cell>
          <cell r="AD6668">
            <v>36.23712158</v>
          </cell>
        </row>
        <row r="6669">
          <cell r="L6669" t="str">
            <v>سرجبلة</v>
          </cell>
          <cell r="M6669" t="str">
            <v>C7427</v>
          </cell>
          <cell r="AC6669">
            <v>36.717529300000002</v>
          </cell>
          <cell r="AD6669">
            <v>36.239685059999999</v>
          </cell>
        </row>
        <row r="6670">
          <cell r="L6670" t="str">
            <v>سلطان الضهير</v>
          </cell>
          <cell r="M6670" t="str">
            <v>C7428</v>
          </cell>
          <cell r="AC6670">
            <v>41.006286619999997</v>
          </cell>
          <cell r="AD6670">
            <v>36.24127197</v>
          </cell>
        </row>
        <row r="6671">
          <cell r="L6671" t="str">
            <v>مرداس</v>
          </cell>
          <cell r="M6671" t="str">
            <v>C7429</v>
          </cell>
          <cell r="AC6671">
            <v>38.52368164</v>
          </cell>
          <cell r="AD6671">
            <v>36.242675779999999</v>
          </cell>
        </row>
        <row r="6672">
          <cell r="L6672" t="str">
            <v>جمعية المعري</v>
          </cell>
          <cell r="M6672" t="str">
            <v>C7430</v>
          </cell>
          <cell r="AC6672">
            <v>36.935302729999997</v>
          </cell>
          <cell r="AD6672">
            <v>36.24450684</v>
          </cell>
        </row>
        <row r="6673">
          <cell r="L6673" t="str">
            <v>بكدانا</v>
          </cell>
          <cell r="M6673" t="str">
            <v>C7431</v>
          </cell>
          <cell r="AC6673">
            <v>36.922729490000002</v>
          </cell>
          <cell r="AD6673">
            <v>36.247314449999998</v>
          </cell>
        </row>
        <row r="6674">
          <cell r="L6674" t="str">
            <v>ام كسور</v>
          </cell>
          <cell r="M6674" t="str">
            <v>C7432</v>
          </cell>
          <cell r="AC6674">
            <v>40.886108399999998</v>
          </cell>
          <cell r="AD6674">
            <v>36.248474119999997</v>
          </cell>
        </row>
        <row r="6675">
          <cell r="L6675" t="str">
            <v>صيقول</v>
          </cell>
          <cell r="M6675" t="str">
            <v>C7433</v>
          </cell>
          <cell r="AC6675">
            <v>38.497497559999999</v>
          </cell>
          <cell r="AD6675">
            <v>36.253295899999998</v>
          </cell>
        </row>
        <row r="6676">
          <cell r="L6676" t="str">
            <v>الزكية الخفسة</v>
          </cell>
          <cell r="M6676" t="str">
            <v>C7434</v>
          </cell>
          <cell r="AC6676">
            <v>37.755676270000002</v>
          </cell>
          <cell r="AD6676">
            <v>36.257507320000002</v>
          </cell>
        </row>
        <row r="6677">
          <cell r="L6677" t="str">
            <v>عاصي</v>
          </cell>
          <cell r="M6677" t="str">
            <v>C7435</v>
          </cell>
          <cell r="AC6677">
            <v>40.226501470000002</v>
          </cell>
          <cell r="AD6677">
            <v>36.257507320000002</v>
          </cell>
        </row>
        <row r="6678">
          <cell r="L6678" t="str">
            <v>شياب</v>
          </cell>
          <cell r="M6678" t="str">
            <v>C7436</v>
          </cell>
          <cell r="AC6678">
            <v>40.29528809</v>
          </cell>
          <cell r="AD6678">
            <v>36.259704589999998</v>
          </cell>
        </row>
        <row r="6679">
          <cell r="L6679" t="str">
            <v>شيحان</v>
          </cell>
          <cell r="M6679" t="str">
            <v>C7437</v>
          </cell>
          <cell r="AC6679">
            <v>41.124328609999999</v>
          </cell>
          <cell r="AD6679">
            <v>36.2598877</v>
          </cell>
        </row>
        <row r="6680">
          <cell r="L6680" t="str">
            <v>ورودية</v>
          </cell>
          <cell r="M6680" t="str">
            <v>C7438</v>
          </cell>
          <cell r="AC6680">
            <v>37.387329100000002</v>
          </cell>
          <cell r="AD6680">
            <v>36.262329100000002</v>
          </cell>
        </row>
        <row r="6681">
          <cell r="L6681" t="str">
            <v>بركة</v>
          </cell>
          <cell r="M6681" t="str">
            <v>C7439</v>
          </cell>
          <cell r="AC6681">
            <v>40.031921390000001</v>
          </cell>
          <cell r="AD6681">
            <v>36.26470947</v>
          </cell>
        </row>
        <row r="6682">
          <cell r="L6682" t="str">
            <v>المعبدية</v>
          </cell>
          <cell r="M6682" t="str">
            <v>C7440</v>
          </cell>
          <cell r="AC6682">
            <v>37.308471679999997</v>
          </cell>
          <cell r="AD6682">
            <v>36.265502929999997</v>
          </cell>
        </row>
        <row r="6683">
          <cell r="L6683" t="str">
            <v>شيخ سليمان</v>
          </cell>
          <cell r="M6683" t="str">
            <v>C7441</v>
          </cell>
          <cell r="AC6683">
            <v>36.916870119999999</v>
          </cell>
          <cell r="AD6683">
            <v>36.272888180000002</v>
          </cell>
        </row>
        <row r="6684">
          <cell r="L6684" t="str">
            <v>حليسة</v>
          </cell>
          <cell r="M6684" t="str">
            <v>C7442</v>
          </cell>
          <cell r="AC6684">
            <v>37.365722660000003</v>
          </cell>
          <cell r="AD6684">
            <v>36.283874509999997</v>
          </cell>
        </row>
        <row r="6685">
          <cell r="L6685" t="str">
            <v>حج حسان</v>
          </cell>
          <cell r="M6685" t="str">
            <v>C7443</v>
          </cell>
          <cell r="AC6685">
            <v>37.359313970000002</v>
          </cell>
          <cell r="AD6685">
            <v>36.28747559</v>
          </cell>
        </row>
        <row r="6686">
          <cell r="L6686" t="str">
            <v>حندرات</v>
          </cell>
          <cell r="M6686" t="str">
            <v>C7444</v>
          </cell>
          <cell r="AC6686">
            <v>37.159728999999999</v>
          </cell>
          <cell r="AD6686">
            <v>36.288696289999997</v>
          </cell>
        </row>
        <row r="6687">
          <cell r="L6687" t="str">
            <v>تل فوازا</v>
          </cell>
          <cell r="M6687" t="str">
            <v>C7445</v>
          </cell>
          <cell r="AC6687">
            <v>40.540893560000001</v>
          </cell>
          <cell r="AD6687">
            <v>36.292480470000001</v>
          </cell>
        </row>
        <row r="6688">
          <cell r="L6688" t="str">
            <v>الداكرلي</v>
          </cell>
          <cell r="M6688" t="str">
            <v>C7446</v>
          </cell>
          <cell r="AC6688">
            <v>37.348327640000001</v>
          </cell>
          <cell r="AD6688">
            <v>36.29272461</v>
          </cell>
        </row>
        <row r="6689">
          <cell r="L6689" t="str">
            <v>ساوي</v>
          </cell>
          <cell r="M6689" t="str">
            <v>C7447</v>
          </cell>
          <cell r="AC6689">
            <v>41.050292970000001</v>
          </cell>
          <cell r="AD6689">
            <v>36.294677729999997</v>
          </cell>
        </row>
        <row r="6690">
          <cell r="L6690" t="str">
            <v>ام مدفة</v>
          </cell>
          <cell r="M6690" t="str">
            <v>C7448</v>
          </cell>
          <cell r="AC6690">
            <v>40.531921390000001</v>
          </cell>
          <cell r="AD6690">
            <v>36.29571533</v>
          </cell>
        </row>
        <row r="6691">
          <cell r="L6691" t="str">
            <v>غابية</v>
          </cell>
          <cell r="M6691" t="str">
            <v>C7449</v>
          </cell>
          <cell r="AC6691">
            <v>38.51287842</v>
          </cell>
          <cell r="AD6691">
            <v>36.297302250000001</v>
          </cell>
        </row>
        <row r="6692">
          <cell r="L6692" t="str">
            <v>خان حفرة</v>
          </cell>
          <cell r="M6692" t="str">
            <v>C7450</v>
          </cell>
          <cell r="AC6692">
            <v>37.349670410000002</v>
          </cell>
          <cell r="AD6692">
            <v>36.298095699999998</v>
          </cell>
        </row>
        <row r="6693">
          <cell r="L6693" t="str">
            <v>مشرفة</v>
          </cell>
          <cell r="M6693" t="str">
            <v>C7451</v>
          </cell>
          <cell r="AC6693">
            <v>40.548706060000001</v>
          </cell>
          <cell r="AD6693">
            <v>36.299682619999999</v>
          </cell>
        </row>
        <row r="6694">
          <cell r="L6694" t="str">
            <v>جبيلة</v>
          </cell>
          <cell r="M6694" t="str">
            <v>C7452</v>
          </cell>
          <cell r="AC6694">
            <v>37.19348145</v>
          </cell>
          <cell r="AD6694">
            <v>36.300720220000002</v>
          </cell>
        </row>
        <row r="6695">
          <cell r="L6695" t="str">
            <v>بنسطور</v>
          </cell>
          <cell r="M6695" t="str">
            <v>C7453</v>
          </cell>
          <cell r="AC6695">
            <v>36.921508789999997</v>
          </cell>
          <cell r="AD6695">
            <v>36.304077149999998</v>
          </cell>
        </row>
        <row r="6696">
          <cell r="L6696" t="str">
            <v>الشيارة</v>
          </cell>
          <cell r="M6696" t="str">
            <v>C7454</v>
          </cell>
          <cell r="AC6696">
            <v>38.55767822</v>
          </cell>
          <cell r="AD6696">
            <v>36.308898929999998</v>
          </cell>
        </row>
        <row r="6697">
          <cell r="L6697" t="str">
            <v>بابينص</v>
          </cell>
          <cell r="M6697" t="str">
            <v>C7455</v>
          </cell>
          <cell r="AC6697">
            <v>37.241088869999999</v>
          </cell>
          <cell r="AD6697">
            <v>36.312316899999999</v>
          </cell>
        </row>
        <row r="6698">
          <cell r="L6698" t="str">
            <v>دير انطة</v>
          </cell>
          <cell r="M6698" t="str">
            <v>C7456</v>
          </cell>
          <cell r="AC6698">
            <v>37.315917970000001</v>
          </cell>
          <cell r="AD6698">
            <v>36.318115229999997</v>
          </cell>
        </row>
        <row r="6699">
          <cell r="L6699" t="str">
            <v>رميلات</v>
          </cell>
          <cell r="M6699" t="str">
            <v>C7457</v>
          </cell>
          <cell r="AC6699">
            <v>38.200317380000001</v>
          </cell>
          <cell r="AD6699">
            <v>36.321105959999997</v>
          </cell>
        </row>
        <row r="6700">
          <cell r="L6700" t="str">
            <v>بير ابو تينة</v>
          </cell>
          <cell r="M6700" t="str">
            <v>C7458</v>
          </cell>
          <cell r="AC6700">
            <v>38.532714839999997</v>
          </cell>
          <cell r="AD6700">
            <v>36.321289059999998</v>
          </cell>
        </row>
        <row r="6701">
          <cell r="L6701" t="str">
            <v>الدحام</v>
          </cell>
          <cell r="M6701" t="str">
            <v>C7459</v>
          </cell>
          <cell r="AC6701">
            <v>38.564697270000003</v>
          </cell>
          <cell r="AD6701">
            <v>36.330688479999999</v>
          </cell>
        </row>
        <row r="6702">
          <cell r="L6702" t="str">
            <v>جديدة الضاخك</v>
          </cell>
          <cell r="M6702" t="str">
            <v>C7460</v>
          </cell>
          <cell r="AC6702">
            <v>38.262084960000003</v>
          </cell>
          <cell r="AD6702">
            <v>36.343688970000002</v>
          </cell>
        </row>
        <row r="6703">
          <cell r="L6703" t="str">
            <v>فيخة صغيرة</v>
          </cell>
          <cell r="M6703" t="str">
            <v>C7461</v>
          </cell>
          <cell r="AC6703">
            <v>37.607299810000001</v>
          </cell>
          <cell r="AD6703">
            <v>36.345520020000002</v>
          </cell>
        </row>
        <row r="6704">
          <cell r="L6704" t="str">
            <v>هيتة</v>
          </cell>
          <cell r="M6704" t="str">
            <v>C7462</v>
          </cell>
          <cell r="AC6704">
            <v>40.08752441</v>
          </cell>
          <cell r="AD6704">
            <v>36.345703129999997</v>
          </cell>
        </row>
        <row r="6705">
          <cell r="L6705" t="str">
            <v>المصعات</v>
          </cell>
          <cell r="M6705" t="str">
            <v>C7463</v>
          </cell>
          <cell r="AC6705">
            <v>38.548522949999999</v>
          </cell>
          <cell r="AD6705">
            <v>36.358276369999999</v>
          </cell>
        </row>
        <row r="6706">
          <cell r="L6706" t="str">
            <v>الحج ابراهيم</v>
          </cell>
          <cell r="M6706" t="str">
            <v>C7464</v>
          </cell>
          <cell r="AC6706">
            <v>38.482116699999999</v>
          </cell>
          <cell r="AD6706">
            <v>36.36029053</v>
          </cell>
        </row>
        <row r="6707">
          <cell r="L6707" t="str">
            <v>كفر نبو</v>
          </cell>
          <cell r="M6707" t="str">
            <v>C7465</v>
          </cell>
          <cell r="AC6707">
            <v>36.907714839999997</v>
          </cell>
          <cell r="AD6707">
            <v>36.361083979999997</v>
          </cell>
        </row>
        <row r="6708">
          <cell r="L6708" t="str">
            <v>الازرق</v>
          </cell>
          <cell r="M6708" t="str">
            <v>C7466</v>
          </cell>
          <cell r="AC6708">
            <v>37.441894529999999</v>
          </cell>
          <cell r="AD6708">
            <v>36.369079589999998</v>
          </cell>
        </row>
        <row r="6709">
          <cell r="L6709" t="str">
            <v>شكار</v>
          </cell>
          <cell r="M6709" t="str">
            <v>C7467</v>
          </cell>
          <cell r="AC6709">
            <v>38.501281740000003</v>
          </cell>
          <cell r="AD6709">
            <v>36.371704100000002</v>
          </cell>
        </row>
        <row r="6710">
          <cell r="L6710" t="str">
            <v>الخشخشات</v>
          </cell>
          <cell r="M6710" t="str">
            <v>C7468</v>
          </cell>
          <cell r="AC6710">
            <v>37.3927002</v>
          </cell>
          <cell r="AD6710">
            <v>36.375671390000001</v>
          </cell>
        </row>
        <row r="6711">
          <cell r="L6711" t="str">
            <v>معال فيدات</v>
          </cell>
          <cell r="M6711" t="str">
            <v>C7469</v>
          </cell>
          <cell r="AC6711">
            <v>40.645080569999998</v>
          </cell>
          <cell r="AD6711">
            <v>36.376892089999998</v>
          </cell>
        </row>
        <row r="6712">
          <cell r="L6712" t="str">
            <v>خربة الدوير</v>
          </cell>
          <cell r="M6712" t="str">
            <v>C7470</v>
          </cell>
          <cell r="AC6712">
            <v>37.393676759999998</v>
          </cell>
          <cell r="AD6712">
            <v>36.381286619999997</v>
          </cell>
        </row>
        <row r="6713">
          <cell r="L6713" t="str">
            <v>ناقوط</v>
          </cell>
          <cell r="M6713" t="str">
            <v>C7471</v>
          </cell>
          <cell r="AC6713">
            <v>38.291320800000001</v>
          </cell>
          <cell r="AD6713">
            <v>36.395080569999998</v>
          </cell>
        </row>
        <row r="6714">
          <cell r="L6714" t="str">
            <v>شعيلية</v>
          </cell>
          <cell r="M6714" t="str">
            <v>C7472</v>
          </cell>
          <cell r="AC6714">
            <v>40.92669678</v>
          </cell>
          <cell r="AD6714">
            <v>36.398071289999997</v>
          </cell>
        </row>
        <row r="6715">
          <cell r="L6715" t="str">
            <v>تلال العنب</v>
          </cell>
          <cell r="M6715" t="str">
            <v>C7473</v>
          </cell>
          <cell r="AC6715">
            <v>37.354919430000002</v>
          </cell>
          <cell r="AD6715">
            <v>36.398071289999997</v>
          </cell>
        </row>
        <row r="6716">
          <cell r="L6716" t="str">
            <v>وسيطية مارع</v>
          </cell>
          <cell r="M6716" t="str">
            <v>C7474</v>
          </cell>
          <cell r="AC6716">
            <v>37.274108890000001</v>
          </cell>
          <cell r="AD6716">
            <v>36.400085449999999</v>
          </cell>
        </row>
        <row r="6717">
          <cell r="L6717" t="str">
            <v>بير قريدان</v>
          </cell>
          <cell r="M6717" t="str">
            <v>C7475</v>
          </cell>
          <cell r="AC6717">
            <v>38.408081060000001</v>
          </cell>
          <cell r="AD6717">
            <v>36.40350342</v>
          </cell>
        </row>
        <row r="6718">
          <cell r="L6718" t="str">
            <v>مصيرفة</v>
          </cell>
          <cell r="M6718" t="str">
            <v>C7476</v>
          </cell>
          <cell r="AC6718">
            <v>37.298278809999999</v>
          </cell>
          <cell r="AD6718">
            <v>36.404724119999997</v>
          </cell>
        </row>
        <row r="6719">
          <cell r="L6719" t="str">
            <v>السيحة</v>
          </cell>
          <cell r="M6719" t="str">
            <v>C7477</v>
          </cell>
          <cell r="AC6719">
            <v>40.764282229999999</v>
          </cell>
          <cell r="AD6719">
            <v>36.407470699999998</v>
          </cell>
        </row>
        <row r="6720">
          <cell r="L6720" t="str">
            <v>الخراب</v>
          </cell>
          <cell r="M6720" t="str">
            <v>C7478</v>
          </cell>
          <cell r="AC6720">
            <v>37.314514160000002</v>
          </cell>
          <cell r="AD6720">
            <v>36.418518069999998</v>
          </cell>
        </row>
        <row r="6721">
          <cell r="L6721" t="str">
            <v>محفظة</v>
          </cell>
          <cell r="M6721" t="str">
            <v>C7479</v>
          </cell>
          <cell r="AC6721">
            <v>38.373718259999997</v>
          </cell>
          <cell r="AD6721">
            <v>36.422485350000002</v>
          </cell>
        </row>
        <row r="6722">
          <cell r="L6722" t="str">
            <v>مزرعة حوارين</v>
          </cell>
          <cell r="M6722" t="str">
            <v>C7480</v>
          </cell>
          <cell r="AC6722">
            <v>37.294677729999997</v>
          </cell>
          <cell r="AD6722">
            <v>36.423278809999999</v>
          </cell>
        </row>
        <row r="6723">
          <cell r="L6723" t="str">
            <v>عجمي</v>
          </cell>
          <cell r="M6723" t="str">
            <v>C7481</v>
          </cell>
          <cell r="AC6723">
            <v>37.646301270000002</v>
          </cell>
          <cell r="AD6723">
            <v>36.423522949999999</v>
          </cell>
        </row>
        <row r="6724">
          <cell r="L6724" t="str">
            <v>باش كويو</v>
          </cell>
          <cell r="M6724" t="str">
            <v>C7482</v>
          </cell>
          <cell r="AC6724">
            <v>38.423095699999998</v>
          </cell>
          <cell r="AD6724">
            <v>36.427124020000001</v>
          </cell>
        </row>
        <row r="6725">
          <cell r="L6725" t="str">
            <v>عريفية</v>
          </cell>
          <cell r="M6725" t="str">
            <v>C7483</v>
          </cell>
          <cell r="AC6725">
            <v>37.624694820000002</v>
          </cell>
          <cell r="AD6725">
            <v>36.427307130000003</v>
          </cell>
        </row>
        <row r="6726">
          <cell r="L6726" t="str">
            <v>شرقيات</v>
          </cell>
          <cell r="M6726" t="str">
            <v>C7484</v>
          </cell>
          <cell r="AC6726">
            <v>37.467102050000001</v>
          </cell>
          <cell r="AD6726">
            <v>36.427673339999998</v>
          </cell>
        </row>
        <row r="6727">
          <cell r="L6727" t="str">
            <v>تل كبح</v>
          </cell>
          <cell r="M6727" t="str">
            <v>C7485</v>
          </cell>
          <cell r="AC6727">
            <v>40.864318849999997</v>
          </cell>
          <cell r="AD6727">
            <v>36.438903809999999</v>
          </cell>
        </row>
        <row r="6728">
          <cell r="L6728" t="str">
            <v>الداوودية</v>
          </cell>
          <cell r="M6728" t="str">
            <v>C7486</v>
          </cell>
          <cell r="AC6728">
            <v>40.820678710000003</v>
          </cell>
          <cell r="AD6728">
            <v>36.442504880000001</v>
          </cell>
        </row>
        <row r="6729">
          <cell r="L6729" t="str">
            <v>طويحينة</v>
          </cell>
          <cell r="M6729" t="str">
            <v>C7487</v>
          </cell>
          <cell r="AC6729">
            <v>37.248474119999997</v>
          </cell>
          <cell r="AD6729">
            <v>36.444091800000002</v>
          </cell>
        </row>
        <row r="6730">
          <cell r="L6730" t="str">
            <v>عليوي الزور</v>
          </cell>
          <cell r="M6730" t="str">
            <v>C7488</v>
          </cell>
          <cell r="AC6730">
            <v>38.449523929999998</v>
          </cell>
          <cell r="AD6730">
            <v>36.45288086</v>
          </cell>
        </row>
        <row r="6731">
          <cell r="L6731" t="str">
            <v>فهد السيد</v>
          </cell>
          <cell r="M6731" t="str">
            <v>C7489</v>
          </cell>
          <cell r="AC6731">
            <v>40.822082520000002</v>
          </cell>
          <cell r="AD6731">
            <v>36.457092289999999</v>
          </cell>
        </row>
        <row r="6732">
          <cell r="L6732" t="str">
            <v>كوبان</v>
          </cell>
          <cell r="M6732" t="str">
            <v>C7490</v>
          </cell>
          <cell r="AC6732">
            <v>36.671875</v>
          </cell>
          <cell r="AD6732">
            <v>36.45727539</v>
          </cell>
        </row>
        <row r="6733">
          <cell r="L6733" t="str">
            <v>صفيان</v>
          </cell>
          <cell r="M6733" t="str">
            <v>C7491</v>
          </cell>
          <cell r="AC6733">
            <v>40.05627441</v>
          </cell>
          <cell r="AD6733">
            <v>36.46069336</v>
          </cell>
        </row>
        <row r="6734">
          <cell r="L6734" t="str">
            <v>بيت مستو</v>
          </cell>
          <cell r="M6734" t="str">
            <v>C7492</v>
          </cell>
          <cell r="AC6734">
            <v>37.277709960000003</v>
          </cell>
          <cell r="AD6734">
            <v>36.462280270000001</v>
          </cell>
        </row>
        <row r="6735">
          <cell r="L6735" t="str">
            <v>الخازومية</v>
          </cell>
          <cell r="M6735" t="str">
            <v>C7493</v>
          </cell>
          <cell r="AC6735">
            <v>40.25231934</v>
          </cell>
          <cell r="AD6735">
            <v>36.462890629999997</v>
          </cell>
        </row>
        <row r="6736">
          <cell r="L6736" t="str">
            <v>قنطارة</v>
          </cell>
          <cell r="M6736" t="str">
            <v>C7494</v>
          </cell>
          <cell r="AC6736">
            <v>38.644470220000002</v>
          </cell>
          <cell r="AD6736">
            <v>36.473693849999997</v>
          </cell>
        </row>
        <row r="6737">
          <cell r="L6737" t="str">
            <v>الوسيطة تل تمر</v>
          </cell>
          <cell r="M6737" t="str">
            <v>C7495</v>
          </cell>
          <cell r="AC6737">
            <v>40.380126949999998</v>
          </cell>
          <cell r="AD6737">
            <v>36.479492190000002</v>
          </cell>
        </row>
        <row r="6738">
          <cell r="L6738" t="str">
            <v>صفيطة</v>
          </cell>
          <cell r="M6738" t="str">
            <v>C7496</v>
          </cell>
          <cell r="AC6738">
            <v>38.307922359999999</v>
          </cell>
          <cell r="AD6738">
            <v>36.482727050000001</v>
          </cell>
        </row>
        <row r="6739">
          <cell r="L6739" t="str">
            <v>خربة الزارا</v>
          </cell>
          <cell r="M6739" t="str">
            <v>C7497</v>
          </cell>
          <cell r="AC6739">
            <v>40.294311520000001</v>
          </cell>
          <cell r="AD6739">
            <v>36.483520509999998</v>
          </cell>
        </row>
        <row r="6740">
          <cell r="L6740" t="str">
            <v>خربة زربة</v>
          </cell>
          <cell r="M6740" t="str">
            <v>C7498</v>
          </cell>
          <cell r="AC6740">
            <v>38.41107178</v>
          </cell>
          <cell r="AD6740">
            <v>36.48413086</v>
          </cell>
        </row>
        <row r="6741">
          <cell r="L6741" t="str">
            <v>الحرملة</v>
          </cell>
          <cell r="M6741" t="str">
            <v>C7499</v>
          </cell>
          <cell r="AC6741">
            <v>40.642883300000001</v>
          </cell>
          <cell r="AD6741">
            <v>36.489929199999999</v>
          </cell>
        </row>
        <row r="6742">
          <cell r="L6742" t="str">
            <v>طوبا</v>
          </cell>
          <cell r="M6742" t="str">
            <v>C7500</v>
          </cell>
          <cell r="AC6742">
            <v>38.357727050000001</v>
          </cell>
          <cell r="AD6742">
            <v>36.490722660000003</v>
          </cell>
        </row>
        <row r="6743">
          <cell r="L6743" t="str">
            <v>هيا</v>
          </cell>
          <cell r="M6743" t="str">
            <v>C7501</v>
          </cell>
          <cell r="AC6743">
            <v>40.797729490000002</v>
          </cell>
          <cell r="AD6743">
            <v>36.500305179999998</v>
          </cell>
        </row>
        <row r="6744">
          <cell r="L6744" t="str">
            <v>الصالحية مارع</v>
          </cell>
          <cell r="M6744" t="str">
            <v>C7502</v>
          </cell>
          <cell r="AC6744">
            <v>37.262084960000003</v>
          </cell>
          <cell r="AD6744">
            <v>36.501892089999998</v>
          </cell>
        </row>
        <row r="6745">
          <cell r="L6745" t="str">
            <v>شراقي/ قره شوكي</v>
          </cell>
          <cell r="M6745" t="str">
            <v>C7503</v>
          </cell>
          <cell r="AC6745">
            <v>38.044494630000003</v>
          </cell>
          <cell r="AD6745">
            <v>36.504089360000002</v>
          </cell>
        </row>
        <row r="6746">
          <cell r="L6746" t="str">
            <v>صالحية تل تمر</v>
          </cell>
          <cell r="M6746" t="str">
            <v>C7504</v>
          </cell>
          <cell r="AC6746">
            <v>40.393676759999998</v>
          </cell>
          <cell r="AD6746">
            <v>36.505676270000002</v>
          </cell>
        </row>
        <row r="6747">
          <cell r="L6747" t="str">
            <v>سكيف</v>
          </cell>
          <cell r="M6747" t="str">
            <v>C7505</v>
          </cell>
          <cell r="AC6747">
            <v>38.433288570000002</v>
          </cell>
          <cell r="AD6747">
            <v>36.507873539999999</v>
          </cell>
        </row>
        <row r="6748">
          <cell r="L6748" t="str">
            <v>حينالي</v>
          </cell>
          <cell r="M6748" t="str">
            <v>C7506</v>
          </cell>
          <cell r="AC6748">
            <v>38.563476559999998</v>
          </cell>
          <cell r="AD6748">
            <v>36.515319820000002</v>
          </cell>
        </row>
        <row r="6749">
          <cell r="L6749" t="str">
            <v>سرحانية</v>
          </cell>
          <cell r="M6749" t="str">
            <v>C7507</v>
          </cell>
          <cell r="AC6749">
            <v>40.41247559</v>
          </cell>
          <cell r="AD6749">
            <v>36.516113279999999</v>
          </cell>
        </row>
        <row r="6750">
          <cell r="L6750" t="str">
            <v>جلبية</v>
          </cell>
          <cell r="M6750" t="str">
            <v>C7508</v>
          </cell>
          <cell r="AC6750">
            <v>38.660522460000003</v>
          </cell>
          <cell r="AD6750">
            <v>36.518676759999998</v>
          </cell>
        </row>
        <row r="6751">
          <cell r="L6751" t="str">
            <v>سويحة</v>
          </cell>
          <cell r="M6751" t="str">
            <v>C7509</v>
          </cell>
          <cell r="AC6751">
            <v>37.614685059999999</v>
          </cell>
          <cell r="AD6751">
            <v>36.521301270000002</v>
          </cell>
        </row>
        <row r="6752">
          <cell r="L6752" t="str">
            <v>مزرعة السنبلة</v>
          </cell>
          <cell r="M6752" t="str">
            <v>C7510</v>
          </cell>
          <cell r="AC6752">
            <v>37.64727783</v>
          </cell>
          <cell r="AD6752">
            <v>36.521911619999997</v>
          </cell>
        </row>
        <row r="6753">
          <cell r="L6753" t="str">
            <v>رجحيلات</v>
          </cell>
          <cell r="M6753" t="str">
            <v>C7511</v>
          </cell>
          <cell r="AC6753">
            <v>40.711730959999997</v>
          </cell>
          <cell r="AD6753">
            <v>36.52709961</v>
          </cell>
        </row>
        <row r="6754">
          <cell r="L6754" t="str">
            <v>مبروكة</v>
          </cell>
          <cell r="M6754" t="str">
            <v>C7512</v>
          </cell>
          <cell r="AC6754">
            <v>40.076721190000001</v>
          </cell>
          <cell r="AD6754">
            <v>36.529479979999998</v>
          </cell>
        </row>
        <row r="6755">
          <cell r="L6755" t="str">
            <v>باب خير / تل تمر</v>
          </cell>
          <cell r="M6755" t="str">
            <v>C7513</v>
          </cell>
          <cell r="AC6755">
            <v>40.407104490000002</v>
          </cell>
          <cell r="AD6755">
            <v>36.532714839999997</v>
          </cell>
        </row>
        <row r="6756">
          <cell r="L6756" t="str">
            <v>مزرعة حمو</v>
          </cell>
          <cell r="M6756" t="str">
            <v>C7514</v>
          </cell>
          <cell r="AC6756">
            <v>37.501281740000003</v>
          </cell>
          <cell r="AD6756">
            <v>36.5333252</v>
          </cell>
        </row>
        <row r="6757">
          <cell r="L6757" t="str">
            <v>الجميلة</v>
          </cell>
          <cell r="M6757" t="str">
            <v>C7515</v>
          </cell>
          <cell r="AC6757">
            <v>36.876708979999997</v>
          </cell>
          <cell r="AD6757">
            <v>36.537719729999999</v>
          </cell>
        </row>
        <row r="6758">
          <cell r="L6758" t="str">
            <v>تل الخضر</v>
          </cell>
          <cell r="M6758" t="str">
            <v>C7516</v>
          </cell>
          <cell r="AC6758">
            <v>40.76287842</v>
          </cell>
          <cell r="AD6758">
            <v>36.541870119999999</v>
          </cell>
        </row>
        <row r="6759">
          <cell r="L6759" t="str">
            <v>المشرفة</v>
          </cell>
          <cell r="M6759" t="str">
            <v>C7517</v>
          </cell>
          <cell r="AC6759">
            <v>40.584899900000003</v>
          </cell>
          <cell r="AD6759">
            <v>36.549926759999998</v>
          </cell>
        </row>
        <row r="6760">
          <cell r="L6760" t="str">
            <v>البندشي</v>
          </cell>
          <cell r="M6760" t="str">
            <v>C7518</v>
          </cell>
          <cell r="AC6760">
            <v>40.623901369999999</v>
          </cell>
          <cell r="AD6760">
            <v>36.552124020000001</v>
          </cell>
        </row>
        <row r="6761">
          <cell r="L6761" t="str">
            <v>الكرمة</v>
          </cell>
          <cell r="M6761" t="str">
            <v>C7519</v>
          </cell>
          <cell r="AC6761">
            <v>41.192687990000003</v>
          </cell>
          <cell r="AD6761">
            <v>36.561096190000001</v>
          </cell>
        </row>
        <row r="6762">
          <cell r="L6762" t="str">
            <v>بصلجة</v>
          </cell>
          <cell r="M6762" t="str">
            <v>C7520</v>
          </cell>
          <cell r="AC6762">
            <v>37.704101559999998</v>
          </cell>
          <cell r="AD6762">
            <v>36.561096190000001</v>
          </cell>
        </row>
        <row r="6763">
          <cell r="L6763" t="str">
            <v>العريضة</v>
          </cell>
          <cell r="M6763" t="str">
            <v>C7521</v>
          </cell>
          <cell r="AC6763">
            <v>40.452697749999999</v>
          </cell>
          <cell r="AD6763">
            <v>36.561706540000003</v>
          </cell>
        </row>
        <row r="6764">
          <cell r="L6764" t="str">
            <v>القنطرة معبطلي</v>
          </cell>
          <cell r="M6764" t="str">
            <v>C7522</v>
          </cell>
          <cell r="AC6764">
            <v>36.728515629999997</v>
          </cell>
          <cell r="AD6764">
            <v>36.5625</v>
          </cell>
        </row>
        <row r="6765">
          <cell r="L6765" t="str">
            <v>سركانية قبلي</v>
          </cell>
          <cell r="M6765" t="str">
            <v>C7523</v>
          </cell>
          <cell r="AC6765">
            <v>38.369323729999998</v>
          </cell>
          <cell r="AD6765">
            <v>36.563903809999999</v>
          </cell>
        </row>
        <row r="6766">
          <cell r="L6766" t="str">
            <v>سحولجك</v>
          </cell>
          <cell r="M6766" t="str">
            <v>C7524</v>
          </cell>
          <cell r="AC6766">
            <v>36.615478520000003</v>
          </cell>
          <cell r="AD6766">
            <v>36.564270020000002</v>
          </cell>
        </row>
        <row r="6767">
          <cell r="L6767" t="str">
            <v>ام القصير</v>
          </cell>
          <cell r="M6767" t="str">
            <v>C7525</v>
          </cell>
          <cell r="AC6767">
            <v>40.58892822</v>
          </cell>
          <cell r="AD6767">
            <v>36.565917970000001</v>
          </cell>
        </row>
        <row r="6768">
          <cell r="L6768" t="str">
            <v>خربة عيوش</v>
          </cell>
          <cell r="M6768" t="str">
            <v>C7526</v>
          </cell>
          <cell r="AC6768">
            <v>38.060119630000003</v>
          </cell>
          <cell r="AD6768">
            <v>36.568298339999998</v>
          </cell>
        </row>
        <row r="6769">
          <cell r="L6769" t="str">
            <v>بير جف</v>
          </cell>
          <cell r="M6769" t="str">
            <v>C7527</v>
          </cell>
          <cell r="AC6769">
            <v>38.384704589999998</v>
          </cell>
          <cell r="AD6769">
            <v>36.570129399999999</v>
          </cell>
        </row>
        <row r="6770">
          <cell r="L6770" t="str">
            <v>قصق</v>
          </cell>
          <cell r="M6770" t="str">
            <v>C7528</v>
          </cell>
          <cell r="AC6770">
            <v>38.300476070000002</v>
          </cell>
          <cell r="AD6770">
            <v>36.571716309999999</v>
          </cell>
        </row>
        <row r="6771">
          <cell r="L6771" t="str">
            <v>تل صخر</v>
          </cell>
          <cell r="M6771" t="str">
            <v>C7530</v>
          </cell>
          <cell r="AC6771">
            <v>40.582519529999999</v>
          </cell>
          <cell r="AD6771">
            <v>36.577270509999998</v>
          </cell>
        </row>
        <row r="6772">
          <cell r="L6772" t="str">
            <v>واسطة</v>
          </cell>
          <cell r="M6772" t="str">
            <v>C7531</v>
          </cell>
          <cell r="AC6772">
            <v>40.07629395</v>
          </cell>
          <cell r="AD6772">
            <v>36.581481930000002</v>
          </cell>
        </row>
        <row r="6773">
          <cell r="L6773" t="str">
            <v>البويضة</v>
          </cell>
          <cell r="M6773" t="str">
            <v>C7532</v>
          </cell>
          <cell r="AC6773">
            <v>40.593078609999999</v>
          </cell>
          <cell r="AD6773">
            <v>36.58227539</v>
          </cell>
        </row>
        <row r="6774">
          <cell r="L6774" t="str">
            <v>خودان</v>
          </cell>
          <cell r="M6774" t="str">
            <v>C7533</v>
          </cell>
          <cell r="AC6774">
            <v>38.508117679999998</v>
          </cell>
          <cell r="AD6774">
            <v>36.582519529999999</v>
          </cell>
        </row>
        <row r="6775">
          <cell r="L6775" t="str">
            <v>الديابة</v>
          </cell>
          <cell r="M6775" t="str">
            <v>C7535</v>
          </cell>
          <cell r="AC6775">
            <v>40.764526369999999</v>
          </cell>
          <cell r="AD6775">
            <v>36.58569336</v>
          </cell>
        </row>
        <row r="6776">
          <cell r="L6776" t="str">
            <v>سوسا</v>
          </cell>
          <cell r="M6776" t="str">
            <v>C7536</v>
          </cell>
          <cell r="AC6776">
            <v>40.10272217</v>
          </cell>
          <cell r="AD6776">
            <v>36.588073729999998</v>
          </cell>
        </row>
        <row r="6777">
          <cell r="L6777" t="str">
            <v>حجي قدري</v>
          </cell>
          <cell r="M6777" t="str">
            <v>C7537</v>
          </cell>
          <cell r="AC6777">
            <v>40.341674810000001</v>
          </cell>
          <cell r="AD6777">
            <v>36.58868408</v>
          </cell>
        </row>
        <row r="6778">
          <cell r="L6778" t="str">
            <v>بير قديم</v>
          </cell>
          <cell r="M6778" t="str">
            <v>C7538</v>
          </cell>
          <cell r="AC6778">
            <v>40.121521000000001</v>
          </cell>
          <cell r="AD6778">
            <v>36.589111330000001</v>
          </cell>
        </row>
        <row r="6779">
          <cell r="L6779" t="str">
            <v>رقاص تحتاني</v>
          </cell>
          <cell r="M6779" t="str">
            <v>C7539</v>
          </cell>
          <cell r="AC6779">
            <v>38.645324709999997</v>
          </cell>
          <cell r="AD6779">
            <v>36.589721679999997</v>
          </cell>
        </row>
        <row r="6780">
          <cell r="L6780" t="str">
            <v>منيف</v>
          </cell>
          <cell r="M6780" t="str">
            <v>C7540</v>
          </cell>
          <cell r="AC6780">
            <v>38.52368164</v>
          </cell>
          <cell r="AD6780">
            <v>36.59008789</v>
          </cell>
        </row>
        <row r="6781">
          <cell r="L6781" t="str">
            <v>الفرحية</v>
          </cell>
          <cell r="M6781" t="str">
            <v>C7541</v>
          </cell>
          <cell r="AC6781">
            <v>40.13372803</v>
          </cell>
          <cell r="AD6781">
            <v>36.59350586</v>
          </cell>
        </row>
        <row r="6782">
          <cell r="L6782" t="str">
            <v>خراب برغل</v>
          </cell>
          <cell r="M6782" t="str">
            <v>C7542</v>
          </cell>
          <cell r="AC6782">
            <v>38.405273440000002</v>
          </cell>
          <cell r="AD6782">
            <v>36.594482419999999</v>
          </cell>
        </row>
        <row r="6783">
          <cell r="L6783" t="str">
            <v>تل حميس</v>
          </cell>
          <cell r="M6783" t="str">
            <v>C7543</v>
          </cell>
          <cell r="AC6783">
            <v>41.473327640000001</v>
          </cell>
          <cell r="AD6783">
            <v>36.59490967</v>
          </cell>
        </row>
        <row r="6784">
          <cell r="L6784" t="str">
            <v>ام القرى</v>
          </cell>
          <cell r="M6784" t="str">
            <v>C7544</v>
          </cell>
          <cell r="AC6784">
            <v>41.331298830000001</v>
          </cell>
          <cell r="AD6784">
            <v>36.595092770000001</v>
          </cell>
        </row>
        <row r="6785">
          <cell r="L6785" t="str">
            <v>قيراطة كردا</v>
          </cell>
          <cell r="M6785" t="str">
            <v>C7545</v>
          </cell>
          <cell r="AC6785">
            <v>38.332702640000001</v>
          </cell>
          <cell r="AD6785">
            <v>36.595886229999998</v>
          </cell>
        </row>
        <row r="6786">
          <cell r="L6786" t="str">
            <v>الزهيرة</v>
          </cell>
          <cell r="M6786" t="str">
            <v>C7546</v>
          </cell>
          <cell r="AC6786">
            <v>41.442504880000001</v>
          </cell>
          <cell r="AD6786">
            <v>36.598693849999997</v>
          </cell>
        </row>
        <row r="6787">
          <cell r="L6787" t="str">
            <v>البريج</v>
          </cell>
          <cell r="M6787" t="str">
            <v>C7547</v>
          </cell>
          <cell r="AC6787">
            <v>40.813476559999998</v>
          </cell>
          <cell r="AD6787">
            <v>36.599914550000001</v>
          </cell>
        </row>
        <row r="6788">
          <cell r="L6788" t="str">
            <v>كيفون</v>
          </cell>
          <cell r="M6788" t="str">
            <v>C7548</v>
          </cell>
          <cell r="AC6788">
            <v>38.431884770000003</v>
          </cell>
          <cell r="AD6788">
            <v>36.602905270000001</v>
          </cell>
        </row>
        <row r="6789">
          <cell r="L6789" t="str">
            <v>جديدة معرين</v>
          </cell>
          <cell r="M6789" t="str">
            <v>C7549</v>
          </cell>
          <cell r="AC6789">
            <v>37.01928711</v>
          </cell>
          <cell r="AD6789">
            <v>36.604125979999999</v>
          </cell>
        </row>
        <row r="6790">
          <cell r="L6790" t="str">
            <v>قيراط</v>
          </cell>
          <cell r="M6790" t="str">
            <v>C7550</v>
          </cell>
          <cell r="AC6790">
            <v>38.365295410000002</v>
          </cell>
          <cell r="AD6790">
            <v>36.606079100000002</v>
          </cell>
        </row>
        <row r="6791">
          <cell r="L6791" t="str">
            <v>رقاص فوقاني</v>
          </cell>
          <cell r="M6791" t="str">
            <v>C7551</v>
          </cell>
          <cell r="AC6791">
            <v>38.653076169999999</v>
          </cell>
          <cell r="AD6791">
            <v>36.606079100000002</v>
          </cell>
        </row>
        <row r="6792">
          <cell r="L6792" t="str">
            <v>مصرفا</v>
          </cell>
          <cell r="M6792" t="str">
            <v>C7552</v>
          </cell>
          <cell r="AC6792">
            <v>40.122497559999999</v>
          </cell>
          <cell r="AD6792">
            <v>36.606506349999997</v>
          </cell>
        </row>
        <row r="6793">
          <cell r="L6793" t="str">
            <v>مسامير عرب</v>
          </cell>
          <cell r="M6793" t="str">
            <v>C7553</v>
          </cell>
          <cell r="AC6793">
            <v>40.327697749999999</v>
          </cell>
          <cell r="AD6793">
            <v>36.608886720000001</v>
          </cell>
        </row>
        <row r="6794">
          <cell r="L6794" t="str">
            <v>المواس</v>
          </cell>
          <cell r="M6794" t="str">
            <v>C7554</v>
          </cell>
          <cell r="AC6794">
            <v>37.973083500000001</v>
          </cell>
          <cell r="AD6794">
            <v>36.609680179999998</v>
          </cell>
        </row>
        <row r="6795">
          <cell r="L6795" t="str">
            <v>رجم الفنوش</v>
          </cell>
          <cell r="M6795" t="str">
            <v>C7555</v>
          </cell>
          <cell r="AC6795">
            <v>41.158081060000001</v>
          </cell>
          <cell r="AD6795">
            <v>36.612487790000003</v>
          </cell>
        </row>
        <row r="6796">
          <cell r="L6796" t="str">
            <v>حويجة التلاوي</v>
          </cell>
          <cell r="M6796" t="str">
            <v>C7556</v>
          </cell>
          <cell r="AC6796">
            <v>38.25689697</v>
          </cell>
          <cell r="AD6796">
            <v>36.615722660000003</v>
          </cell>
        </row>
        <row r="6797">
          <cell r="L6797" t="str">
            <v>صوفية</v>
          </cell>
          <cell r="M6797" t="str">
            <v>C7557</v>
          </cell>
          <cell r="AC6797">
            <v>41.308898929999998</v>
          </cell>
          <cell r="AD6797">
            <v>36.619079589999998</v>
          </cell>
        </row>
        <row r="6798">
          <cell r="L6798" t="str">
            <v>الاندلس</v>
          </cell>
          <cell r="M6798" t="str">
            <v>C7558</v>
          </cell>
          <cell r="AC6798">
            <v>41.616882320000002</v>
          </cell>
          <cell r="AD6798">
            <v>36.619323729999998</v>
          </cell>
        </row>
        <row r="6799">
          <cell r="L6799" t="str">
            <v>خربة تل شعير</v>
          </cell>
          <cell r="M6799" t="str">
            <v>C7559</v>
          </cell>
          <cell r="AC6799">
            <v>37.319091800000002</v>
          </cell>
          <cell r="AD6799">
            <v>36.621276860000002</v>
          </cell>
        </row>
        <row r="6800">
          <cell r="L6800" t="str">
            <v>البشبلية</v>
          </cell>
          <cell r="M6800" t="str">
            <v>C7560</v>
          </cell>
          <cell r="AC6800">
            <v>40.181884770000003</v>
          </cell>
          <cell r="AD6800">
            <v>36.623107910000002</v>
          </cell>
        </row>
        <row r="6801">
          <cell r="L6801" t="str">
            <v>الحسوة</v>
          </cell>
          <cell r="M6801" t="str">
            <v>C7561</v>
          </cell>
          <cell r="AC6801">
            <v>41.289489750000001</v>
          </cell>
          <cell r="AD6801">
            <v>36.624511720000001</v>
          </cell>
        </row>
        <row r="6802">
          <cell r="L6802" t="str">
            <v>تل حمزة</v>
          </cell>
          <cell r="M6802" t="str">
            <v>C7562</v>
          </cell>
          <cell r="AC6802">
            <v>40.941528320000003</v>
          </cell>
          <cell r="AD6802">
            <v>36.62591553</v>
          </cell>
        </row>
        <row r="6803">
          <cell r="L6803" t="str">
            <v>المزار</v>
          </cell>
          <cell r="M6803" t="str">
            <v>C7563</v>
          </cell>
          <cell r="AC6803">
            <v>40.577697749999999</v>
          </cell>
          <cell r="AD6803">
            <v>36.6270752</v>
          </cell>
        </row>
        <row r="6804">
          <cell r="L6804" t="str">
            <v>الحلوة</v>
          </cell>
          <cell r="M6804" t="str">
            <v>C7564</v>
          </cell>
          <cell r="AC6804">
            <v>40.724487310000001</v>
          </cell>
          <cell r="AD6804">
            <v>36.630920410000002</v>
          </cell>
        </row>
        <row r="6805">
          <cell r="L6805" t="str">
            <v>العادلة</v>
          </cell>
          <cell r="M6805" t="str">
            <v>C7565</v>
          </cell>
          <cell r="AC6805">
            <v>40.949523929999998</v>
          </cell>
          <cell r="AD6805">
            <v>36.635070800000001</v>
          </cell>
        </row>
        <row r="6806">
          <cell r="L6806" t="str">
            <v>تل حفيان شرقي</v>
          </cell>
          <cell r="M6806" t="str">
            <v>C7566</v>
          </cell>
          <cell r="AC6806">
            <v>40.385070800000001</v>
          </cell>
          <cell r="AD6806">
            <v>36.635681150000003</v>
          </cell>
        </row>
        <row r="6807">
          <cell r="L6807" t="str">
            <v>كري</v>
          </cell>
          <cell r="M6807" t="str">
            <v>C7567</v>
          </cell>
          <cell r="AC6807">
            <v>36.614929199999999</v>
          </cell>
          <cell r="AD6807">
            <v>36.636291499999999</v>
          </cell>
        </row>
        <row r="6808">
          <cell r="L6808" t="str">
            <v>زكي الصغير</v>
          </cell>
          <cell r="M6808" t="str">
            <v>C7568</v>
          </cell>
          <cell r="AC6808">
            <v>41.406677250000001</v>
          </cell>
          <cell r="AD6808">
            <v>36.63647461</v>
          </cell>
        </row>
        <row r="6809">
          <cell r="L6809" t="str">
            <v>خانيك تحتاني</v>
          </cell>
          <cell r="M6809" t="str">
            <v>C7569</v>
          </cell>
          <cell r="AC6809">
            <v>38.520324709999997</v>
          </cell>
          <cell r="AD6809">
            <v>36.63787842</v>
          </cell>
        </row>
        <row r="6810">
          <cell r="L6810" t="str">
            <v>مدينة الرد</v>
          </cell>
          <cell r="M6810" t="str">
            <v>C7570</v>
          </cell>
          <cell r="AC6810">
            <v>41.188110350000002</v>
          </cell>
          <cell r="AD6810">
            <v>36.639282229999999</v>
          </cell>
        </row>
        <row r="6811">
          <cell r="L6811" t="str">
            <v>تل واقف</v>
          </cell>
          <cell r="M6811" t="str">
            <v>C7571</v>
          </cell>
          <cell r="AC6811">
            <v>41.129272460000003</v>
          </cell>
          <cell r="AD6811">
            <v>36.639282229999999</v>
          </cell>
        </row>
        <row r="6812">
          <cell r="L6812" t="str">
            <v>مزرعة شاهين</v>
          </cell>
          <cell r="M6812" t="str">
            <v>C7572</v>
          </cell>
          <cell r="AC6812">
            <v>37.360900880000003</v>
          </cell>
          <cell r="AD6812">
            <v>36.63970947</v>
          </cell>
        </row>
        <row r="6813">
          <cell r="L6813" t="str">
            <v>العزامية</v>
          </cell>
          <cell r="M6813" t="str">
            <v>C7573</v>
          </cell>
          <cell r="AC6813">
            <v>40.004882809999998</v>
          </cell>
          <cell r="AD6813">
            <v>36.639892580000001</v>
          </cell>
        </row>
        <row r="6814">
          <cell r="L6814" t="str">
            <v>غرناطة</v>
          </cell>
          <cell r="M6814" t="str">
            <v>C7574</v>
          </cell>
          <cell r="AC6814">
            <v>40.240112310000001</v>
          </cell>
          <cell r="AD6814">
            <v>36.640075680000002</v>
          </cell>
        </row>
        <row r="6815">
          <cell r="L6815" t="str">
            <v>حريك</v>
          </cell>
          <cell r="M6815" t="str">
            <v>C7575</v>
          </cell>
          <cell r="AC6815">
            <v>38.640686039999999</v>
          </cell>
          <cell r="AD6815">
            <v>36.643310550000002</v>
          </cell>
        </row>
        <row r="6816">
          <cell r="L6816" t="str">
            <v>تهامة شرقية</v>
          </cell>
          <cell r="M6816" t="str">
            <v>C7576</v>
          </cell>
          <cell r="AC6816">
            <v>41.628295899999998</v>
          </cell>
          <cell r="AD6816">
            <v>36.644103999999999</v>
          </cell>
        </row>
        <row r="6817">
          <cell r="L6817" t="str">
            <v>شيخ الرجم</v>
          </cell>
          <cell r="M6817" t="str">
            <v>C7577</v>
          </cell>
          <cell r="AC6817">
            <v>40.112487790000003</v>
          </cell>
          <cell r="AD6817">
            <v>36.645080569999998</v>
          </cell>
        </row>
        <row r="6818">
          <cell r="L6818" t="str">
            <v>وادي الاحمر</v>
          </cell>
          <cell r="M6818" t="str">
            <v>C7578</v>
          </cell>
          <cell r="AC6818">
            <v>40.549499509999997</v>
          </cell>
          <cell r="AD6818">
            <v>36.648498539999999</v>
          </cell>
        </row>
        <row r="6819">
          <cell r="L6819" t="str">
            <v>خربة غزالة</v>
          </cell>
          <cell r="M6819" t="str">
            <v>C7579</v>
          </cell>
          <cell r="AC6819">
            <v>40.814880369999997</v>
          </cell>
          <cell r="AD6819">
            <v>36.651672359999999</v>
          </cell>
        </row>
        <row r="6820">
          <cell r="L6820" t="str">
            <v>عاقلة</v>
          </cell>
          <cell r="M6820" t="str">
            <v>C7580</v>
          </cell>
          <cell r="AC6820">
            <v>41.030517580000001</v>
          </cell>
          <cell r="AD6820">
            <v>36.653076169999999</v>
          </cell>
        </row>
        <row r="6821">
          <cell r="L6821" t="str">
            <v>الحربي</v>
          </cell>
          <cell r="M6821" t="str">
            <v>C7581</v>
          </cell>
          <cell r="AC6821">
            <v>40.083679199999999</v>
          </cell>
          <cell r="AD6821">
            <v>36.65393066</v>
          </cell>
        </row>
        <row r="6822">
          <cell r="L6822" t="str">
            <v>تل شرقي</v>
          </cell>
          <cell r="M6822" t="str">
            <v>C7582</v>
          </cell>
          <cell r="AC6822">
            <v>40.834472660000003</v>
          </cell>
          <cell r="AD6822">
            <v>36.654479979999998</v>
          </cell>
        </row>
        <row r="6823">
          <cell r="L6823" t="str">
            <v>العمر</v>
          </cell>
          <cell r="M6823" t="str">
            <v>C7583</v>
          </cell>
          <cell r="AC6823">
            <v>40.094726559999998</v>
          </cell>
          <cell r="AD6823">
            <v>36.659118650000003</v>
          </cell>
        </row>
        <row r="6824">
          <cell r="L6824" t="str">
            <v>زنار قل</v>
          </cell>
          <cell r="M6824" t="str">
            <v>C7584</v>
          </cell>
          <cell r="AC6824">
            <v>38.42669678</v>
          </cell>
          <cell r="AD6824">
            <v>36.659301759999998</v>
          </cell>
        </row>
        <row r="6825">
          <cell r="L6825" t="str">
            <v>قاهرة الغندورة</v>
          </cell>
          <cell r="M6825" t="str">
            <v>C7585</v>
          </cell>
          <cell r="AC6825">
            <v>37.762695309999998</v>
          </cell>
          <cell r="AD6825">
            <v>36.660095220000002</v>
          </cell>
        </row>
        <row r="6826">
          <cell r="L6826" t="str">
            <v>الاكود</v>
          </cell>
          <cell r="M6826" t="str">
            <v>C7586</v>
          </cell>
          <cell r="AC6826">
            <v>40.102905270000001</v>
          </cell>
          <cell r="AD6826">
            <v>36.662292479999998</v>
          </cell>
        </row>
        <row r="6827">
          <cell r="L6827" t="str">
            <v>تل تمي</v>
          </cell>
          <cell r="M6827" t="str">
            <v>C7587</v>
          </cell>
          <cell r="AC6827">
            <v>41.067077640000001</v>
          </cell>
          <cell r="AD6827">
            <v>36.668273929999998</v>
          </cell>
        </row>
        <row r="6828">
          <cell r="L6828" t="str">
            <v>خرابة</v>
          </cell>
          <cell r="M6828" t="str">
            <v>C7588</v>
          </cell>
          <cell r="AC6828">
            <v>38.348693849999997</v>
          </cell>
          <cell r="AD6828">
            <v>36.670104979999998</v>
          </cell>
        </row>
        <row r="6829">
          <cell r="L6829" t="str">
            <v>عمير</v>
          </cell>
          <cell r="M6829" t="str">
            <v>C7589</v>
          </cell>
          <cell r="AC6829">
            <v>40.093078609999999</v>
          </cell>
          <cell r="AD6829">
            <v>36.67071533</v>
          </cell>
        </row>
        <row r="6830">
          <cell r="L6830" t="str">
            <v>سرجلية</v>
          </cell>
          <cell r="M6830" t="str">
            <v>C7590</v>
          </cell>
          <cell r="AC6830">
            <v>40.02111816</v>
          </cell>
          <cell r="AD6830">
            <v>36.671325680000002</v>
          </cell>
        </row>
        <row r="6831">
          <cell r="L6831" t="str">
            <v>القصب</v>
          </cell>
          <cell r="M6831" t="str">
            <v>C7591</v>
          </cell>
          <cell r="AC6831">
            <v>40.074707029999999</v>
          </cell>
          <cell r="AD6831">
            <v>36.672912599999997</v>
          </cell>
        </row>
        <row r="6832">
          <cell r="L6832" t="str">
            <v>توتانيك</v>
          </cell>
          <cell r="M6832" t="str">
            <v>C7592</v>
          </cell>
          <cell r="AC6832">
            <v>38.469482419999999</v>
          </cell>
          <cell r="AD6832">
            <v>36.676513669999999</v>
          </cell>
        </row>
        <row r="6833">
          <cell r="L6833" t="str">
            <v>الدليم</v>
          </cell>
          <cell r="M6833" t="str">
            <v>C7593</v>
          </cell>
          <cell r="AC6833">
            <v>37.983276369999999</v>
          </cell>
          <cell r="AD6833">
            <v>36.677124020000001</v>
          </cell>
        </row>
        <row r="6834">
          <cell r="L6834" t="str">
            <v>ريحانية</v>
          </cell>
          <cell r="M6834" t="str">
            <v>C7594</v>
          </cell>
          <cell r="AC6834">
            <v>40.116699220000001</v>
          </cell>
          <cell r="AD6834">
            <v>36.677490229999997</v>
          </cell>
        </row>
        <row r="6835">
          <cell r="L6835" t="str">
            <v>غجر تحتاني</v>
          </cell>
          <cell r="M6835" t="str">
            <v>C7595</v>
          </cell>
          <cell r="AC6835">
            <v>38.441284179999997</v>
          </cell>
          <cell r="AD6835">
            <v>36.677490229999997</v>
          </cell>
        </row>
        <row r="6836">
          <cell r="L6836" t="str">
            <v>بير خاني</v>
          </cell>
          <cell r="M6836" t="str">
            <v>C7596</v>
          </cell>
          <cell r="AC6836">
            <v>38.625488279999999</v>
          </cell>
          <cell r="AD6836">
            <v>36.677673339999998</v>
          </cell>
        </row>
        <row r="6837">
          <cell r="L6837" t="str">
            <v>تل عشنان غربي</v>
          </cell>
          <cell r="M6837" t="str">
            <v>C7597</v>
          </cell>
          <cell r="AC6837">
            <v>40.392517089999998</v>
          </cell>
          <cell r="AD6837">
            <v>36.677917479999998</v>
          </cell>
        </row>
        <row r="6838">
          <cell r="L6838" t="str">
            <v>الطفيلية</v>
          </cell>
          <cell r="M6838" t="str">
            <v>C7598</v>
          </cell>
          <cell r="AC6838">
            <v>37.700073240000002</v>
          </cell>
          <cell r="AD6838">
            <v>36.6796875</v>
          </cell>
        </row>
        <row r="6839">
          <cell r="L6839" t="str">
            <v>تل جمايلو</v>
          </cell>
          <cell r="M6839" t="str">
            <v>C7599</v>
          </cell>
          <cell r="AC6839">
            <v>40.606323240000002</v>
          </cell>
          <cell r="AD6839">
            <v>36.681884770000003</v>
          </cell>
        </row>
        <row r="6840">
          <cell r="L6840" t="str">
            <v>ام جرن</v>
          </cell>
          <cell r="M6840" t="str">
            <v>C7600</v>
          </cell>
          <cell r="AC6840">
            <v>40.664672850000002</v>
          </cell>
          <cell r="AD6840">
            <v>36.682128910000003</v>
          </cell>
        </row>
        <row r="6841">
          <cell r="L6841" t="str">
            <v>ماعزيلا</v>
          </cell>
          <cell r="M6841" t="str">
            <v>C7601</v>
          </cell>
          <cell r="AC6841">
            <v>40.983886720000001</v>
          </cell>
          <cell r="AD6841">
            <v>36.688110350000002</v>
          </cell>
        </row>
        <row r="6842">
          <cell r="L6842" t="str">
            <v>التون ويران</v>
          </cell>
          <cell r="M6842" t="str">
            <v>C7602</v>
          </cell>
          <cell r="AC6842">
            <v>38.381286619999997</v>
          </cell>
          <cell r="AD6842">
            <v>36.688293459999997</v>
          </cell>
        </row>
        <row r="6843">
          <cell r="L6843" t="str">
            <v>الهوشو</v>
          </cell>
          <cell r="M6843" t="str">
            <v>C7603</v>
          </cell>
          <cell r="AC6843">
            <v>40.084899900000003</v>
          </cell>
          <cell r="AD6843">
            <v>36.690307619999999</v>
          </cell>
        </row>
        <row r="6844">
          <cell r="L6844" t="str">
            <v>حديمة</v>
          </cell>
          <cell r="M6844" t="str">
            <v>C7604</v>
          </cell>
          <cell r="AC6844">
            <v>41.261291499999999</v>
          </cell>
          <cell r="AD6844">
            <v>36.691101070000002</v>
          </cell>
        </row>
        <row r="6845">
          <cell r="L6845" t="str">
            <v>الزهرة</v>
          </cell>
          <cell r="M6845" t="str">
            <v>C7605</v>
          </cell>
          <cell r="AC6845">
            <v>37.645080569999998</v>
          </cell>
          <cell r="AD6845">
            <v>36.696289059999998</v>
          </cell>
        </row>
        <row r="6846">
          <cell r="L6846" t="str">
            <v>سويسة</v>
          </cell>
          <cell r="M6846" t="str">
            <v>C7606</v>
          </cell>
          <cell r="AC6846">
            <v>40.047485350000002</v>
          </cell>
          <cell r="AD6846">
            <v>36.696289059999998</v>
          </cell>
        </row>
        <row r="6847">
          <cell r="L6847" t="str">
            <v>خربة بشير</v>
          </cell>
          <cell r="M6847" t="str">
            <v>C7607</v>
          </cell>
          <cell r="AC6847">
            <v>37.599670410000002</v>
          </cell>
          <cell r="AD6847">
            <v>36.69647217</v>
          </cell>
        </row>
        <row r="6848">
          <cell r="L6848" t="str">
            <v>خربة الفرسان</v>
          </cell>
          <cell r="M6848" t="str">
            <v>C7608</v>
          </cell>
          <cell r="AC6848">
            <v>39.89727783</v>
          </cell>
          <cell r="AD6848">
            <v>36.696716309999999</v>
          </cell>
        </row>
        <row r="6849">
          <cell r="L6849" t="str">
            <v>ملحمية</v>
          </cell>
          <cell r="M6849" t="str">
            <v>C7609</v>
          </cell>
          <cell r="AC6849">
            <v>37.846923830000001</v>
          </cell>
          <cell r="AD6849">
            <v>36.697692869999997</v>
          </cell>
        </row>
        <row r="6850">
          <cell r="L6850" t="str">
            <v>مزرعة حيدر باشا</v>
          </cell>
          <cell r="M6850" t="str">
            <v>C7610</v>
          </cell>
          <cell r="AC6850">
            <v>37.682312009999997</v>
          </cell>
          <cell r="AD6850">
            <v>36.700317380000001</v>
          </cell>
        </row>
        <row r="6851">
          <cell r="L6851" t="str">
            <v>البرهانية</v>
          </cell>
          <cell r="M6851" t="str">
            <v>C7611</v>
          </cell>
          <cell r="AC6851">
            <v>37.777282720000002</v>
          </cell>
          <cell r="AD6851">
            <v>36.701477050000001</v>
          </cell>
        </row>
        <row r="6852">
          <cell r="L6852" t="str">
            <v>خشام</v>
          </cell>
          <cell r="M6852" t="str">
            <v>C7612</v>
          </cell>
          <cell r="AC6852">
            <v>40.567871089999997</v>
          </cell>
          <cell r="AD6852">
            <v>36.701721190000001</v>
          </cell>
        </row>
        <row r="6853">
          <cell r="L6853" t="str">
            <v>الجابرية</v>
          </cell>
          <cell r="M6853" t="str">
            <v>C7613</v>
          </cell>
          <cell r="AC6853">
            <v>40.713073729999998</v>
          </cell>
          <cell r="AD6853">
            <v>36.702270509999998</v>
          </cell>
        </row>
        <row r="6854">
          <cell r="L6854" t="str">
            <v>راس اوتاس</v>
          </cell>
          <cell r="M6854" t="str">
            <v>C7614</v>
          </cell>
          <cell r="AC6854">
            <v>40.176330569999998</v>
          </cell>
          <cell r="AD6854">
            <v>36.704101559999998</v>
          </cell>
        </row>
        <row r="6855">
          <cell r="L6855" t="str">
            <v>ام حجرة الوردية</v>
          </cell>
          <cell r="M6855" t="str">
            <v>C7615</v>
          </cell>
          <cell r="AC6855">
            <v>41.018310550000002</v>
          </cell>
          <cell r="AD6855">
            <v>36.704101559999998</v>
          </cell>
        </row>
        <row r="6856">
          <cell r="L6856" t="str">
            <v>سامو</v>
          </cell>
          <cell r="M6856" t="str">
            <v>C7616</v>
          </cell>
          <cell r="AC6856">
            <v>39.694274900000003</v>
          </cell>
          <cell r="AD6856">
            <v>36.704528809999999</v>
          </cell>
        </row>
        <row r="6857">
          <cell r="L6857" t="str">
            <v>كولو</v>
          </cell>
          <cell r="M6857" t="str">
            <v>C7617</v>
          </cell>
          <cell r="AC6857">
            <v>41.006530759999997</v>
          </cell>
          <cell r="AD6857">
            <v>36.706298830000001</v>
          </cell>
        </row>
        <row r="6858">
          <cell r="L6858" t="str">
            <v>سربحور</v>
          </cell>
          <cell r="M6858" t="str">
            <v>C7618</v>
          </cell>
          <cell r="AC6858">
            <v>38.499328609999999</v>
          </cell>
          <cell r="AD6858">
            <v>36.710510249999999</v>
          </cell>
        </row>
        <row r="6859">
          <cell r="L6859" t="str">
            <v>راس الجوز</v>
          </cell>
          <cell r="M6859" t="str">
            <v>C7619</v>
          </cell>
          <cell r="AC6859">
            <v>37.767517089999998</v>
          </cell>
          <cell r="AD6859">
            <v>36.711914059999998</v>
          </cell>
        </row>
        <row r="6860">
          <cell r="L6860" t="str">
            <v>سميحان شرقي</v>
          </cell>
          <cell r="M6860" t="str">
            <v>C7620</v>
          </cell>
          <cell r="AC6860">
            <v>41.156921390000001</v>
          </cell>
          <cell r="AD6860">
            <v>36.711914059999998</v>
          </cell>
        </row>
        <row r="6861">
          <cell r="L6861" t="str">
            <v>جمك</v>
          </cell>
          <cell r="M6861" t="str">
            <v>C7621</v>
          </cell>
          <cell r="AC6861">
            <v>38.223876949999998</v>
          </cell>
          <cell r="AD6861">
            <v>36.712890629999997</v>
          </cell>
        </row>
        <row r="6862">
          <cell r="L6862" t="str">
            <v>دغيم عجاج</v>
          </cell>
          <cell r="M6862" t="str">
            <v>C7622</v>
          </cell>
          <cell r="AC6862">
            <v>39.766906740000003</v>
          </cell>
          <cell r="AD6862">
            <v>36.716674810000001</v>
          </cell>
        </row>
        <row r="6863">
          <cell r="L6863" t="str">
            <v>تل جما</v>
          </cell>
          <cell r="M6863" t="str">
            <v>C7623</v>
          </cell>
          <cell r="AC6863">
            <v>40.166870119999999</v>
          </cell>
          <cell r="AD6863">
            <v>36.717102050000001</v>
          </cell>
        </row>
        <row r="6864">
          <cell r="L6864" t="str">
            <v>بيت حج كانو</v>
          </cell>
          <cell r="M6864" t="str">
            <v>C7624</v>
          </cell>
          <cell r="AC6864">
            <v>37.72631836</v>
          </cell>
          <cell r="AD6864">
            <v>36.717285160000003</v>
          </cell>
        </row>
        <row r="6865">
          <cell r="L6865" t="str">
            <v>قرديني</v>
          </cell>
          <cell r="M6865" t="str">
            <v>C7625</v>
          </cell>
          <cell r="AC6865">
            <v>38.13647461</v>
          </cell>
          <cell r="AD6865">
            <v>36.718688970000002</v>
          </cell>
        </row>
        <row r="6866">
          <cell r="L6866" t="str">
            <v>بئر العبد</v>
          </cell>
          <cell r="M6866" t="str">
            <v>C7626</v>
          </cell>
          <cell r="AC6866">
            <v>40.453308110000002</v>
          </cell>
          <cell r="AD6866">
            <v>36.719116210000003</v>
          </cell>
        </row>
        <row r="6867">
          <cell r="L6867" t="str">
            <v>بندوري</v>
          </cell>
          <cell r="M6867" t="str">
            <v>C7627</v>
          </cell>
          <cell r="AC6867">
            <v>41.299682619999999</v>
          </cell>
          <cell r="AD6867">
            <v>36.719482419999999</v>
          </cell>
        </row>
        <row r="6868">
          <cell r="L6868" t="str">
            <v>المستريحة</v>
          </cell>
          <cell r="M6868" t="str">
            <v>C7628</v>
          </cell>
          <cell r="AC6868">
            <v>40.135925290000003</v>
          </cell>
          <cell r="AD6868">
            <v>36.720092770000001</v>
          </cell>
        </row>
        <row r="6869">
          <cell r="L6869" t="str">
            <v>عين البيضا</v>
          </cell>
          <cell r="M6869" t="str">
            <v>C7629</v>
          </cell>
          <cell r="AC6869">
            <v>37.975280759999997</v>
          </cell>
          <cell r="AD6869">
            <v>36.722106930000002</v>
          </cell>
        </row>
        <row r="6870">
          <cell r="L6870" t="str">
            <v>الخازق</v>
          </cell>
          <cell r="M6870" t="str">
            <v>C7630</v>
          </cell>
          <cell r="AC6870">
            <v>41.184326169999999</v>
          </cell>
          <cell r="AD6870">
            <v>36.722106930000002</v>
          </cell>
        </row>
        <row r="6871">
          <cell r="L6871" t="str">
            <v>تل خضر</v>
          </cell>
          <cell r="M6871" t="str">
            <v>C7631</v>
          </cell>
          <cell r="AC6871">
            <v>41.436706540000003</v>
          </cell>
          <cell r="AD6871">
            <v>36.724487310000001</v>
          </cell>
        </row>
        <row r="6872">
          <cell r="L6872" t="str">
            <v>حيفا</v>
          </cell>
          <cell r="M6872" t="str">
            <v>C7632</v>
          </cell>
          <cell r="AC6872">
            <v>41.393676759999998</v>
          </cell>
          <cell r="AD6872">
            <v>36.726501470000002</v>
          </cell>
        </row>
        <row r="6873">
          <cell r="L6873" t="str">
            <v>تحتيك تحتاني</v>
          </cell>
          <cell r="M6873" t="str">
            <v>C7633</v>
          </cell>
          <cell r="AC6873">
            <v>38.54412842</v>
          </cell>
          <cell r="AD6873">
            <v>36.726928710000003</v>
          </cell>
        </row>
        <row r="6874">
          <cell r="L6874" t="str">
            <v>حمد الحلو</v>
          </cell>
          <cell r="M6874" t="str">
            <v>C7634</v>
          </cell>
          <cell r="AC6874">
            <v>40.04528809</v>
          </cell>
          <cell r="AD6874">
            <v>36.728271479999997</v>
          </cell>
        </row>
        <row r="6875">
          <cell r="L6875" t="str">
            <v>تل سنان</v>
          </cell>
          <cell r="M6875" t="str">
            <v>C7635</v>
          </cell>
          <cell r="AC6875">
            <v>40.128723149999999</v>
          </cell>
          <cell r="AD6875">
            <v>36.730285649999999</v>
          </cell>
        </row>
        <row r="6876">
          <cell r="L6876" t="str">
            <v>شرباتي</v>
          </cell>
          <cell r="M6876" t="str">
            <v>C7636</v>
          </cell>
          <cell r="AC6876">
            <v>38.448486330000001</v>
          </cell>
          <cell r="AD6876">
            <v>36.731079100000002</v>
          </cell>
        </row>
        <row r="6877">
          <cell r="L6877" t="str">
            <v>ميدانة</v>
          </cell>
          <cell r="M6877" t="str">
            <v>C7637</v>
          </cell>
          <cell r="AC6877">
            <v>38.189514160000002</v>
          </cell>
          <cell r="AD6877">
            <v>36.731323240000002</v>
          </cell>
        </row>
        <row r="6878">
          <cell r="L6878" t="str">
            <v>بيرمان</v>
          </cell>
          <cell r="M6878" t="str">
            <v>C7638</v>
          </cell>
          <cell r="AC6878">
            <v>38.460876470000002</v>
          </cell>
          <cell r="AD6878">
            <v>36.733520509999998</v>
          </cell>
        </row>
        <row r="6879">
          <cell r="L6879" t="str">
            <v>بريش</v>
          </cell>
          <cell r="M6879" t="str">
            <v>C7639</v>
          </cell>
          <cell r="AC6879">
            <v>38.397705080000001</v>
          </cell>
          <cell r="AD6879">
            <v>36.734680179999998</v>
          </cell>
        </row>
        <row r="6880">
          <cell r="L6880" t="str">
            <v>جولاقي</v>
          </cell>
          <cell r="M6880" t="str">
            <v>C7640</v>
          </cell>
          <cell r="AC6880">
            <v>36.7755127</v>
          </cell>
          <cell r="AD6880">
            <v>36.73669434</v>
          </cell>
        </row>
        <row r="6881">
          <cell r="L6881" t="str">
            <v>كوشيك</v>
          </cell>
          <cell r="M6881" t="str">
            <v>C7641</v>
          </cell>
          <cell r="AC6881">
            <v>38.515930179999998</v>
          </cell>
          <cell r="AD6881">
            <v>36.736877440000001</v>
          </cell>
        </row>
        <row r="6882">
          <cell r="L6882" t="str">
            <v>تل طليلية</v>
          </cell>
          <cell r="M6882" t="str">
            <v>C7642</v>
          </cell>
          <cell r="AC6882">
            <v>39.938903809999999</v>
          </cell>
          <cell r="AD6882">
            <v>36.738098149999999</v>
          </cell>
        </row>
        <row r="6883">
          <cell r="L6883" t="str">
            <v>ام حجرة</v>
          </cell>
          <cell r="M6883" t="str">
            <v>C7643</v>
          </cell>
          <cell r="AC6883">
            <v>41.024902339999997</v>
          </cell>
          <cell r="AD6883">
            <v>36.739074709999997</v>
          </cell>
        </row>
        <row r="6884">
          <cell r="L6884" t="str">
            <v>ام جعفر</v>
          </cell>
          <cell r="M6884" t="str">
            <v>C7644</v>
          </cell>
          <cell r="AC6884">
            <v>41.345703129999997</v>
          </cell>
          <cell r="AD6884">
            <v>36.740478520000003</v>
          </cell>
        </row>
        <row r="6885">
          <cell r="L6885" t="str">
            <v>البويضة</v>
          </cell>
          <cell r="M6885" t="str">
            <v>C7645</v>
          </cell>
          <cell r="AC6885">
            <v>40.095275880000003</v>
          </cell>
          <cell r="AD6885">
            <v>36.740905759999997</v>
          </cell>
        </row>
        <row r="6886">
          <cell r="L6886" t="str">
            <v>خرنوبي الحسو</v>
          </cell>
          <cell r="M6886" t="str">
            <v>C7646</v>
          </cell>
          <cell r="AC6886">
            <v>41.325927729999997</v>
          </cell>
          <cell r="AD6886">
            <v>36.748474119999997</v>
          </cell>
        </row>
        <row r="6887">
          <cell r="L6887" t="str">
            <v>بونجغ</v>
          </cell>
          <cell r="M6887" t="str">
            <v>C7647</v>
          </cell>
          <cell r="AC6887">
            <v>41.007873539999999</v>
          </cell>
          <cell r="AD6887">
            <v>36.75091553</v>
          </cell>
        </row>
        <row r="6888">
          <cell r="L6888" t="str">
            <v>صبرية</v>
          </cell>
          <cell r="M6888" t="str">
            <v>C7648</v>
          </cell>
          <cell r="AC6888">
            <v>41.029479979999998</v>
          </cell>
          <cell r="AD6888">
            <v>36.751281740000003</v>
          </cell>
        </row>
        <row r="6889">
          <cell r="L6889" t="str">
            <v>تل ناعور</v>
          </cell>
          <cell r="M6889" t="str">
            <v>C7649</v>
          </cell>
          <cell r="AC6889">
            <v>41.91772461</v>
          </cell>
          <cell r="AD6889">
            <v>36.751525880000003</v>
          </cell>
        </row>
        <row r="6890">
          <cell r="L6890" t="str">
            <v>عرنان جنوبي</v>
          </cell>
          <cell r="M6890" t="str">
            <v>C7650</v>
          </cell>
          <cell r="AC6890">
            <v>40.003478999999999</v>
          </cell>
          <cell r="AD6890">
            <v>36.751525880000003</v>
          </cell>
        </row>
        <row r="6891">
          <cell r="L6891" t="str">
            <v>قلنجات ويران</v>
          </cell>
          <cell r="M6891" t="str">
            <v>C7651</v>
          </cell>
          <cell r="AC6891">
            <v>38.351684570000003</v>
          </cell>
          <cell r="AD6891">
            <v>36.75549316</v>
          </cell>
        </row>
        <row r="6892">
          <cell r="L6892" t="str">
            <v>تل برم</v>
          </cell>
          <cell r="M6892" t="str">
            <v>C7652</v>
          </cell>
          <cell r="AC6892">
            <v>40.073120119999999</v>
          </cell>
          <cell r="AD6892">
            <v>36.756713869999999</v>
          </cell>
        </row>
        <row r="6893">
          <cell r="L6893" t="str">
            <v>الحاج حميد سليمان</v>
          </cell>
          <cell r="M6893" t="str">
            <v>C7653</v>
          </cell>
          <cell r="AC6893">
            <v>39.854919430000002</v>
          </cell>
          <cell r="AD6893">
            <v>36.757507320000002</v>
          </cell>
        </row>
        <row r="6894">
          <cell r="L6894" t="str">
            <v>تل غربل فوقاني</v>
          </cell>
          <cell r="M6894" t="str">
            <v>C7654</v>
          </cell>
          <cell r="AC6894">
            <v>40.939880369999997</v>
          </cell>
          <cell r="AD6894">
            <v>36.759094240000003</v>
          </cell>
        </row>
        <row r="6895">
          <cell r="L6895" t="str">
            <v>صوانة</v>
          </cell>
          <cell r="M6895" t="str">
            <v>C7655</v>
          </cell>
          <cell r="AC6895">
            <v>39.926879880000001</v>
          </cell>
          <cell r="AD6895">
            <v>36.759094240000003</v>
          </cell>
        </row>
        <row r="6896">
          <cell r="L6896" t="str">
            <v>حنكوش</v>
          </cell>
          <cell r="M6896" t="str">
            <v>C7656</v>
          </cell>
          <cell r="AC6896">
            <v>38.139526369999999</v>
          </cell>
          <cell r="AD6896">
            <v>36.759521479999997</v>
          </cell>
        </row>
        <row r="6897">
          <cell r="L6897" t="str">
            <v>قشلة</v>
          </cell>
          <cell r="M6897" t="str">
            <v>C7657</v>
          </cell>
          <cell r="AC6897">
            <v>41.15509033</v>
          </cell>
          <cell r="AD6897">
            <v>36.759521479999997</v>
          </cell>
        </row>
        <row r="6898">
          <cell r="L6898" t="str">
            <v>تل زبيب خواتنة</v>
          </cell>
          <cell r="M6898" t="str">
            <v>C7658</v>
          </cell>
          <cell r="AC6898">
            <v>41.074523929999998</v>
          </cell>
          <cell r="AD6898">
            <v>36.760681150000003</v>
          </cell>
        </row>
        <row r="6899">
          <cell r="L6899" t="str">
            <v>زرويك</v>
          </cell>
          <cell r="M6899" t="str">
            <v>C7659</v>
          </cell>
          <cell r="AC6899">
            <v>38.256530759999997</v>
          </cell>
          <cell r="AD6899">
            <v>36.763122559999999</v>
          </cell>
        </row>
        <row r="6900">
          <cell r="L6900" t="str">
            <v>ديبرك كيتكان</v>
          </cell>
          <cell r="M6900" t="str">
            <v>C7660</v>
          </cell>
          <cell r="AC6900">
            <v>38.411926270000002</v>
          </cell>
          <cell r="AD6900">
            <v>36.76330566</v>
          </cell>
        </row>
        <row r="6901">
          <cell r="L6901" t="str">
            <v>الحلبية</v>
          </cell>
          <cell r="M6901" t="str">
            <v>C7661</v>
          </cell>
          <cell r="AC6901">
            <v>40.116882320000002</v>
          </cell>
          <cell r="AD6901">
            <v>36.765319820000002</v>
          </cell>
        </row>
        <row r="6902">
          <cell r="L6902" t="str">
            <v>سكرية</v>
          </cell>
          <cell r="M6902" t="str">
            <v>C7662</v>
          </cell>
          <cell r="AC6902">
            <v>41.315917970000001</v>
          </cell>
          <cell r="AD6902">
            <v>36.766113279999999</v>
          </cell>
        </row>
        <row r="6903">
          <cell r="L6903" t="str">
            <v>الحيشوري</v>
          </cell>
          <cell r="M6903" t="str">
            <v>C7663</v>
          </cell>
          <cell r="AC6903">
            <v>40.872070309999998</v>
          </cell>
          <cell r="AD6903">
            <v>36.767883300000001</v>
          </cell>
        </row>
        <row r="6904">
          <cell r="L6904" t="str">
            <v>ام كهيف</v>
          </cell>
          <cell r="M6904" t="str">
            <v>C7664</v>
          </cell>
          <cell r="AC6904">
            <v>41.391479490000002</v>
          </cell>
          <cell r="AD6904">
            <v>36.775085449999999</v>
          </cell>
        </row>
        <row r="6905">
          <cell r="L6905" t="str">
            <v>تل شعير</v>
          </cell>
          <cell r="M6905" t="str">
            <v>C7665</v>
          </cell>
          <cell r="AC6905">
            <v>37.950073240000002</v>
          </cell>
          <cell r="AD6905">
            <v>36.775695800000001</v>
          </cell>
        </row>
        <row r="6906">
          <cell r="L6906" t="str">
            <v>جرموز</v>
          </cell>
          <cell r="M6906" t="str">
            <v>C7666</v>
          </cell>
          <cell r="AC6906">
            <v>38.463500979999999</v>
          </cell>
          <cell r="AD6906">
            <v>36.777282720000002</v>
          </cell>
        </row>
        <row r="6907">
          <cell r="L6907" t="str">
            <v>حلوة البوير</v>
          </cell>
          <cell r="M6907" t="str">
            <v>C7668</v>
          </cell>
          <cell r="AC6907">
            <v>41.098327640000001</v>
          </cell>
          <cell r="AD6907">
            <v>36.779724119999997</v>
          </cell>
        </row>
        <row r="6908">
          <cell r="L6908" t="str">
            <v>تل خاتون</v>
          </cell>
          <cell r="M6908" t="str">
            <v>C7669</v>
          </cell>
          <cell r="AC6908">
            <v>40.631530759999997</v>
          </cell>
          <cell r="AD6908">
            <v>36.780517580000001</v>
          </cell>
        </row>
        <row r="6909">
          <cell r="L6909" t="str">
            <v>بير رازة</v>
          </cell>
          <cell r="M6909" t="str">
            <v>C7670</v>
          </cell>
          <cell r="AC6909">
            <v>40.101074220000001</v>
          </cell>
          <cell r="AD6909">
            <v>36.783874509999997</v>
          </cell>
        </row>
        <row r="6910">
          <cell r="L6910" t="str">
            <v>تل بستان كبير</v>
          </cell>
          <cell r="M6910" t="str">
            <v>C7671</v>
          </cell>
          <cell r="AC6910">
            <v>41.244689940000001</v>
          </cell>
          <cell r="AD6910">
            <v>36.784301759999998</v>
          </cell>
        </row>
        <row r="6911">
          <cell r="L6911" t="str">
            <v>غنمية</v>
          </cell>
          <cell r="M6911" t="str">
            <v>C7672</v>
          </cell>
          <cell r="AC6911">
            <v>41.410888669999999</v>
          </cell>
          <cell r="AD6911">
            <v>36.784484859999999</v>
          </cell>
        </row>
        <row r="6912">
          <cell r="L6912" t="str">
            <v>تل طحين / تل سيرات</v>
          </cell>
          <cell r="M6912" t="str">
            <v>C7673</v>
          </cell>
          <cell r="AC6912">
            <v>41.604492190000002</v>
          </cell>
          <cell r="AD6912">
            <v>36.78631592</v>
          </cell>
        </row>
        <row r="6913">
          <cell r="L6913" t="str">
            <v>دايبرك كايتيكان</v>
          </cell>
          <cell r="M6913" t="str">
            <v>C7674</v>
          </cell>
          <cell r="AC6913">
            <v>38.410522460000003</v>
          </cell>
          <cell r="AD6913">
            <v>36.787719729999999</v>
          </cell>
        </row>
        <row r="6914">
          <cell r="L6914" t="str">
            <v>قليعة</v>
          </cell>
          <cell r="M6914" t="str">
            <v>C7675</v>
          </cell>
          <cell r="AC6914">
            <v>40.049926759999998</v>
          </cell>
          <cell r="AD6914">
            <v>36.788879399999999</v>
          </cell>
        </row>
        <row r="6915">
          <cell r="L6915" t="str">
            <v>طامنة</v>
          </cell>
          <cell r="M6915" t="str">
            <v>C7676</v>
          </cell>
          <cell r="AC6915">
            <v>41.315673830000001</v>
          </cell>
          <cell r="AD6915">
            <v>36.793701169999999</v>
          </cell>
        </row>
        <row r="6916">
          <cell r="L6916" t="str">
            <v>درابزين</v>
          </cell>
          <cell r="M6916" t="str">
            <v>C7677</v>
          </cell>
          <cell r="AC6916">
            <v>38.124511720000001</v>
          </cell>
          <cell r="AD6916">
            <v>36.793701169999999</v>
          </cell>
        </row>
        <row r="6917">
          <cell r="L6917" t="str">
            <v>شاشان</v>
          </cell>
          <cell r="M6917" t="str">
            <v>C7678</v>
          </cell>
          <cell r="AC6917">
            <v>40.175720220000002</v>
          </cell>
          <cell r="AD6917">
            <v>36.79571533</v>
          </cell>
        </row>
        <row r="6918">
          <cell r="L6918" t="str">
            <v>صيخور</v>
          </cell>
          <cell r="M6918" t="str">
            <v>C7679</v>
          </cell>
          <cell r="AC6918">
            <v>40.850708009999998</v>
          </cell>
          <cell r="AD6918">
            <v>36.79571533</v>
          </cell>
        </row>
        <row r="6919">
          <cell r="L6919" t="str">
            <v>جوزات</v>
          </cell>
          <cell r="M6919" t="str">
            <v>C7680</v>
          </cell>
          <cell r="AC6919">
            <v>40.56408691</v>
          </cell>
          <cell r="AD6919">
            <v>36.797302250000001</v>
          </cell>
        </row>
        <row r="6920">
          <cell r="L6920" t="str">
            <v>مسعدة اليعربية</v>
          </cell>
          <cell r="M6920" t="str">
            <v>C7681</v>
          </cell>
          <cell r="AC6920">
            <v>42.0255127</v>
          </cell>
          <cell r="AD6920">
            <v>36.797729490000002</v>
          </cell>
        </row>
        <row r="6921">
          <cell r="L6921" t="str">
            <v>هيلانة</v>
          </cell>
          <cell r="M6921" t="str">
            <v>C7682</v>
          </cell>
          <cell r="AC6921">
            <v>40.927917479999998</v>
          </cell>
          <cell r="AD6921">
            <v>36.80169678</v>
          </cell>
        </row>
        <row r="6922">
          <cell r="L6922" t="str">
            <v>قره مزرعة</v>
          </cell>
          <cell r="M6922" t="str">
            <v>C7683</v>
          </cell>
          <cell r="AC6922">
            <v>38.400695800000001</v>
          </cell>
          <cell r="AD6922">
            <v>36.801879880000001</v>
          </cell>
        </row>
        <row r="6923">
          <cell r="L6923" t="str">
            <v>كوكجات</v>
          </cell>
          <cell r="M6923" t="str">
            <v>C7684</v>
          </cell>
          <cell r="AC6923">
            <v>38.344482419999999</v>
          </cell>
          <cell r="AD6923">
            <v>36.806701660000002</v>
          </cell>
        </row>
        <row r="6924">
          <cell r="L6924" t="str">
            <v>ام عضام</v>
          </cell>
          <cell r="M6924" t="str">
            <v>C7685</v>
          </cell>
          <cell r="AC6924">
            <v>41.08752441</v>
          </cell>
          <cell r="AD6924">
            <v>36.808715820000003</v>
          </cell>
        </row>
        <row r="6925">
          <cell r="L6925" t="str">
            <v>بير بازان</v>
          </cell>
          <cell r="M6925" t="str">
            <v>C7686</v>
          </cell>
          <cell r="AC6925">
            <v>40.845092770000001</v>
          </cell>
          <cell r="AD6925">
            <v>36.809082029999999</v>
          </cell>
        </row>
        <row r="6926">
          <cell r="L6926" t="str">
            <v>ام حجيرة</v>
          </cell>
          <cell r="M6926" t="str">
            <v>C7687</v>
          </cell>
          <cell r="AC6926">
            <v>41.223510740000002</v>
          </cell>
          <cell r="AD6926">
            <v>36.812316899999999</v>
          </cell>
        </row>
        <row r="6927">
          <cell r="L6927" t="str">
            <v>خربة الدوشة</v>
          </cell>
          <cell r="M6927" t="str">
            <v>C7688</v>
          </cell>
          <cell r="AC6927">
            <v>41.267089839999997</v>
          </cell>
          <cell r="AD6927">
            <v>36.8125</v>
          </cell>
        </row>
        <row r="6928">
          <cell r="L6928" t="str">
            <v>ستي</v>
          </cell>
          <cell r="M6928" t="str">
            <v>C7689</v>
          </cell>
          <cell r="AC6928">
            <v>38.237915039999997</v>
          </cell>
          <cell r="AD6928">
            <v>36.813293459999997</v>
          </cell>
        </row>
        <row r="6929">
          <cell r="L6929" t="str">
            <v>خربة نازو</v>
          </cell>
          <cell r="M6929" t="str">
            <v>C7690</v>
          </cell>
          <cell r="AC6929">
            <v>41.027526860000002</v>
          </cell>
          <cell r="AD6929">
            <v>36.815124509999997</v>
          </cell>
        </row>
        <row r="6930">
          <cell r="L6930" t="str">
            <v>تل حميدية</v>
          </cell>
          <cell r="M6930" t="str">
            <v>C7691</v>
          </cell>
          <cell r="AC6930">
            <v>41.165283199999998</v>
          </cell>
          <cell r="AD6930">
            <v>36.816284179999997</v>
          </cell>
        </row>
        <row r="6931">
          <cell r="L6931" t="str">
            <v>خرابال</v>
          </cell>
          <cell r="M6931" t="str">
            <v>C7692</v>
          </cell>
          <cell r="AC6931">
            <v>38.459716800000002</v>
          </cell>
          <cell r="AD6931">
            <v>36.81848145</v>
          </cell>
        </row>
        <row r="6932">
          <cell r="L6932" t="str">
            <v>بوستبة</v>
          </cell>
          <cell r="M6932" t="str">
            <v>C7693</v>
          </cell>
          <cell r="AC6932">
            <v>38.498718259999997</v>
          </cell>
          <cell r="AD6932">
            <v>36.821105959999997</v>
          </cell>
        </row>
        <row r="6933">
          <cell r="L6933" t="str">
            <v>جمحران</v>
          </cell>
          <cell r="M6933" t="str">
            <v>C7694</v>
          </cell>
          <cell r="AC6933">
            <v>38.38787842</v>
          </cell>
          <cell r="AD6933">
            <v>36.825683589999997</v>
          </cell>
        </row>
        <row r="6934">
          <cell r="L6934" t="str">
            <v>ام الخير</v>
          </cell>
          <cell r="M6934" t="str">
            <v>C7695</v>
          </cell>
          <cell r="AC6934">
            <v>40.09790039</v>
          </cell>
          <cell r="AD6934">
            <v>36.825683589999997</v>
          </cell>
        </row>
        <row r="6935">
          <cell r="L6935" t="str">
            <v>مشيرفة كبيرة</v>
          </cell>
          <cell r="M6935" t="str">
            <v>C7696</v>
          </cell>
          <cell r="AC6935">
            <v>41.24127197</v>
          </cell>
          <cell r="AD6935">
            <v>36.828308110000002</v>
          </cell>
        </row>
        <row r="6936">
          <cell r="L6936" t="str">
            <v>ابكت</v>
          </cell>
          <cell r="M6936" t="str">
            <v>C7697</v>
          </cell>
          <cell r="AC6936">
            <v>38.107116699999999</v>
          </cell>
          <cell r="AD6936">
            <v>36.830688479999999</v>
          </cell>
        </row>
        <row r="6937">
          <cell r="L6937" t="str">
            <v>مشيرفة صغيرة</v>
          </cell>
          <cell r="M6937" t="str">
            <v>C7698</v>
          </cell>
          <cell r="AC6937">
            <v>41.230285649999999</v>
          </cell>
          <cell r="AD6937">
            <v>36.831726070000002</v>
          </cell>
        </row>
        <row r="6938">
          <cell r="L6938" t="str">
            <v>ام صليبة</v>
          </cell>
          <cell r="M6938" t="str">
            <v>C7699</v>
          </cell>
          <cell r="AC6938">
            <v>40.208679199999999</v>
          </cell>
          <cell r="AD6938">
            <v>36.838500979999999</v>
          </cell>
        </row>
        <row r="6939">
          <cell r="L6939" t="str">
            <v>ابو حجر</v>
          </cell>
          <cell r="M6939" t="str">
            <v>C7700</v>
          </cell>
          <cell r="AC6939">
            <v>40.106689449999998</v>
          </cell>
          <cell r="AD6939">
            <v>36.841674810000001</v>
          </cell>
        </row>
        <row r="6940">
          <cell r="L6940" t="str">
            <v>سكر فوقاني</v>
          </cell>
          <cell r="M6940" t="str">
            <v>C7701</v>
          </cell>
          <cell r="AC6940">
            <v>40.59350586</v>
          </cell>
          <cell r="AD6940">
            <v>36.846130369999997</v>
          </cell>
        </row>
        <row r="6941">
          <cell r="L6941" t="str">
            <v>جبان</v>
          </cell>
          <cell r="M6941" t="str">
            <v>C7702</v>
          </cell>
          <cell r="AC6941">
            <v>38.512084960000003</v>
          </cell>
          <cell r="AD6941">
            <v>36.846130369999997</v>
          </cell>
        </row>
        <row r="6942">
          <cell r="L6942" t="str">
            <v>كرتك</v>
          </cell>
          <cell r="M6942" t="str">
            <v>C7703</v>
          </cell>
          <cell r="AC6942">
            <v>38.479675290000003</v>
          </cell>
          <cell r="AD6942">
            <v>36.850708009999998</v>
          </cell>
        </row>
        <row r="6943">
          <cell r="L6943" t="str">
            <v>نداس</v>
          </cell>
          <cell r="M6943" t="str">
            <v>C7704</v>
          </cell>
          <cell r="AC6943">
            <v>40.181884770000003</v>
          </cell>
          <cell r="AD6943">
            <v>36.861083979999997</v>
          </cell>
        </row>
        <row r="6944">
          <cell r="L6944" t="str">
            <v>جمعة علي</v>
          </cell>
          <cell r="M6944" t="str">
            <v>C7705</v>
          </cell>
          <cell r="AC6944">
            <v>38.467285160000003</v>
          </cell>
          <cell r="AD6944">
            <v>36.862304690000002</v>
          </cell>
        </row>
        <row r="6945">
          <cell r="L6945" t="str">
            <v>بوير</v>
          </cell>
          <cell r="M6945" t="str">
            <v>C7706</v>
          </cell>
          <cell r="AC6945">
            <v>41.353088380000003</v>
          </cell>
          <cell r="AD6945">
            <v>36.862487790000003</v>
          </cell>
        </row>
        <row r="6946">
          <cell r="L6946" t="str">
            <v>جلبرات تحتاني</v>
          </cell>
          <cell r="M6946" t="str">
            <v>C7707</v>
          </cell>
          <cell r="AC6946">
            <v>41.216674810000001</v>
          </cell>
          <cell r="AD6946">
            <v>36.865478520000003</v>
          </cell>
        </row>
        <row r="6947">
          <cell r="L6947" t="str">
            <v>شيخ حسن</v>
          </cell>
          <cell r="M6947" t="str">
            <v>C7708</v>
          </cell>
          <cell r="AC6947">
            <v>40.249877929999997</v>
          </cell>
          <cell r="AD6947">
            <v>36.869079589999998</v>
          </cell>
        </row>
        <row r="6948">
          <cell r="L6948" t="str">
            <v>خزنة جديد</v>
          </cell>
          <cell r="M6948" t="str">
            <v>C7709</v>
          </cell>
          <cell r="AC6948">
            <v>41.31408691</v>
          </cell>
          <cell r="AD6948">
            <v>36.870483399999998</v>
          </cell>
        </row>
        <row r="6949">
          <cell r="L6949" t="str">
            <v>دكماتاش</v>
          </cell>
          <cell r="M6949" t="str">
            <v>C7710</v>
          </cell>
          <cell r="AC6949">
            <v>38.142883300000001</v>
          </cell>
          <cell r="AD6949">
            <v>36.872924810000001</v>
          </cell>
        </row>
        <row r="6950">
          <cell r="L6950" t="str">
            <v>البكو</v>
          </cell>
          <cell r="M6950" t="str">
            <v>C7711</v>
          </cell>
          <cell r="AC6950">
            <v>40.652526860000002</v>
          </cell>
          <cell r="AD6950">
            <v>36.873291020000003</v>
          </cell>
        </row>
        <row r="6951">
          <cell r="L6951" t="str">
            <v>الزاقة</v>
          </cell>
          <cell r="M6951" t="str">
            <v>C7712</v>
          </cell>
          <cell r="AC6951">
            <v>41.604675290000003</v>
          </cell>
          <cell r="AD6951">
            <v>36.876708979999997</v>
          </cell>
        </row>
        <row r="6952">
          <cell r="L6952" t="str">
            <v>مضلومة</v>
          </cell>
          <cell r="M6952" t="str">
            <v>C7713</v>
          </cell>
          <cell r="AC6952">
            <v>41.516113279999999</v>
          </cell>
          <cell r="AD6952">
            <v>36.876708979999997</v>
          </cell>
        </row>
        <row r="6953">
          <cell r="L6953" t="str">
            <v>جيلاك</v>
          </cell>
          <cell r="M6953" t="str">
            <v>C7714</v>
          </cell>
          <cell r="AC6953">
            <v>41.496704100000002</v>
          </cell>
          <cell r="AD6953">
            <v>36.877685550000002</v>
          </cell>
        </row>
        <row r="6954">
          <cell r="L6954" t="str">
            <v>حجتار</v>
          </cell>
          <cell r="M6954" t="str">
            <v>C7715</v>
          </cell>
          <cell r="AC6954">
            <v>38.24310303</v>
          </cell>
          <cell r="AD6954">
            <v>36.883117679999998</v>
          </cell>
        </row>
        <row r="6955">
          <cell r="L6955" t="str">
            <v>القنطرة / كيكان</v>
          </cell>
          <cell r="M6955" t="str">
            <v>C7716</v>
          </cell>
          <cell r="AC6955">
            <v>38.416687009999997</v>
          </cell>
          <cell r="AD6955">
            <v>36.88671875</v>
          </cell>
        </row>
        <row r="6956">
          <cell r="L6956" t="str">
            <v>تل ابو فرح</v>
          </cell>
          <cell r="M6956" t="str">
            <v>C7717</v>
          </cell>
          <cell r="AC6956">
            <v>41.620910649999999</v>
          </cell>
          <cell r="AD6956">
            <v>36.892089839999997</v>
          </cell>
        </row>
        <row r="6957">
          <cell r="L6957" t="str">
            <v>عنزي</v>
          </cell>
          <cell r="M6957" t="str">
            <v>C7718</v>
          </cell>
          <cell r="AC6957">
            <v>41.76287842</v>
          </cell>
          <cell r="AD6957">
            <v>36.892883300000001</v>
          </cell>
        </row>
        <row r="6958">
          <cell r="L6958" t="str">
            <v>جلبيك</v>
          </cell>
          <cell r="M6958" t="str">
            <v>C7719</v>
          </cell>
          <cell r="AC6958">
            <v>38.279113770000002</v>
          </cell>
          <cell r="AD6958">
            <v>36.89428711</v>
          </cell>
        </row>
        <row r="6959">
          <cell r="L6959" t="str">
            <v>البتراء</v>
          </cell>
          <cell r="M6959" t="str">
            <v>C7720</v>
          </cell>
          <cell r="AC6959">
            <v>41.657714839999997</v>
          </cell>
          <cell r="AD6959">
            <v>36.897094729999999</v>
          </cell>
        </row>
        <row r="6960">
          <cell r="L6960" t="str">
            <v>مزري</v>
          </cell>
          <cell r="M6960" t="str">
            <v>C7721</v>
          </cell>
          <cell r="AC6960">
            <v>40.363708500000001</v>
          </cell>
          <cell r="AD6960">
            <v>36.897705080000001</v>
          </cell>
        </row>
        <row r="6961">
          <cell r="L6961" t="str">
            <v>صفيق تحتاني</v>
          </cell>
          <cell r="M6961" t="str">
            <v>C7722</v>
          </cell>
          <cell r="AC6961">
            <v>38.22631836</v>
          </cell>
          <cell r="AD6961">
            <v>36.899475099999997</v>
          </cell>
        </row>
        <row r="6962">
          <cell r="L6962" t="str">
            <v>بابانا بيكوك</v>
          </cell>
          <cell r="M6962" t="str">
            <v>C7723</v>
          </cell>
          <cell r="AC6962">
            <v>38.191284179999997</v>
          </cell>
          <cell r="AD6962">
            <v>36.901306150000003</v>
          </cell>
        </row>
        <row r="6963">
          <cell r="L6963" t="str">
            <v>رجم عيار</v>
          </cell>
          <cell r="M6963" t="str">
            <v>C7724</v>
          </cell>
          <cell r="AC6963">
            <v>41.732299810000001</v>
          </cell>
          <cell r="AD6963">
            <v>36.912109379999997</v>
          </cell>
        </row>
        <row r="6964">
          <cell r="L6964" t="str">
            <v>جير ديوان</v>
          </cell>
          <cell r="M6964" t="str">
            <v>C7725</v>
          </cell>
          <cell r="AC6964">
            <v>41.051330569999998</v>
          </cell>
          <cell r="AD6964">
            <v>36.913696289999997</v>
          </cell>
        </row>
        <row r="6965">
          <cell r="L6965" t="str">
            <v>جديدة حرب</v>
          </cell>
          <cell r="M6965" t="str">
            <v>C7726</v>
          </cell>
          <cell r="AC6965">
            <v>40.4375</v>
          </cell>
          <cell r="AD6965">
            <v>36.927124020000001</v>
          </cell>
        </row>
        <row r="6966">
          <cell r="L6966" t="str">
            <v>مديرته</v>
          </cell>
          <cell r="M6966" t="str">
            <v>C7727</v>
          </cell>
          <cell r="AC6966">
            <v>41.89868164</v>
          </cell>
          <cell r="AD6966">
            <v>36.93127441</v>
          </cell>
        </row>
        <row r="6967">
          <cell r="L6967" t="str">
            <v>مشيرفة راس العين</v>
          </cell>
          <cell r="M6967" t="str">
            <v>C7728</v>
          </cell>
          <cell r="AC6967">
            <v>40.341308589999997</v>
          </cell>
          <cell r="AD6967">
            <v>36.933471679999997</v>
          </cell>
        </row>
        <row r="6968">
          <cell r="L6968" t="str">
            <v>قوتكي</v>
          </cell>
          <cell r="M6968" t="str">
            <v>C7729</v>
          </cell>
          <cell r="AC6968">
            <v>41.069274900000003</v>
          </cell>
          <cell r="AD6968">
            <v>36.933898929999998</v>
          </cell>
        </row>
        <row r="6969">
          <cell r="L6969" t="str">
            <v>تل الوفاء</v>
          </cell>
          <cell r="M6969" t="str">
            <v>C7730</v>
          </cell>
          <cell r="AC6969">
            <v>40.925903320000003</v>
          </cell>
          <cell r="AD6969">
            <v>36.943298339999998</v>
          </cell>
        </row>
        <row r="6970">
          <cell r="L6970" t="str">
            <v>الشيبانية</v>
          </cell>
          <cell r="M6970" t="str">
            <v>C7731</v>
          </cell>
          <cell r="AC6970">
            <v>41.357482910000002</v>
          </cell>
          <cell r="AD6970">
            <v>36.964111330000001</v>
          </cell>
        </row>
        <row r="6971">
          <cell r="L6971" t="str">
            <v>حرم رش</v>
          </cell>
          <cell r="M6971" t="str">
            <v>C7732</v>
          </cell>
          <cell r="AC6971">
            <v>40.681884770000003</v>
          </cell>
          <cell r="AD6971">
            <v>37.005920410000002</v>
          </cell>
        </row>
        <row r="6972">
          <cell r="L6972" t="str">
            <v>كندور</v>
          </cell>
          <cell r="M6972" t="str">
            <v>C7733</v>
          </cell>
          <cell r="AC6972">
            <v>40.899719240000003</v>
          </cell>
          <cell r="AD6972">
            <v>37.029296879999997</v>
          </cell>
        </row>
        <row r="6973">
          <cell r="L6973" t="str">
            <v>ويجان</v>
          </cell>
          <cell r="M6973" t="str">
            <v>C7734</v>
          </cell>
          <cell r="AC6973">
            <v>41.02368164</v>
          </cell>
          <cell r="AD6973">
            <v>37.077087400000003</v>
          </cell>
        </row>
        <row r="6974">
          <cell r="L6974" t="str">
            <v>زورافا</v>
          </cell>
          <cell r="M6974" t="str">
            <v>C7735</v>
          </cell>
          <cell r="AC6974">
            <v>40.757324220000001</v>
          </cell>
          <cell r="AD6974">
            <v>37.081481930000002</v>
          </cell>
        </row>
        <row r="6975">
          <cell r="L6975" t="str">
            <v>قشتو</v>
          </cell>
          <cell r="M6975" t="str">
            <v>C7736</v>
          </cell>
          <cell r="AC6975">
            <v>41.770874020000001</v>
          </cell>
          <cell r="AD6975">
            <v>37.088317869999997</v>
          </cell>
        </row>
        <row r="6976">
          <cell r="L6976" t="str">
            <v>الطير</v>
          </cell>
          <cell r="M6976" t="str">
            <v>C7737</v>
          </cell>
          <cell r="AC6976">
            <v>36.047485350000002</v>
          </cell>
          <cell r="AD6976">
            <v>32.790283199999998</v>
          </cell>
        </row>
        <row r="6977">
          <cell r="L6977" t="str">
            <v>الحانوط</v>
          </cell>
          <cell r="M6977" t="str">
            <v>C7738</v>
          </cell>
          <cell r="AC6977">
            <v>35.884094240000003</v>
          </cell>
          <cell r="AD6977">
            <v>32.887084960000003</v>
          </cell>
        </row>
        <row r="6978">
          <cell r="L6978" t="str">
            <v>الدلافة</v>
          </cell>
          <cell r="M6978" t="str">
            <v>C7739</v>
          </cell>
          <cell r="AC6978">
            <v>36.354492190000002</v>
          </cell>
          <cell r="AD6978">
            <v>32.913513180000002</v>
          </cell>
        </row>
        <row r="6979">
          <cell r="L6979" t="str">
            <v>كوم الرمان</v>
          </cell>
          <cell r="M6979" t="str">
            <v>C7740</v>
          </cell>
          <cell r="AC6979">
            <v>36.271484379999997</v>
          </cell>
          <cell r="AD6979">
            <v>32.96252441</v>
          </cell>
        </row>
        <row r="6980">
          <cell r="L6980" t="str">
            <v>ابو غاره</v>
          </cell>
          <cell r="M6980" t="str">
            <v>C7741</v>
          </cell>
          <cell r="AC6980">
            <v>35.935302729999997</v>
          </cell>
          <cell r="AD6980">
            <v>32.982299810000001</v>
          </cell>
        </row>
        <row r="6981">
          <cell r="L6981" t="str">
            <v>عين العبد</v>
          </cell>
          <cell r="M6981" t="str">
            <v>C7743</v>
          </cell>
          <cell r="AC6981">
            <v>35.91888428</v>
          </cell>
          <cell r="AD6981">
            <v>32.986083979999997</v>
          </cell>
        </row>
        <row r="6982">
          <cell r="L6982" t="str">
            <v>ساقية</v>
          </cell>
          <cell r="M6982" t="str">
            <v>C7744</v>
          </cell>
          <cell r="AC6982">
            <v>36.784728999999999</v>
          </cell>
          <cell r="AD6982">
            <v>32.987304690000002</v>
          </cell>
        </row>
        <row r="6983">
          <cell r="L6983" t="str">
            <v>عين زيوان</v>
          </cell>
          <cell r="M6983" t="str">
            <v>C7746</v>
          </cell>
          <cell r="AC6983">
            <v>35.916320800000001</v>
          </cell>
          <cell r="AD6983">
            <v>32.995300290000003</v>
          </cell>
        </row>
        <row r="6984">
          <cell r="L6984" t="str">
            <v>ام الخرز</v>
          </cell>
          <cell r="M6984" t="str">
            <v>C7747</v>
          </cell>
          <cell r="AC6984">
            <v>36.367126470000002</v>
          </cell>
          <cell r="AD6984">
            <v>33.009521479999997</v>
          </cell>
        </row>
        <row r="6985">
          <cell r="L6985" t="str">
            <v>صنع الحمام</v>
          </cell>
          <cell r="M6985" t="str">
            <v>C7748</v>
          </cell>
          <cell r="AC6985">
            <v>36.316528320000003</v>
          </cell>
          <cell r="AD6985">
            <v>33.010681150000003</v>
          </cell>
        </row>
        <row r="6986">
          <cell r="L6986" t="str">
            <v>بنات بيعر</v>
          </cell>
          <cell r="M6986" t="str">
            <v>C7749</v>
          </cell>
          <cell r="AC6986">
            <v>36.77368164</v>
          </cell>
          <cell r="AD6986">
            <v>33.016113279999999</v>
          </cell>
        </row>
        <row r="6987">
          <cell r="L6987" t="str">
            <v>شنوان</v>
          </cell>
          <cell r="M6987" t="str">
            <v>C7750</v>
          </cell>
          <cell r="AC6987">
            <v>36.754089360000002</v>
          </cell>
          <cell r="AD6987">
            <v>33.023925779999999</v>
          </cell>
        </row>
        <row r="6988">
          <cell r="L6988" t="str">
            <v>الرابع</v>
          </cell>
          <cell r="M6988" t="str">
            <v>C7751</v>
          </cell>
          <cell r="AC6988">
            <v>36.426086429999998</v>
          </cell>
          <cell r="AD6988">
            <v>33.08111572</v>
          </cell>
        </row>
        <row r="6989">
          <cell r="L6989" t="str">
            <v>ام العوسج</v>
          </cell>
          <cell r="M6989" t="str">
            <v>C7752</v>
          </cell>
          <cell r="AC6989">
            <v>36.057922359999999</v>
          </cell>
          <cell r="AD6989">
            <v>33.086303710000003</v>
          </cell>
        </row>
        <row r="6990">
          <cell r="L6990" t="str">
            <v>رسم الحلبي</v>
          </cell>
          <cell r="M6990" t="str">
            <v>C7753</v>
          </cell>
          <cell r="AC6990">
            <v>35.891906740000003</v>
          </cell>
          <cell r="AD6990">
            <v>33.093078609999999</v>
          </cell>
        </row>
        <row r="6991">
          <cell r="L6991" t="str">
            <v>تل الاصفر</v>
          </cell>
          <cell r="M6991" t="str">
            <v>C7754</v>
          </cell>
          <cell r="AC6991">
            <v>36.735900880000003</v>
          </cell>
          <cell r="AD6991">
            <v>33.102294919999999</v>
          </cell>
        </row>
        <row r="6992">
          <cell r="L6992" t="str">
            <v>التبة</v>
          </cell>
          <cell r="M6992" t="str">
            <v>C7755</v>
          </cell>
          <cell r="AC6992">
            <v>36.399291990000002</v>
          </cell>
          <cell r="AD6992">
            <v>33.117126470000002</v>
          </cell>
        </row>
        <row r="6993">
          <cell r="L6993" t="str">
            <v>خربة غوث</v>
          </cell>
          <cell r="M6993" t="str">
            <v>C7756</v>
          </cell>
          <cell r="AC6993">
            <v>36.631103520000003</v>
          </cell>
          <cell r="AD6993">
            <v>33.118713380000003</v>
          </cell>
        </row>
        <row r="6994">
          <cell r="L6994" t="str">
            <v>العجرف</v>
          </cell>
          <cell r="M6994" t="str">
            <v>C7757</v>
          </cell>
          <cell r="AC6994">
            <v>35.882080080000001</v>
          </cell>
          <cell r="AD6994">
            <v>33.134521479999997</v>
          </cell>
        </row>
        <row r="6995">
          <cell r="L6995" t="str">
            <v>عين صفصافة</v>
          </cell>
          <cell r="M6995" t="str">
            <v>C7758</v>
          </cell>
          <cell r="AC6995">
            <v>35.994689940000001</v>
          </cell>
          <cell r="AD6995">
            <v>33.263488770000002</v>
          </cell>
        </row>
        <row r="6996">
          <cell r="L6996" t="str">
            <v>حوش الدوير</v>
          </cell>
          <cell r="M6996" t="str">
            <v>C7759</v>
          </cell>
          <cell r="AC6996">
            <v>36.42669678</v>
          </cell>
          <cell r="AD6996">
            <v>33.450073240000002</v>
          </cell>
        </row>
        <row r="6997">
          <cell r="L6997" t="str">
            <v>الركابية</v>
          </cell>
          <cell r="M6997" t="str">
            <v>C7760</v>
          </cell>
          <cell r="AC6997">
            <v>36.404724119999997</v>
          </cell>
          <cell r="AD6997">
            <v>33.458496089999997</v>
          </cell>
        </row>
        <row r="6998">
          <cell r="L6998" t="str">
            <v>عين الخضراء</v>
          </cell>
          <cell r="M6998" t="str">
            <v>C7761</v>
          </cell>
          <cell r="AC6998">
            <v>36.191528320000003</v>
          </cell>
          <cell r="AD6998">
            <v>33.610717770000001</v>
          </cell>
        </row>
        <row r="6999">
          <cell r="L6999" t="str">
            <v>صوانة</v>
          </cell>
          <cell r="M6999" t="str">
            <v>C7762</v>
          </cell>
          <cell r="AC6999">
            <v>38.022888180000002</v>
          </cell>
          <cell r="AD6999">
            <v>34.227294919999999</v>
          </cell>
        </row>
        <row r="7000">
          <cell r="L7000" t="str">
            <v>الباردة</v>
          </cell>
          <cell r="M7000" t="str">
            <v>C7763</v>
          </cell>
          <cell r="AC7000">
            <v>37.617919919999999</v>
          </cell>
          <cell r="AD7000">
            <v>34.22772217</v>
          </cell>
        </row>
        <row r="7001">
          <cell r="L7001" t="str">
            <v>البيضة</v>
          </cell>
          <cell r="M7001" t="str">
            <v>C7764</v>
          </cell>
          <cell r="AC7001">
            <v>37.019103999999999</v>
          </cell>
          <cell r="AD7001">
            <v>34.415710449999999</v>
          </cell>
        </row>
        <row r="7002">
          <cell r="L7002" t="str">
            <v>حميمة</v>
          </cell>
          <cell r="M7002" t="str">
            <v>C7765</v>
          </cell>
          <cell r="AC7002">
            <v>39.760498050000002</v>
          </cell>
          <cell r="AD7002">
            <v>34.429870610000002</v>
          </cell>
        </row>
        <row r="7003">
          <cell r="L7003" t="str">
            <v>البيضة الشرقية</v>
          </cell>
          <cell r="M7003" t="str">
            <v>C7766</v>
          </cell>
          <cell r="AC7003">
            <v>37.938110350000002</v>
          </cell>
          <cell r="AD7003">
            <v>34.505676270000002</v>
          </cell>
        </row>
        <row r="7004">
          <cell r="L7004" t="str">
            <v>شريفة</v>
          </cell>
          <cell r="M7004" t="str">
            <v>C7767</v>
          </cell>
          <cell r="AC7004">
            <v>37.506286619999997</v>
          </cell>
          <cell r="AD7004">
            <v>34.51928711</v>
          </cell>
        </row>
        <row r="7005">
          <cell r="L7005" t="str">
            <v>الطريفاوي</v>
          </cell>
          <cell r="M7005" t="str">
            <v>C7768</v>
          </cell>
          <cell r="AC7005">
            <v>38.09790039</v>
          </cell>
          <cell r="AD7005">
            <v>34.526916499999999</v>
          </cell>
        </row>
        <row r="7006">
          <cell r="L7006" t="str">
            <v>أبو الفوارس</v>
          </cell>
          <cell r="M7006" t="str">
            <v>C7769</v>
          </cell>
          <cell r="AC7006">
            <v>38.188110350000002</v>
          </cell>
          <cell r="AD7006">
            <v>34.557922359999999</v>
          </cell>
        </row>
        <row r="7007">
          <cell r="L7007" t="str">
            <v>الدوة</v>
          </cell>
          <cell r="M7007" t="str">
            <v>C7770</v>
          </cell>
          <cell r="AC7007">
            <v>38.214721679999997</v>
          </cell>
          <cell r="AD7007">
            <v>34.562072749999999</v>
          </cell>
        </row>
        <row r="7008">
          <cell r="L7008" t="str">
            <v>بغلية</v>
          </cell>
          <cell r="M7008" t="str">
            <v>C7771</v>
          </cell>
          <cell r="AC7008">
            <v>37.308105470000001</v>
          </cell>
          <cell r="AD7008">
            <v>34.680725099999997</v>
          </cell>
        </row>
        <row r="7009">
          <cell r="L7009" t="str">
            <v>بئر الجزل</v>
          </cell>
          <cell r="M7009" t="str">
            <v>C7772</v>
          </cell>
          <cell r="AC7009">
            <v>38.011901860000002</v>
          </cell>
          <cell r="AD7009">
            <v>34.691284179999997</v>
          </cell>
        </row>
        <row r="7010">
          <cell r="L7010" t="str">
            <v>أبو لية</v>
          </cell>
          <cell r="M7010" t="str">
            <v>C7773</v>
          </cell>
          <cell r="AC7010">
            <v>37.336730959999997</v>
          </cell>
          <cell r="AD7010">
            <v>34.704895020000002</v>
          </cell>
        </row>
        <row r="7011">
          <cell r="L7011" t="str">
            <v>رسم السبعة</v>
          </cell>
          <cell r="M7011" t="str">
            <v>C7774</v>
          </cell>
          <cell r="AC7011">
            <v>37.275878910000003</v>
          </cell>
          <cell r="AD7011">
            <v>34.723083500000001</v>
          </cell>
        </row>
        <row r="7012">
          <cell r="L7012" t="str">
            <v>جب حبل</v>
          </cell>
          <cell r="M7012" t="str">
            <v>C7775</v>
          </cell>
          <cell r="AC7012">
            <v>37.392272949999999</v>
          </cell>
          <cell r="AD7012">
            <v>34.731323240000002</v>
          </cell>
        </row>
        <row r="7013">
          <cell r="L7013" t="str">
            <v>ويبدة</v>
          </cell>
          <cell r="M7013" t="str">
            <v>C7776</v>
          </cell>
          <cell r="AC7013">
            <v>37.33752441</v>
          </cell>
          <cell r="AD7013">
            <v>34.746521000000001</v>
          </cell>
        </row>
        <row r="7014">
          <cell r="L7014" t="str">
            <v>الخان</v>
          </cell>
          <cell r="M7014" t="str">
            <v>C7777</v>
          </cell>
          <cell r="AC7014">
            <v>37.350280759999997</v>
          </cell>
          <cell r="AD7014">
            <v>34.767883300000001</v>
          </cell>
        </row>
        <row r="7015">
          <cell r="L7015" t="str">
            <v>الصوانة</v>
          </cell>
          <cell r="M7015" t="str">
            <v>C7778</v>
          </cell>
          <cell r="AC7015">
            <v>37.556701660000002</v>
          </cell>
          <cell r="AD7015">
            <v>34.768676759999998</v>
          </cell>
        </row>
        <row r="7016">
          <cell r="L7016" t="str">
            <v>درويشية</v>
          </cell>
          <cell r="M7016" t="str">
            <v>C7779</v>
          </cell>
          <cell r="AC7016">
            <v>37.46990967</v>
          </cell>
          <cell r="AD7016">
            <v>34.771301270000002</v>
          </cell>
        </row>
        <row r="7017">
          <cell r="L7017" t="str">
            <v>ام صهريج</v>
          </cell>
          <cell r="M7017" t="str">
            <v>C7780</v>
          </cell>
          <cell r="AC7017">
            <v>37.279113770000002</v>
          </cell>
          <cell r="AD7017">
            <v>34.77227783</v>
          </cell>
        </row>
        <row r="7018">
          <cell r="L7018" t="str">
            <v>ضهور الخنازير</v>
          </cell>
          <cell r="M7018" t="str">
            <v>C7781</v>
          </cell>
          <cell r="AC7018">
            <v>37.3848877</v>
          </cell>
          <cell r="AD7018">
            <v>34.777282720000002</v>
          </cell>
        </row>
        <row r="7019">
          <cell r="L7019" t="str">
            <v>العامودة</v>
          </cell>
          <cell r="M7019" t="str">
            <v>C7782</v>
          </cell>
          <cell r="AC7019">
            <v>37.531127929999997</v>
          </cell>
          <cell r="AD7019">
            <v>34.77893066</v>
          </cell>
        </row>
        <row r="7020">
          <cell r="L7020" t="str">
            <v>شنداخبات</v>
          </cell>
          <cell r="M7020" t="str">
            <v>C7783</v>
          </cell>
          <cell r="AC7020">
            <v>37.409484859999999</v>
          </cell>
          <cell r="AD7020">
            <v>34.782287599999997</v>
          </cell>
        </row>
        <row r="7021">
          <cell r="L7021" t="str">
            <v>أبو طراحة</v>
          </cell>
          <cell r="M7021" t="str">
            <v>C7784</v>
          </cell>
          <cell r="AC7021">
            <v>37.380310059999999</v>
          </cell>
          <cell r="AD7021">
            <v>34.785278320000003</v>
          </cell>
        </row>
        <row r="7022">
          <cell r="L7022" t="str">
            <v>الخاوية</v>
          </cell>
          <cell r="M7022" t="str">
            <v>C7785</v>
          </cell>
          <cell r="AC7022">
            <v>37.516479490000002</v>
          </cell>
          <cell r="AD7022">
            <v>34.790283199999998</v>
          </cell>
        </row>
        <row r="7023">
          <cell r="L7023" t="str">
            <v>الشليشات</v>
          </cell>
          <cell r="M7023" t="str">
            <v>C7786</v>
          </cell>
          <cell r="AC7023">
            <v>37.447082520000002</v>
          </cell>
          <cell r="AD7023">
            <v>34.798706060000001</v>
          </cell>
        </row>
        <row r="7024">
          <cell r="L7024" t="str">
            <v>صفواني</v>
          </cell>
          <cell r="M7024" t="str">
            <v>C7787</v>
          </cell>
          <cell r="AC7024">
            <v>37.46508789</v>
          </cell>
          <cell r="AD7024">
            <v>34.799072270000003</v>
          </cell>
        </row>
        <row r="7025">
          <cell r="L7025" t="str">
            <v>أبو جريس</v>
          </cell>
          <cell r="M7025" t="str">
            <v>C7788</v>
          </cell>
          <cell r="AC7025">
            <v>37.39752197</v>
          </cell>
          <cell r="AD7025">
            <v>34.809692380000001</v>
          </cell>
        </row>
        <row r="7026">
          <cell r="L7026" t="str">
            <v>الكم</v>
          </cell>
          <cell r="M7026" t="str">
            <v>C7789</v>
          </cell>
          <cell r="AC7026">
            <v>36.717712400000003</v>
          </cell>
          <cell r="AD7026">
            <v>34.809692380000001</v>
          </cell>
        </row>
        <row r="7027">
          <cell r="L7027" t="str">
            <v>المكرم</v>
          </cell>
          <cell r="M7027" t="str">
            <v>C7790</v>
          </cell>
          <cell r="AC7027">
            <v>37.476928710000003</v>
          </cell>
          <cell r="AD7027">
            <v>34.812316899999999</v>
          </cell>
        </row>
        <row r="7028">
          <cell r="L7028" t="str">
            <v>ام الجم</v>
          </cell>
          <cell r="M7028" t="str">
            <v>C7791</v>
          </cell>
          <cell r="AC7028">
            <v>36.658874509999997</v>
          </cell>
          <cell r="AD7028">
            <v>34.812927250000001</v>
          </cell>
        </row>
        <row r="7029">
          <cell r="L7029" t="str">
            <v>جوزة نزال</v>
          </cell>
          <cell r="M7029" t="str">
            <v>C7792</v>
          </cell>
          <cell r="AC7029">
            <v>37.44830322</v>
          </cell>
          <cell r="AD7029">
            <v>34.813293459999997</v>
          </cell>
        </row>
        <row r="7030">
          <cell r="L7030" t="str">
            <v>النبطية</v>
          </cell>
          <cell r="M7030" t="str">
            <v>C7793</v>
          </cell>
          <cell r="AC7030">
            <v>37.52252197</v>
          </cell>
          <cell r="AD7030">
            <v>34.817687990000003</v>
          </cell>
        </row>
        <row r="7031">
          <cell r="L7031" t="str">
            <v>الهباة</v>
          </cell>
          <cell r="M7031" t="str">
            <v>C7794</v>
          </cell>
          <cell r="AC7031">
            <v>37.451721190000001</v>
          </cell>
          <cell r="AD7031">
            <v>34.823730470000001</v>
          </cell>
        </row>
        <row r="7032">
          <cell r="L7032" t="str">
            <v>ام حويش</v>
          </cell>
          <cell r="M7032" t="str">
            <v>C7795</v>
          </cell>
          <cell r="AC7032">
            <v>37.481689449999998</v>
          </cell>
          <cell r="AD7032">
            <v>34.824707029999999</v>
          </cell>
        </row>
        <row r="7033">
          <cell r="L7033" t="str">
            <v>حوش خجو</v>
          </cell>
          <cell r="M7033" t="str">
            <v>C7796</v>
          </cell>
          <cell r="AC7033">
            <v>36.790893560000001</v>
          </cell>
          <cell r="AD7033">
            <v>34.825500490000003</v>
          </cell>
        </row>
        <row r="7034">
          <cell r="L7034" t="str">
            <v>ام فسوس</v>
          </cell>
          <cell r="M7034" t="str">
            <v>C7797</v>
          </cell>
          <cell r="AC7034">
            <v>37.48712158</v>
          </cell>
          <cell r="AD7034">
            <v>34.831909179999997</v>
          </cell>
        </row>
        <row r="7035">
          <cell r="L7035" t="str">
            <v>المهينية</v>
          </cell>
          <cell r="M7035" t="str">
            <v>C7798</v>
          </cell>
          <cell r="AC7035">
            <v>37.551086429999998</v>
          </cell>
          <cell r="AD7035">
            <v>34.833129880000001</v>
          </cell>
        </row>
        <row r="7036">
          <cell r="L7036" t="str">
            <v>فلاح</v>
          </cell>
          <cell r="M7036" t="str">
            <v>C7799</v>
          </cell>
          <cell r="AC7036">
            <v>36.506713869999999</v>
          </cell>
          <cell r="AD7036">
            <v>34.853271479999997</v>
          </cell>
        </row>
        <row r="7037">
          <cell r="L7037" t="str">
            <v>الهيللية</v>
          </cell>
          <cell r="M7037" t="str">
            <v>C7800</v>
          </cell>
          <cell r="AC7037">
            <v>36.68908691</v>
          </cell>
          <cell r="AD7037">
            <v>34.856323240000002</v>
          </cell>
        </row>
        <row r="7038">
          <cell r="L7038" t="str">
            <v>رسم الارنب</v>
          </cell>
          <cell r="M7038" t="str">
            <v>C7801</v>
          </cell>
          <cell r="AC7038">
            <v>37.405700680000002</v>
          </cell>
          <cell r="AD7038">
            <v>34.861328129999997</v>
          </cell>
        </row>
        <row r="7039">
          <cell r="L7039" t="str">
            <v>الحمرات</v>
          </cell>
          <cell r="M7039" t="str">
            <v>C7802</v>
          </cell>
          <cell r="AC7039">
            <v>36.91772461</v>
          </cell>
          <cell r="AD7039">
            <v>34.891723630000001</v>
          </cell>
        </row>
        <row r="7040">
          <cell r="L7040" t="str">
            <v>مشيرفة الشمالية</v>
          </cell>
          <cell r="M7040" t="str">
            <v>C7803</v>
          </cell>
          <cell r="AC7040">
            <v>37.33410645</v>
          </cell>
          <cell r="AD7040">
            <v>34.897094729999999</v>
          </cell>
        </row>
        <row r="7041">
          <cell r="L7041" t="str">
            <v>الجرف الجنوبي</v>
          </cell>
          <cell r="M7041" t="str">
            <v>C7804</v>
          </cell>
          <cell r="AC7041">
            <v>37.496887209999997</v>
          </cell>
          <cell r="AD7041">
            <v>34.897705080000001</v>
          </cell>
        </row>
        <row r="7042">
          <cell r="L7042" t="str">
            <v>الدويبة</v>
          </cell>
          <cell r="M7042" t="str">
            <v>C7805</v>
          </cell>
          <cell r="AC7042">
            <v>37.358886720000001</v>
          </cell>
          <cell r="AD7042">
            <v>34.901916499999999</v>
          </cell>
        </row>
        <row r="7043">
          <cell r="L7043" t="str">
            <v>الجرف الشمالي</v>
          </cell>
          <cell r="M7043" t="str">
            <v>C7806</v>
          </cell>
          <cell r="AC7043">
            <v>37.501281740000003</v>
          </cell>
          <cell r="AD7043">
            <v>34.907287599999997</v>
          </cell>
        </row>
        <row r="7044">
          <cell r="L7044" t="str">
            <v>تل شهاب</v>
          </cell>
          <cell r="M7044" t="str">
            <v>C7807</v>
          </cell>
          <cell r="AC7044">
            <v>37.50231934</v>
          </cell>
          <cell r="AD7044">
            <v>34.916503910000003</v>
          </cell>
        </row>
        <row r="7045">
          <cell r="L7045" t="str">
            <v>أبو البلايا</v>
          </cell>
          <cell r="M7045" t="str">
            <v>C7808</v>
          </cell>
          <cell r="AC7045">
            <v>37.252929690000002</v>
          </cell>
          <cell r="AD7045">
            <v>34.916503910000003</v>
          </cell>
        </row>
        <row r="7046">
          <cell r="L7046" t="str">
            <v>حصن سليمان</v>
          </cell>
          <cell r="M7046" t="str">
            <v>C7809</v>
          </cell>
          <cell r="AC7046">
            <v>36.242309570000003</v>
          </cell>
          <cell r="AD7046">
            <v>34.931091309999999</v>
          </cell>
        </row>
        <row r="7047">
          <cell r="L7047" t="str">
            <v>اللج</v>
          </cell>
          <cell r="M7047" t="str">
            <v>C7810</v>
          </cell>
          <cell r="AC7047">
            <v>37.513122559999999</v>
          </cell>
          <cell r="AD7047">
            <v>34.93450928</v>
          </cell>
        </row>
        <row r="7048">
          <cell r="L7048" t="str">
            <v>جابرية</v>
          </cell>
          <cell r="M7048" t="str">
            <v>C7811</v>
          </cell>
          <cell r="AC7048">
            <v>37.428283690000001</v>
          </cell>
          <cell r="AD7048">
            <v>34.936096190000001</v>
          </cell>
        </row>
        <row r="7049">
          <cell r="L7049" t="str">
            <v>جب البشير</v>
          </cell>
          <cell r="M7049" t="str">
            <v>C7812</v>
          </cell>
          <cell r="AC7049">
            <v>37.466125490000003</v>
          </cell>
          <cell r="AD7049">
            <v>34.939697270000003</v>
          </cell>
        </row>
        <row r="7050">
          <cell r="L7050" t="str">
            <v>الوضحي</v>
          </cell>
          <cell r="M7050" t="str">
            <v>C7813</v>
          </cell>
          <cell r="AC7050">
            <v>37.401489259999998</v>
          </cell>
          <cell r="AD7050">
            <v>34.946716309999999</v>
          </cell>
        </row>
        <row r="7051">
          <cell r="L7051" t="str">
            <v>برغوتية</v>
          </cell>
          <cell r="M7051" t="str">
            <v>C7814</v>
          </cell>
          <cell r="AC7051">
            <v>37.271484379999997</v>
          </cell>
          <cell r="AD7051">
            <v>34.956298830000001</v>
          </cell>
        </row>
        <row r="7052">
          <cell r="L7052" t="str">
            <v>عيدون</v>
          </cell>
          <cell r="M7052" t="str">
            <v>C7815</v>
          </cell>
          <cell r="AC7052">
            <v>36.976501470000002</v>
          </cell>
          <cell r="AD7052">
            <v>34.956726070000002</v>
          </cell>
        </row>
        <row r="7053">
          <cell r="L7053" t="str">
            <v>زور قبيبات</v>
          </cell>
          <cell r="M7053" t="str">
            <v>C7816</v>
          </cell>
          <cell r="AC7053">
            <v>36.798095699999998</v>
          </cell>
          <cell r="AD7053">
            <v>34.958923339999998</v>
          </cell>
        </row>
        <row r="7054">
          <cell r="L7054" t="str">
            <v>الحميضة</v>
          </cell>
          <cell r="M7054" t="str">
            <v>C7817</v>
          </cell>
          <cell r="AC7054">
            <v>36.843322749999999</v>
          </cell>
          <cell r="AD7054">
            <v>34.977111819999998</v>
          </cell>
        </row>
        <row r="7055">
          <cell r="L7055" t="str">
            <v>رسم الابيكة</v>
          </cell>
          <cell r="M7055" t="str">
            <v>C7818</v>
          </cell>
          <cell r="AC7055">
            <v>37.386108399999998</v>
          </cell>
          <cell r="AD7055">
            <v>34.97747803</v>
          </cell>
        </row>
        <row r="7056">
          <cell r="L7056" t="str">
            <v>خربة قاسم</v>
          </cell>
          <cell r="M7056" t="str">
            <v>C7819</v>
          </cell>
          <cell r="AC7056">
            <v>37.305480959999997</v>
          </cell>
          <cell r="AD7056">
            <v>34.979125979999999</v>
          </cell>
        </row>
        <row r="7057">
          <cell r="L7057" t="str">
            <v>بريغت</v>
          </cell>
          <cell r="M7057" t="str">
            <v>C7820</v>
          </cell>
          <cell r="AC7057">
            <v>36.913330080000001</v>
          </cell>
          <cell r="AD7057">
            <v>34.984680179999998</v>
          </cell>
        </row>
        <row r="7058">
          <cell r="L7058" t="str">
            <v>قبيحة</v>
          </cell>
          <cell r="M7058" t="str">
            <v>C7821</v>
          </cell>
          <cell r="AC7058">
            <v>36.868286130000001</v>
          </cell>
          <cell r="AD7058">
            <v>34.98669434</v>
          </cell>
        </row>
        <row r="7059">
          <cell r="L7059" t="str">
            <v>النزازة</v>
          </cell>
          <cell r="M7059" t="str">
            <v>C7822</v>
          </cell>
          <cell r="AC7059">
            <v>36.88647461</v>
          </cell>
          <cell r="AD7059">
            <v>34.99127197</v>
          </cell>
        </row>
        <row r="7060">
          <cell r="L7060" t="str">
            <v>الطيبة</v>
          </cell>
          <cell r="M7060" t="str">
            <v>C7823</v>
          </cell>
          <cell r="AC7060">
            <v>37.240295410000002</v>
          </cell>
          <cell r="AD7060">
            <v>34.993713380000003</v>
          </cell>
        </row>
        <row r="7061">
          <cell r="L7061" t="str">
            <v>معضمية</v>
          </cell>
          <cell r="M7061" t="str">
            <v>C7824</v>
          </cell>
          <cell r="AC7061">
            <v>37.515502929999997</v>
          </cell>
          <cell r="AD7061">
            <v>34.996887209999997</v>
          </cell>
        </row>
        <row r="7062">
          <cell r="L7062" t="str">
            <v>وادي العظام</v>
          </cell>
          <cell r="M7062" t="str">
            <v>C7825</v>
          </cell>
          <cell r="AC7062">
            <v>37.504272460000003</v>
          </cell>
          <cell r="AD7062">
            <v>35.015686039999999</v>
          </cell>
        </row>
        <row r="7063">
          <cell r="L7063" t="str">
            <v>قنطرة</v>
          </cell>
          <cell r="M7063" t="str">
            <v>C7826</v>
          </cell>
          <cell r="AC7063">
            <v>36.895507809999998</v>
          </cell>
          <cell r="AD7063">
            <v>35.018127440000001</v>
          </cell>
        </row>
        <row r="7064">
          <cell r="L7064" t="str">
            <v>حنيفة</v>
          </cell>
          <cell r="M7064" t="str">
            <v>C7827</v>
          </cell>
          <cell r="AC7064">
            <v>36.881286619999997</v>
          </cell>
          <cell r="AD7064">
            <v>35.02850342</v>
          </cell>
        </row>
        <row r="7065">
          <cell r="L7065" t="str">
            <v>رملية</v>
          </cell>
          <cell r="M7065" t="str">
            <v>C7828</v>
          </cell>
          <cell r="AC7065">
            <v>36.874877929999997</v>
          </cell>
          <cell r="AD7065">
            <v>35.041687009999997</v>
          </cell>
        </row>
        <row r="7066">
          <cell r="L7066" t="str">
            <v>أبو رمال</v>
          </cell>
          <cell r="M7066" t="str">
            <v>C7829</v>
          </cell>
          <cell r="AC7066">
            <v>37.399475099999997</v>
          </cell>
          <cell r="AD7066">
            <v>35.053894040000003</v>
          </cell>
        </row>
        <row r="7067">
          <cell r="L7067" t="str">
            <v>زور السوس</v>
          </cell>
          <cell r="M7067" t="str">
            <v>C7830</v>
          </cell>
          <cell r="AC7067">
            <v>36.861511229999998</v>
          </cell>
          <cell r="AD7067">
            <v>35.054504399999999</v>
          </cell>
        </row>
        <row r="7068">
          <cell r="L7068" t="str">
            <v>جب الأسود</v>
          </cell>
          <cell r="M7068" t="str">
            <v>C7831</v>
          </cell>
          <cell r="AC7068">
            <v>37.509521479999997</v>
          </cell>
          <cell r="AD7068">
            <v>35.058898929999998</v>
          </cell>
        </row>
        <row r="7069">
          <cell r="L7069" t="str">
            <v>قنبر</v>
          </cell>
          <cell r="M7069" t="str">
            <v>C7832</v>
          </cell>
          <cell r="AC7069">
            <v>37.452087400000003</v>
          </cell>
          <cell r="AD7069">
            <v>35.072875979999999</v>
          </cell>
        </row>
        <row r="7070">
          <cell r="L7070" t="str">
            <v>شنهص</v>
          </cell>
          <cell r="M7070" t="str">
            <v>C7833</v>
          </cell>
          <cell r="AC7070">
            <v>39.086730959999997</v>
          </cell>
          <cell r="AD7070">
            <v>35.082092289999999</v>
          </cell>
        </row>
        <row r="7071">
          <cell r="L7071" t="str">
            <v>رسم الضبيع</v>
          </cell>
          <cell r="M7071" t="str">
            <v>C7834</v>
          </cell>
          <cell r="AC7071">
            <v>37.41772461</v>
          </cell>
          <cell r="AD7071">
            <v>35.088500979999999</v>
          </cell>
        </row>
        <row r="7072">
          <cell r="L7072" t="str">
            <v>صماغ</v>
          </cell>
          <cell r="M7072" t="str">
            <v>C7835</v>
          </cell>
          <cell r="AC7072">
            <v>36.898315429999997</v>
          </cell>
          <cell r="AD7072">
            <v>35.093078609999999</v>
          </cell>
        </row>
        <row r="7073">
          <cell r="L7073" t="str">
            <v>الرقيطة</v>
          </cell>
          <cell r="M7073" t="str">
            <v>C7836</v>
          </cell>
          <cell r="AC7073">
            <v>36.72290039</v>
          </cell>
          <cell r="AD7073">
            <v>35.108886720000001</v>
          </cell>
        </row>
        <row r="7074">
          <cell r="L7074" t="str">
            <v>مسعدة</v>
          </cell>
          <cell r="M7074" t="str">
            <v>C7837</v>
          </cell>
          <cell r="AC7074">
            <v>37.380676270000002</v>
          </cell>
          <cell r="AD7074">
            <v>35.109497070000003</v>
          </cell>
        </row>
        <row r="7075">
          <cell r="L7075" t="str">
            <v>بير الفاسدة</v>
          </cell>
          <cell r="M7075" t="str">
            <v>C7838</v>
          </cell>
          <cell r="AC7075">
            <v>38.089477539999997</v>
          </cell>
          <cell r="AD7075">
            <v>35.120727539999997</v>
          </cell>
        </row>
        <row r="7076">
          <cell r="L7076" t="str">
            <v>أبو كهف</v>
          </cell>
          <cell r="M7076" t="str">
            <v>C7839</v>
          </cell>
          <cell r="AC7076">
            <v>37.596130369999997</v>
          </cell>
          <cell r="AD7076">
            <v>35.144897460000003</v>
          </cell>
        </row>
        <row r="7077">
          <cell r="L7077" t="str">
            <v>جب المزازيع</v>
          </cell>
          <cell r="M7077" t="str">
            <v>C7840</v>
          </cell>
          <cell r="AC7077">
            <v>37.336120610000002</v>
          </cell>
          <cell r="AD7077">
            <v>35.149475099999997</v>
          </cell>
        </row>
        <row r="7078">
          <cell r="L7078" t="str">
            <v>قطشية</v>
          </cell>
          <cell r="M7078" t="str">
            <v>C7841</v>
          </cell>
          <cell r="AC7078">
            <v>37.314514160000002</v>
          </cell>
          <cell r="AD7078">
            <v>35.1583252</v>
          </cell>
        </row>
        <row r="7079">
          <cell r="L7079" t="str">
            <v>شرعايا</v>
          </cell>
          <cell r="M7079" t="str">
            <v>C7842</v>
          </cell>
          <cell r="AC7079">
            <v>36.719299319999998</v>
          </cell>
          <cell r="AD7079">
            <v>35.16912842</v>
          </cell>
        </row>
        <row r="7080">
          <cell r="L7080" t="str">
            <v>راس النبع</v>
          </cell>
          <cell r="M7080" t="str">
            <v>C7843</v>
          </cell>
          <cell r="AC7080">
            <v>35.953918459999997</v>
          </cell>
          <cell r="AD7080">
            <v>35.173889160000002</v>
          </cell>
        </row>
        <row r="7081">
          <cell r="L7081" t="str">
            <v>ام حارتين</v>
          </cell>
          <cell r="M7081" t="str">
            <v>C7844</v>
          </cell>
          <cell r="AC7081">
            <v>37.419494630000003</v>
          </cell>
          <cell r="AD7081">
            <v>35.183471679999997</v>
          </cell>
        </row>
        <row r="7082">
          <cell r="L7082" t="str">
            <v>بلحسين</v>
          </cell>
          <cell r="M7082" t="str">
            <v>C7845</v>
          </cell>
          <cell r="AC7082">
            <v>36.695678710000003</v>
          </cell>
          <cell r="AD7082">
            <v>35.190124509999997</v>
          </cell>
        </row>
        <row r="7083">
          <cell r="L7083" t="str">
            <v>بطيش</v>
          </cell>
          <cell r="M7083" t="str">
            <v>C7846</v>
          </cell>
          <cell r="AC7083">
            <v>36.627502440000001</v>
          </cell>
          <cell r="AD7083">
            <v>35.230896000000001</v>
          </cell>
        </row>
        <row r="7084">
          <cell r="L7084" t="str">
            <v>الإسكندرية</v>
          </cell>
          <cell r="M7084" t="str">
            <v>C7847</v>
          </cell>
          <cell r="AC7084">
            <v>36.758300779999999</v>
          </cell>
          <cell r="AD7084">
            <v>35.244689940000001</v>
          </cell>
        </row>
        <row r="7085">
          <cell r="L7085" t="str">
            <v>حجيلة</v>
          </cell>
          <cell r="M7085" t="str">
            <v>C7848</v>
          </cell>
          <cell r="AC7085">
            <v>37.283874509999997</v>
          </cell>
          <cell r="AD7085">
            <v>35.263916020000003</v>
          </cell>
        </row>
        <row r="7086">
          <cell r="L7086" t="str">
            <v>بويض القبلي</v>
          </cell>
          <cell r="M7086" t="str">
            <v>C7849</v>
          </cell>
          <cell r="AC7086">
            <v>37.129516600000002</v>
          </cell>
          <cell r="AD7086">
            <v>35.282470699999998</v>
          </cell>
        </row>
        <row r="7087">
          <cell r="L7087" t="str">
            <v>رسم التينة</v>
          </cell>
          <cell r="M7087" t="str">
            <v>C7850</v>
          </cell>
          <cell r="AC7087">
            <v>37.42852783</v>
          </cell>
          <cell r="AD7087">
            <v>35.28790283</v>
          </cell>
        </row>
        <row r="7088">
          <cell r="L7088" t="str">
            <v>زور المحروقة</v>
          </cell>
          <cell r="M7088" t="str">
            <v>C7851</v>
          </cell>
          <cell r="AC7088">
            <v>36.635681150000003</v>
          </cell>
          <cell r="AD7088">
            <v>35.291076660000002</v>
          </cell>
        </row>
        <row r="7089">
          <cell r="L7089" t="str">
            <v>الروضة</v>
          </cell>
          <cell r="M7089" t="str">
            <v>C7852</v>
          </cell>
          <cell r="AC7089">
            <v>36.44647217</v>
          </cell>
          <cell r="AD7089">
            <v>35.299316410000003</v>
          </cell>
        </row>
        <row r="7090">
          <cell r="L7090" t="str">
            <v>راسم صوان</v>
          </cell>
          <cell r="M7090" t="str">
            <v>C7853</v>
          </cell>
          <cell r="AC7090">
            <v>37.518493650000003</v>
          </cell>
          <cell r="AD7090">
            <v>35.315124509999997</v>
          </cell>
        </row>
        <row r="7091">
          <cell r="L7091" t="str">
            <v>رسم الطوال</v>
          </cell>
          <cell r="M7091" t="str">
            <v>C7854</v>
          </cell>
          <cell r="AC7091">
            <v>37.12109375</v>
          </cell>
          <cell r="AD7091">
            <v>35.319274900000003</v>
          </cell>
        </row>
        <row r="7092">
          <cell r="L7092" t="str">
            <v>الحسناوي</v>
          </cell>
          <cell r="M7092" t="str">
            <v>C7855</v>
          </cell>
          <cell r="AC7092">
            <v>37.369323729999998</v>
          </cell>
          <cell r="AD7092">
            <v>35.324279789999999</v>
          </cell>
        </row>
        <row r="7093">
          <cell r="L7093" t="str">
            <v>الربيعة</v>
          </cell>
          <cell r="M7093" t="str">
            <v>C7856</v>
          </cell>
          <cell r="AC7093">
            <v>37.077514649999998</v>
          </cell>
          <cell r="AD7093">
            <v>35.335327149999998</v>
          </cell>
        </row>
        <row r="7094">
          <cell r="L7094" t="str">
            <v>جيباب مرينا</v>
          </cell>
          <cell r="M7094" t="str">
            <v>C7857</v>
          </cell>
          <cell r="AC7094">
            <v>37.983093259999997</v>
          </cell>
          <cell r="AD7094">
            <v>35.339477539999997</v>
          </cell>
        </row>
        <row r="7095">
          <cell r="L7095" t="str">
            <v>مويلح الشمالي</v>
          </cell>
          <cell r="M7095" t="str">
            <v>C7858</v>
          </cell>
          <cell r="AC7095">
            <v>37.087707520000002</v>
          </cell>
          <cell r="AD7095">
            <v>35.348083500000001</v>
          </cell>
        </row>
        <row r="7096">
          <cell r="L7096" t="str">
            <v>كيكية</v>
          </cell>
          <cell r="M7096" t="str">
            <v>C7859</v>
          </cell>
          <cell r="AC7096">
            <v>37.01470947</v>
          </cell>
          <cell r="AD7096">
            <v>35.351684570000003</v>
          </cell>
        </row>
        <row r="7097">
          <cell r="L7097" t="str">
            <v>أبو حباه</v>
          </cell>
          <cell r="M7097" t="str">
            <v>C7860</v>
          </cell>
          <cell r="AC7097">
            <v>37.109924319999998</v>
          </cell>
          <cell r="AD7097">
            <v>35.358520509999998</v>
          </cell>
        </row>
        <row r="7098">
          <cell r="L7098" t="str">
            <v>سرحا الشمالية</v>
          </cell>
          <cell r="M7098" t="str">
            <v>C7861</v>
          </cell>
          <cell r="AC7098">
            <v>37.435485839999998</v>
          </cell>
          <cell r="AD7098">
            <v>35.360900880000003</v>
          </cell>
        </row>
        <row r="7099">
          <cell r="L7099" t="str">
            <v>رسم الاحمر</v>
          </cell>
          <cell r="M7099" t="str">
            <v>C7862</v>
          </cell>
          <cell r="AC7099">
            <v>37.158874509999997</v>
          </cell>
          <cell r="AD7099">
            <v>35.371276860000002</v>
          </cell>
        </row>
        <row r="7100">
          <cell r="L7100" t="str">
            <v>راس الحصن</v>
          </cell>
          <cell r="M7100" t="str">
            <v>C7863</v>
          </cell>
          <cell r="AC7100">
            <v>36.894103999999999</v>
          </cell>
          <cell r="AD7100">
            <v>35.376892089999998</v>
          </cell>
        </row>
        <row r="7101">
          <cell r="L7101" t="str">
            <v>القاهرة</v>
          </cell>
          <cell r="M7101" t="str">
            <v>C7864</v>
          </cell>
          <cell r="AC7101">
            <v>36.907714839999997</v>
          </cell>
          <cell r="AD7101">
            <v>35.382324220000001</v>
          </cell>
        </row>
        <row r="7102">
          <cell r="L7102" t="str">
            <v>أبو لفة</v>
          </cell>
          <cell r="M7102" t="str">
            <v>C7865</v>
          </cell>
          <cell r="AC7102">
            <v>37.505676270000002</v>
          </cell>
          <cell r="AD7102">
            <v>35.399291990000002</v>
          </cell>
        </row>
        <row r="7103">
          <cell r="L7103" t="str">
            <v>ام تريكية</v>
          </cell>
          <cell r="M7103" t="str">
            <v>C7866</v>
          </cell>
          <cell r="AC7103">
            <v>36.939697270000003</v>
          </cell>
          <cell r="AD7103">
            <v>35.400085449999999</v>
          </cell>
        </row>
        <row r="7104">
          <cell r="L7104" t="str">
            <v>البليل</v>
          </cell>
          <cell r="M7104" t="str">
            <v>C7867</v>
          </cell>
          <cell r="AC7104">
            <v>36.982910160000003</v>
          </cell>
          <cell r="AD7104">
            <v>35.402893069999998</v>
          </cell>
        </row>
        <row r="7105">
          <cell r="L7105" t="str">
            <v>ابو خنادق</v>
          </cell>
          <cell r="M7105" t="str">
            <v>C7868</v>
          </cell>
          <cell r="AC7105">
            <v>37.205322270000003</v>
          </cell>
          <cell r="AD7105">
            <v>35.404479979999998</v>
          </cell>
        </row>
        <row r="7106">
          <cell r="L7106" t="str">
            <v>الباني</v>
          </cell>
          <cell r="M7106" t="str">
            <v>C7869</v>
          </cell>
          <cell r="AC7106">
            <v>36.457519529999999</v>
          </cell>
          <cell r="AD7106">
            <v>35.410888669999999</v>
          </cell>
        </row>
        <row r="7107">
          <cell r="L7107" t="str">
            <v>عب الخزنة</v>
          </cell>
          <cell r="M7107" t="str">
            <v>C7870</v>
          </cell>
          <cell r="AC7107">
            <v>37.104675290000003</v>
          </cell>
          <cell r="AD7107">
            <v>35.417480470000001</v>
          </cell>
        </row>
        <row r="7108">
          <cell r="L7108" t="str">
            <v>ظفرية</v>
          </cell>
          <cell r="M7108" t="str">
            <v>C7871</v>
          </cell>
          <cell r="AC7108">
            <v>36.998901369999999</v>
          </cell>
          <cell r="AD7108">
            <v>35.424682619999999</v>
          </cell>
        </row>
        <row r="7109">
          <cell r="L7109" t="str">
            <v>تل الترعل</v>
          </cell>
          <cell r="M7109" t="str">
            <v>C7872</v>
          </cell>
          <cell r="AC7109">
            <v>36.741088869999999</v>
          </cell>
          <cell r="AD7109">
            <v>35.43450928</v>
          </cell>
        </row>
        <row r="7110">
          <cell r="L7110" t="str">
            <v>جبرية</v>
          </cell>
          <cell r="M7110" t="str">
            <v>C7873</v>
          </cell>
          <cell r="AC7110">
            <v>36.449707029999999</v>
          </cell>
          <cell r="AD7110">
            <v>35.43450928</v>
          </cell>
        </row>
        <row r="7111">
          <cell r="L7111" t="str">
            <v>مشيرفة</v>
          </cell>
          <cell r="M7111" t="str">
            <v>C7874</v>
          </cell>
          <cell r="AC7111">
            <v>37.35430908</v>
          </cell>
          <cell r="AD7111">
            <v>35.446289059999998</v>
          </cell>
        </row>
        <row r="7112">
          <cell r="L7112" t="str">
            <v>جب الأبيض</v>
          </cell>
          <cell r="M7112" t="str">
            <v>C7875</v>
          </cell>
          <cell r="AC7112">
            <v>37.582885740000002</v>
          </cell>
          <cell r="AD7112">
            <v>35.453308110000002</v>
          </cell>
        </row>
        <row r="7113">
          <cell r="L7113" t="str">
            <v>عبلة</v>
          </cell>
          <cell r="M7113" t="str">
            <v>C7876</v>
          </cell>
          <cell r="AC7113">
            <v>37.188903809999999</v>
          </cell>
          <cell r="AD7113">
            <v>35.45587158</v>
          </cell>
        </row>
        <row r="7114">
          <cell r="L7114" t="str">
            <v>الجدوعية</v>
          </cell>
          <cell r="M7114" t="str">
            <v>C7877</v>
          </cell>
          <cell r="AC7114">
            <v>36.866882320000002</v>
          </cell>
          <cell r="AD7114">
            <v>35.457702640000001</v>
          </cell>
        </row>
        <row r="7115">
          <cell r="L7115" t="str">
            <v>اب القناة</v>
          </cell>
          <cell r="M7115" t="str">
            <v>C7878</v>
          </cell>
          <cell r="AC7115">
            <v>37.1270752</v>
          </cell>
          <cell r="AD7115">
            <v>35.459472660000003</v>
          </cell>
        </row>
        <row r="7116">
          <cell r="L7116" t="str">
            <v>ميدان غزال</v>
          </cell>
          <cell r="M7116" t="str">
            <v>C7879</v>
          </cell>
          <cell r="AC7116">
            <v>36.401916499999999</v>
          </cell>
          <cell r="AD7116">
            <v>35.469482419999999</v>
          </cell>
        </row>
        <row r="7117">
          <cell r="L7117" t="str">
            <v>كركت</v>
          </cell>
          <cell r="M7117" t="str">
            <v>C7880</v>
          </cell>
          <cell r="AC7117">
            <v>36.384094240000003</v>
          </cell>
          <cell r="AD7117">
            <v>35.476928710000003</v>
          </cell>
        </row>
        <row r="7118">
          <cell r="L7118" t="str">
            <v>السكيات</v>
          </cell>
          <cell r="M7118" t="str">
            <v>C7881</v>
          </cell>
          <cell r="AC7118">
            <v>36.776489259999998</v>
          </cell>
          <cell r="AD7118">
            <v>35.479675290000003</v>
          </cell>
        </row>
        <row r="7119">
          <cell r="L7119" t="str">
            <v>شم الهوى</v>
          </cell>
          <cell r="M7119" t="str">
            <v>C7882</v>
          </cell>
          <cell r="AC7119">
            <v>36.8770752</v>
          </cell>
          <cell r="AD7119">
            <v>35.48413086</v>
          </cell>
        </row>
        <row r="7120">
          <cell r="L7120" t="str">
            <v>خربة زيدان</v>
          </cell>
          <cell r="M7120" t="str">
            <v>C7883</v>
          </cell>
          <cell r="AC7120">
            <v>38.266296390000001</v>
          </cell>
          <cell r="AD7120">
            <v>35.489929199999999</v>
          </cell>
        </row>
        <row r="7121">
          <cell r="L7121" t="str">
            <v>طبيش</v>
          </cell>
          <cell r="M7121" t="str">
            <v>C7884</v>
          </cell>
          <cell r="AC7121">
            <v>36.65509033</v>
          </cell>
          <cell r="AD7121">
            <v>35.493530270000001</v>
          </cell>
        </row>
        <row r="7122">
          <cell r="L7122" t="str">
            <v>زرزور</v>
          </cell>
          <cell r="M7122" t="str">
            <v>C7885</v>
          </cell>
          <cell r="AC7122">
            <v>36.857727050000001</v>
          </cell>
          <cell r="AD7122">
            <v>35.494689940000001</v>
          </cell>
        </row>
        <row r="7123">
          <cell r="L7123" t="str">
            <v>لويبدة</v>
          </cell>
          <cell r="M7123" t="str">
            <v>C7886</v>
          </cell>
          <cell r="AC7123">
            <v>37.224914550000001</v>
          </cell>
          <cell r="AD7123">
            <v>35.495727539999997</v>
          </cell>
        </row>
        <row r="7124">
          <cell r="L7124" t="str">
            <v>العامرية</v>
          </cell>
          <cell r="M7124" t="str">
            <v>C7887</v>
          </cell>
          <cell r="AC7124">
            <v>36.627929690000002</v>
          </cell>
          <cell r="AD7124">
            <v>35.50091553</v>
          </cell>
        </row>
        <row r="7125">
          <cell r="L7125" t="str">
            <v>ريع الحويز</v>
          </cell>
          <cell r="M7125" t="str">
            <v>C7888</v>
          </cell>
          <cell r="AC7125">
            <v>36.674682619999999</v>
          </cell>
          <cell r="AD7125">
            <v>35.514282229999999</v>
          </cell>
        </row>
        <row r="7126">
          <cell r="L7126" t="str">
            <v>مزيونة</v>
          </cell>
          <cell r="M7126" t="str">
            <v>C7889</v>
          </cell>
          <cell r="AC7126">
            <v>36.912109379999997</v>
          </cell>
          <cell r="AD7126">
            <v>35.517272949999999</v>
          </cell>
        </row>
        <row r="7127">
          <cell r="L7127" t="str">
            <v>الخالدية</v>
          </cell>
          <cell r="M7127" t="str">
            <v>C7890</v>
          </cell>
          <cell r="AC7127">
            <v>37.123718259999997</v>
          </cell>
          <cell r="AD7127">
            <v>35.52227783</v>
          </cell>
        </row>
        <row r="7128">
          <cell r="L7128" t="str">
            <v>سماقية</v>
          </cell>
          <cell r="M7128" t="str">
            <v>C7891</v>
          </cell>
          <cell r="AC7128">
            <v>37.33709717</v>
          </cell>
          <cell r="AD7128">
            <v>35.524108890000001</v>
          </cell>
        </row>
        <row r="7129">
          <cell r="L7129" t="str">
            <v>الاندرين</v>
          </cell>
          <cell r="M7129" t="str">
            <v>C7892</v>
          </cell>
          <cell r="AC7129">
            <v>37.364074709999997</v>
          </cell>
          <cell r="AD7129">
            <v>35.531921390000001</v>
          </cell>
        </row>
        <row r="7130">
          <cell r="L7130" t="str">
            <v>ربيع الهوى</v>
          </cell>
          <cell r="M7130" t="str">
            <v>C7893</v>
          </cell>
          <cell r="AC7130">
            <v>37.106079100000002</v>
          </cell>
          <cell r="AD7130">
            <v>35.548095699999998</v>
          </cell>
        </row>
        <row r="7131">
          <cell r="L7131" t="str">
            <v>الصليحية</v>
          </cell>
          <cell r="M7131" t="str">
            <v>C7894</v>
          </cell>
          <cell r="AC7131">
            <v>37.285888669999999</v>
          </cell>
          <cell r="AD7131">
            <v>35.554870610000002</v>
          </cell>
        </row>
        <row r="7132">
          <cell r="L7132" t="str">
            <v>الرملة</v>
          </cell>
          <cell r="M7132" t="str">
            <v>C7895</v>
          </cell>
          <cell r="AC7132">
            <v>37.070678710000003</v>
          </cell>
          <cell r="AD7132">
            <v>35.558471679999997</v>
          </cell>
        </row>
        <row r="7133">
          <cell r="L7133" t="str">
            <v>جسر بيت الراس</v>
          </cell>
          <cell r="M7133" t="str">
            <v>C7896</v>
          </cell>
          <cell r="AC7133">
            <v>36.342529300000002</v>
          </cell>
          <cell r="AD7133">
            <v>35.577697749999999</v>
          </cell>
        </row>
        <row r="7134">
          <cell r="L7134" t="str">
            <v>عبيسان</v>
          </cell>
          <cell r="M7134" t="str">
            <v>C7897</v>
          </cell>
          <cell r="AC7134">
            <v>37.461486819999998</v>
          </cell>
          <cell r="AD7134">
            <v>35.59008789</v>
          </cell>
        </row>
        <row r="7135">
          <cell r="L7135" t="str">
            <v>عين سليمو</v>
          </cell>
          <cell r="M7135" t="str">
            <v>C7898</v>
          </cell>
          <cell r="AC7135">
            <v>36.2677002</v>
          </cell>
          <cell r="AD7135">
            <v>35.60131836</v>
          </cell>
        </row>
        <row r="7136">
          <cell r="L7136" t="str">
            <v>المقاطع</v>
          </cell>
          <cell r="M7136" t="str">
            <v>C7899</v>
          </cell>
          <cell r="AC7136">
            <v>35.791320800000001</v>
          </cell>
          <cell r="AD7136">
            <v>35.603698729999998</v>
          </cell>
        </row>
        <row r="7137">
          <cell r="L7137" t="str">
            <v>رسم البرج</v>
          </cell>
          <cell r="M7137" t="str">
            <v>C7900</v>
          </cell>
          <cell r="AC7137">
            <v>37.161682130000003</v>
          </cell>
          <cell r="AD7137">
            <v>35.609497070000003</v>
          </cell>
        </row>
        <row r="7138">
          <cell r="L7138" t="str">
            <v>هرجلة</v>
          </cell>
          <cell r="M7138" t="str">
            <v>C7901</v>
          </cell>
          <cell r="AC7138">
            <v>37.093688970000002</v>
          </cell>
          <cell r="AD7138">
            <v>35.61810303</v>
          </cell>
        </row>
        <row r="7139">
          <cell r="L7139" t="str">
            <v>العزيزية</v>
          </cell>
          <cell r="M7139" t="str">
            <v>C7902</v>
          </cell>
          <cell r="AC7139">
            <v>37.447082520000002</v>
          </cell>
          <cell r="AD7139">
            <v>35.625305179999998</v>
          </cell>
        </row>
        <row r="7140">
          <cell r="L7140" t="str">
            <v>الشيخ حمد</v>
          </cell>
          <cell r="M7140" t="str">
            <v>C7903</v>
          </cell>
          <cell r="AC7140">
            <v>40.747924810000001</v>
          </cell>
          <cell r="AD7140">
            <v>35.633911130000001</v>
          </cell>
        </row>
        <row r="7141">
          <cell r="L7141" t="str">
            <v>بسايسن</v>
          </cell>
          <cell r="M7141" t="str">
            <v>C7904</v>
          </cell>
          <cell r="AC7141">
            <v>36.53149414</v>
          </cell>
          <cell r="AD7141">
            <v>35.63647461</v>
          </cell>
        </row>
        <row r="7142">
          <cell r="L7142" t="str">
            <v>فعلول</v>
          </cell>
          <cell r="M7142" t="str">
            <v>C7905</v>
          </cell>
          <cell r="AC7142">
            <v>36.830078129999997</v>
          </cell>
          <cell r="AD7142">
            <v>35.63671875</v>
          </cell>
        </row>
        <row r="7143">
          <cell r="L7143" t="str">
            <v>رجم الصوان</v>
          </cell>
          <cell r="M7143" t="str">
            <v>C7906</v>
          </cell>
          <cell r="AC7143">
            <v>37.507324220000001</v>
          </cell>
          <cell r="AD7143">
            <v>35.639526369999999</v>
          </cell>
        </row>
        <row r="7144">
          <cell r="L7144" t="str">
            <v>خربة الباز</v>
          </cell>
          <cell r="M7144" t="str">
            <v>C7907</v>
          </cell>
          <cell r="AC7144">
            <v>36.160278320000003</v>
          </cell>
          <cell r="AD7144">
            <v>35.63970947</v>
          </cell>
        </row>
        <row r="7145">
          <cell r="L7145" t="str">
            <v>المشيرفة</v>
          </cell>
          <cell r="M7145" t="str">
            <v>C7908</v>
          </cell>
          <cell r="AC7145">
            <v>37.862915039999997</v>
          </cell>
          <cell r="AD7145">
            <v>35.640319820000002</v>
          </cell>
        </row>
        <row r="7146">
          <cell r="L7146" t="str">
            <v>حربشة</v>
          </cell>
          <cell r="M7146" t="str">
            <v>C7909</v>
          </cell>
          <cell r="AC7146">
            <v>36.165527339999997</v>
          </cell>
          <cell r="AD7146">
            <v>35.646728520000003</v>
          </cell>
        </row>
        <row r="7147">
          <cell r="L7147" t="str">
            <v>رسم حميدة</v>
          </cell>
          <cell r="M7147" t="str">
            <v>C7910</v>
          </cell>
          <cell r="AC7147">
            <v>37.097717289999999</v>
          </cell>
          <cell r="AD7147">
            <v>35.652526860000002</v>
          </cell>
        </row>
        <row r="7148">
          <cell r="L7148" t="str">
            <v>ستربة</v>
          </cell>
          <cell r="M7148" t="str">
            <v>C7911</v>
          </cell>
          <cell r="AC7148">
            <v>36.157470699999998</v>
          </cell>
          <cell r="AD7148">
            <v>35.652709960000003</v>
          </cell>
        </row>
        <row r="7149">
          <cell r="L7149" t="str">
            <v>ميراز</v>
          </cell>
          <cell r="M7149" t="str">
            <v>C7912</v>
          </cell>
          <cell r="AC7149">
            <v>36.267517089999998</v>
          </cell>
          <cell r="AD7149">
            <v>35.657104490000002</v>
          </cell>
        </row>
        <row r="7150">
          <cell r="L7150" t="str">
            <v>رسم الحمام</v>
          </cell>
          <cell r="M7150" t="str">
            <v>C7913</v>
          </cell>
          <cell r="AC7150">
            <v>37.607482910000002</v>
          </cell>
          <cell r="AD7150">
            <v>35.657714839999997</v>
          </cell>
        </row>
        <row r="7151">
          <cell r="L7151" t="str">
            <v>حمبوشية</v>
          </cell>
          <cell r="M7151" t="str">
            <v>C7914</v>
          </cell>
          <cell r="AC7151">
            <v>36.127502440000001</v>
          </cell>
          <cell r="AD7151">
            <v>35.658081060000001</v>
          </cell>
        </row>
        <row r="7152">
          <cell r="L7152" t="str">
            <v>سعدة</v>
          </cell>
          <cell r="M7152" t="str">
            <v>C7915</v>
          </cell>
          <cell r="AC7152">
            <v>40.718322749999999</v>
          </cell>
          <cell r="AD7152">
            <v>35.661499020000001</v>
          </cell>
        </row>
        <row r="7153">
          <cell r="L7153" t="str">
            <v>وريدة</v>
          </cell>
          <cell r="M7153" t="str">
            <v>C7916</v>
          </cell>
          <cell r="AC7153">
            <v>37.084472660000003</v>
          </cell>
          <cell r="AD7153">
            <v>35.661682130000003</v>
          </cell>
        </row>
        <row r="7154">
          <cell r="L7154" t="str">
            <v>كفر اجوز</v>
          </cell>
          <cell r="M7154" t="str">
            <v>C7917</v>
          </cell>
          <cell r="AC7154">
            <v>36.151123050000002</v>
          </cell>
          <cell r="AD7154">
            <v>35.668518069999998</v>
          </cell>
        </row>
        <row r="7155">
          <cell r="L7155" t="str">
            <v>سروج</v>
          </cell>
          <cell r="M7155" t="str">
            <v>C7918</v>
          </cell>
          <cell r="AC7155">
            <v>36.965881349999997</v>
          </cell>
          <cell r="AD7155">
            <v>35.671875</v>
          </cell>
        </row>
        <row r="7156">
          <cell r="L7156" t="str">
            <v>العظامي</v>
          </cell>
          <cell r="M7156" t="str">
            <v>C7919</v>
          </cell>
          <cell r="AC7156">
            <v>37.525878910000003</v>
          </cell>
          <cell r="AD7156">
            <v>35.67810059</v>
          </cell>
        </row>
        <row r="7157">
          <cell r="L7157" t="str">
            <v>الخريبة</v>
          </cell>
          <cell r="M7157" t="str">
            <v>C7920</v>
          </cell>
          <cell r="AC7157">
            <v>36.945678710000003</v>
          </cell>
          <cell r="AD7157">
            <v>35.681884770000003</v>
          </cell>
        </row>
        <row r="7158">
          <cell r="L7158" t="str">
            <v>استبلات</v>
          </cell>
          <cell r="M7158" t="str">
            <v>C7921</v>
          </cell>
          <cell r="AC7158">
            <v>36.967285160000003</v>
          </cell>
          <cell r="AD7158">
            <v>35.688476559999998</v>
          </cell>
        </row>
        <row r="7159">
          <cell r="L7159" t="str">
            <v>ام خان</v>
          </cell>
          <cell r="M7159" t="str">
            <v>C7922</v>
          </cell>
          <cell r="AC7159">
            <v>37.289916990000002</v>
          </cell>
          <cell r="AD7159">
            <v>35.694885249999999</v>
          </cell>
        </row>
        <row r="7160">
          <cell r="L7160" t="str">
            <v>الوادي الأزرق</v>
          </cell>
          <cell r="M7160" t="str">
            <v>C7923</v>
          </cell>
          <cell r="AC7160">
            <v>36.146911619999997</v>
          </cell>
          <cell r="AD7160">
            <v>35.701904300000002</v>
          </cell>
        </row>
        <row r="7161">
          <cell r="L7161" t="str">
            <v>تل سلمو القبلي</v>
          </cell>
          <cell r="M7161" t="str">
            <v>C7924</v>
          </cell>
          <cell r="AC7161">
            <v>37.070678710000003</v>
          </cell>
          <cell r="AD7161">
            <v>35.708312990000003</v>
          </cell>
        </row>
        <row r="7162">
          <cell r="L7162" t="str">
            <v>دريب الواوي</v>
          </cell>
          <cell r="M7162" t="str">
            <v>C7925</v>
          </cell>
          <cell r="AC7162">
            <v>37.620727539999997</v>
          </cell>
          <cell r="AD7162">
            <v>35.709716800000002</v>
          </cell>
        </row>
        <row r="7163">
          <cell r="L7163" t="str">
            <v>الجنا</v>
          </cell>
          <cell r="M7163" t="str">
            <v>C7926</v>
          </cell>
          <cell r="AC7163">
            <v>40.725891109999999</v>
          </cell>
          <cell r="AD7163">
            <v>35.710510249999999</v>
          </cell>
        </row>
        <row r="7164">
          <cell r="L7164" t="str">
            <v>زويقات</v>
          </cell>
          <cell r="M7164" t="str">
            <v>C7927</v>
          </cell>
          <cell r="AC7164">
            <v>36.230529789999999</v>
          </cell>
          <cell r="AD7164">
            <v>35.71368408</v>
          </cell>
        </row>
        <row r="7165">
          <cell r="L7165" t="str">
            <v>الكواشير</v>
          </cell>
          <cell r="M7165" t="str">
            <v>C7928</v>
          </cell>
          <cell r="AC7165">
            <v>40.768493650000003</v>
          </cell>
          <cell r="AD7165">
            <v>35.71368408</v>
          </cell>
        </row>
        <row r="7166">
          <cell r="L7166" t="str">
            <v>خان الجوز</v>
          </cell>
          <cell r="M7166" t="str">
            <v>C7929</v>
          </cell>
          <cell r="AC7166">
            <v>36.081909179999997</v>
          </cell>
          <cell r="AD7166">
            <v>35.723510740000002</v>
          </cell>
        </row>
        <row r="7167">
          <cell r="L7167" t="str">
            <v>زيادية</v>
          </cell>
          <cell r="M7167" t="str">
            <v>C7930</v>
          </cell>
          <cell r="AC7167">
            <v>36.357299810000001</v>
          </cell>
          <cell r="AD7167">
            <v>35.725524900000003</v>
          </cell>
        </row>
        <row r="7168">
          <cell r="L7168" t="str">
            <v>فازين</v>
          </cell>
          <cell r="M7168" t="str">
            <v>C7931</v>
          </cell>
          <cell r="AC7168">
            <v>36.118713380000003</v>
          </cell>
          <cell r="AD7168">
            <v>35.725708009999998</v>
          </cell>
        </row>
        <row r="7169">
          <cell r="L7169" t="str">
            <v>الرغاي</v>
          </cell>
          <cell r="M7169" t="str">
            <v>C7932</v>
          </cell>
          <cell r="AC7169">
            <v>40.777709960000003</v>
          </cell>
          <cell r="AD7169">
            <v>35.72631836</v>
          </cell>
        </row>
        <row r="7170">
          <cell r="L7170" t="str">
            <v>الرشادية</v>
          </cell>
          <cell r="M7170" t="str">
            <v>C7933</v>
          </cell>
          <cell r="AC7170">
            <v>37.470092770000001</v>
          </cell>
          <cell r="AD7170">
            <v>35.728088380000003</v>
          </cell>
        </row>
        <row r="7171">
          <cell r="L7171" t="str">
            <v>جعکیة</v>
          </cell>
          <cell r="M7171" t="str">
            <v>C7934</v>
          </cell>
          <cell r="AC7171">
            <v>37.133300779999999</v>
          </cell>
          <cell r="AD7171">
            <v>35.729675290000003</v>
          </cell>
        </row>
        <row r="7172">
          <cell r="L7172" t="str">
            <v>بالا</v>
          </cell>
          <cell r="M7172" t="str">
            <v>C7935</v>
          </cell>
          <cell r="AC7172">
            <v>36.145324709999997</v>
          </cell>
          <cell r="AD7172">
            <v>35.732727050000001</v>
          </cell>
        </row>
        <row r="7173">
          <cell r="L7173" t="str">
            <v>الخفية</v>
          </cell>
          <cell r="M7173" t="str">
            <v>C7936</v>
          </cell>
          <cell r="AC7173">
            <v>36.996276860000002</v>
          </cell>
          <cell r="AD7173">
            <v>35.733886720000001</v>
          </cell>
        </row>
        <row r="7174">
          <cell r="L7174" t="str">
            <v>رسم الكبارة</v>
          </cell>
          <cell r="M7174" t="str">
            <v>C7937</v>
          </cell>
          <cell r="AC7174">
            <v>37.44689941</v>
          </cell>
          <cell r="AD7174">
            <v>35.734924319999998</v>
          </cell>
        </row>
        <row r="7175">
          <cell r="L7175" t="str">
            <v>توبال</v>
          </cell>
          <cell r="M7175" t="str">
            <v>C7938</v>
          </cell>
          <cell r="AC7175">
            <v>36.161682130000003</v>
          </cell>
          <cell r="AD7175">
            <v>35.73828125</v>
          </cell>
        </row>
        <row r="7176">
          <cell r="L7176" t="str">
            <v>خربيل</v>
          </cell>
          <cell r="M7176" t="str">
            <v>C7939</v>
          </cell>
          <cell r="AC7176">
            <v>37.57330322</v>
          </cell>
          <cell r="AD7176">
            <v>35.73852539</v>
          </cell>
        </row>
        <row r="7177">
          <cell r="L7177" t="str">
            <v>رشا</v>
          </cell>
          <cell r="M7177" t="str">
            <v>C7940</v>
          </cell>
          <cell r="AC7177">
            <v>36.191711429999998</v>
          </cell>
          <cell r="AD7177">
            <v>35.740722660000003</v>
          </cell>
        </row>
        <row r="7178">
          <cell r="L7178" t="str">
            <v>برزة تحتاني</v>
          </cell>
          <cell r="M7178" t="str">
            <v>C7941</v>
          </cell>
          <cell r="AC7178">
            <v>36.217712400000003</v>
          </cell>
          <cell r="AD7178">
            <v>35.741882320000002</v>
          </cell>
        </row>
        <row r="7179">
          <cell r="L7179" t="str">
            <v>جب عواد</v>
          </cell>
          <cell r="M7179" t="str">
            <v>C7942</v>
          </cell>
          <cell r="AC7179">
            <v>37.490905759999997</v>
          </cell>
          <cell r="AD7179">
            <v>35.748107910000002</v>
          </cell>
        </row>
        <row r="7180">
          <cell r="L7180" t="str">
            <v>حمدانية</v>
          </cell>
          <cell r="M7180" t="str">
            <v>C7943</v>
          </cell>
          <cell r="AC7180">
            <v>37.67028809</v>
          </cell>
          <cell r="AD7180">
            <v>35.749694820000002</v>
          </cell>
        </row>
        <row r="7181">
          <cell r="L7181" t="str">
            <v>دوير الهوتة</v>
          </cell>
          <cell r="M7181" t="str">
            <v>C7944</v>
          </cell>
          <cell r="AC7181">
            <v>37.209472660000003</v>
          </cell>
          <cell r="AD7181">
            <v>35.750488279999999</v>
          </cell>
        </row>
        <row r="7182">
          <cell r="L7182" t="str">
            <v>رسم الحرمل</v>
          </cell>
          <cell r="M7182" t="str">
            <v>C7945</v>
          </cell>
          <cell r="AC7182">
            <v>37.229492190000002</v>
          </cell>
          <cell r="AD7182">
            <v>35.750488279999999</v>
          </cell>
        </row>
        <row r="7183">
          <cell r="L7183" t="str">
            <v>بيت حلبية</v>
          </cell>
          <cell r="M7183" t="str">
            <v>C7946</v>
          </cell>
          <cell r="AC7183">
            <v>35.982299810000001</v>
          </cell>
          <cell r="AD7183">
            <v>35.753295899999998</v>
          </cell>
        </row>
        <row r="7184">
          <cell r="L7184" t="str">
            <v>حجارة الصغيرة</v>
          </cell>
          <cell r="M7184" t="str">
            <v>C7947</v>
          </cell>
          <cell r="AC7184">
            <v>37.452087400000003</v>
          </cell>
          <cell r="AD7184">
            <v>35.754882809999998</v>
          </cell>
        </row>
        <row r="7185">
          <cell r="L7185" t="str">
            <v>ام ميال</v>
          </cell>
          <cell r="M7185" t="str">
            <v>C7948</v>
          </cell>
          <cell r="AC7185">
            <v>37.587890629999997</v>
          </cell>
          <cell r="AD7185">
            <v>35.755310059999999</v>
          </cell>
        </row>
        <row r="7186">
          <cell r="L7186" t="str">
            <v>بيت فارس</v>
          </cell>
          <cell r="M7186" t="str">
            <v>C7949</v>
          </cell>
          <cell r="AC7186">
            <v>35.938903809999999</v>
          </cell>
          <cell r="AD7186">
            <v>35.75689697</v>
          </cell>
        </row>
        <row r="7187">
          <cell r="L7187" t="str">
            <v>برج سبينة</v>
          </cell>
          <cell r="M7187" t="str">
            <v>C7950</v>
          </cell>
          <cell r="AC7187">
            <v>37.381103520000003</v>
          </cell>
          <cell r="AD7187">
            <v>35.76287842</v>
          </cell>
        </row>
        <row r="7188">
          <cell r="L7188" t="str">
            <v>مزغولة</v>
          </cell>
          <cell r="M7188" t="str">
            <v>C7951</v>
          </cell>
          <cell r="AC7188">
            <v>36.172912599999997</v>
          </cell>
          <cell r="AD7188">
            <v>35.764282229999999</v>
          </cell>
        </row>
        <row r="7189">
          <cell r="L7189" t="str">
            <v>حكورة الصغيرة</v>
          </cell>
          <cell r="M7189" t="str">
            <v>C7952</v>
          </cell>
          <cell r="AC7189">
            <v>36.159301759999998</v>
          </cell>
          <cell r="AD7189">
            <v>35.766296390000001</v>
          </cell>
        </row>
        <row r="7190">
          <cell r="L7190" t="str">
            <v>طويل الحليب</v>
          </cell>
          <cell r="M7190" t="str">
            <v>C7953</v>
          </cell>
          <cell r="AC7190">
            <v>36.975097660000003</v>
          </cell>
          <cell r="AD7190">
            <v>35.767272949999999</v>
          </cell>
        </row>
        <row r="7191">
          <cell r="L7191" t="str">
            <v>الميدان</v>
          </cell>
          <cell r="M7191" t="str">
            <v>C7954</v>
          </cell>
          <cell r="AC7191">
            <v>35.938476559999998</v>
          </cell>
          <cell r="AD7191">
            <v>35.768127440000001</v>
          </cell>
        </row>
        <row r="7192">
          <cell r="L7192" t="str">
            <v>كرميل</v>
          </cell>
          <cell r="M7192" t="str">
            <v>C7955</v>
          </cell>
          <cell r="AC7192">
            <v>36.146301270000002</v>
          </cell>
          <cell r="AD7192">
            <v>35.775695800000001</v>
          </cell>
        </row>
        <row r="7193">
          <cell r="L7193" t="str">
            <v>خربة الطوبا</v>
          </cell>
          <cell r="M7193" t="str">
            <v>C7956</v>
          </cell>
          <cell r="AC7193">
            <v>37.677673339999998</v>
          </cell>
          <cell r="AD7193">
            <v>35.777526860000002</v>
          </cell>
        </row>
        <row r="7194">
          <cell r="L7194" t="str">
            <v>تفاحية</v>
          </cell>
          <cell r="M7194" t="str">
            <v>C7957</v>
          </cell>
          <cell r="AC7194">
            <v>35.992126470000002</v>
          </cell>
          <cell r="AD7194">
            <v>35.779907229999999</v>
          </cell>
        </row>
        <row r="7195">
          <cell r="L7195" t="str">
            <v>القياسات</v>
          </cell>
          <cell r="M7195" t="str">
            <v>C7958</v>
          </cell>
          <cell r="AC7195">
            <v>36.538330080000001</v>
          </cell>
          <cell r="AD7195">
            <v>35.782470699999998</v>
          </cell>
        </row>
        <row r="7196">
          <cell r="L7196" t="str">
            <v>البرناص</v>
          </cell>
          <cell r="M7196" t="str">
            <v>C7959</v>
          </cell>
          <cell r="AC7196">
            <v>36.179321289999997</v>
          </cell>
          <cell r="AD7196">
            <v>35.790283199999998</v>
          </cell>
        </row>
        <row r="7197">
          <cell r="L7197" t="str">
            <v>معربة سلوم</v>
          </cell>
          <cell r="M7197" t="str">
            <v>C7960</v>
          </cell>
          <cell r="AC7197">
            <v>37.391479490000002</v>
          </cell>
          <cell r="AD7197">
            <v>35.793273929999998</v>
          </cell>
        </row>
        <row r="7198">
          <cell r="L7198" t="str">
            <v>الوادي / جقورجق</v>
          </cell>
          <cell r="M7198" t="str">
            <v>C7961</v>
          </cell>
          <cell r="AC7198">
            <v>36.052307130000003</v>
          </cell>
          <cell r="AD7198">
            <v>35.793701169999999</v>
          </cell>
        </row>
        <row r="7199">
          <cell r="L7199" t="str">
            <v>سارجين</v>
          </cell>
          <cell r="M7199" t="str">
            <v>C7962</v>
          </cell>
          <cell r="AC7199">
            <v>40.890930179999998</v>
          </cell>
          <cell r="AD7199">
            <v>35.795104979999998</v>
          </cell>
        </row>
        <row r="7200">
          <cell r="L7200" t="str">
            <v>كبارة / الروضة</v>
          </cell>
          <cell r="M7200" t="str">
            <v>C7963</v>
          </cell>
          <cell r="AC7200">
            <v>36.039916990000002</v>
          </cell>
          <cell r="AD7200">
            <v>35.79571533</v>
          </cell>
        </row>
        <row r="7201">
          <cell r="L7201" t="str">
            <v>درويشان</v>
          </cell>
          <cell r="M7201" t="str">
            <v>C7964</v>
          </cell>
          <cell r="AC7201">
            <v>36.032470699999998</v>
          </cell>
          <cell r="AD7201">
            <v>35.79571533</v>
          </cell>
        </row>
        <row r="7202">
          <cell r="L7202" t="str">
            <v>المغارة</v>
          </cell>
          <cell r="M7202" t="str">
            <v>C7965</v>
          </cell>
          <cell r="AC7202">
            <v>37.516479490000002</v>
          </cell>
          <cell r="AD7202">
            <v>35.795898440000002</v>
          </cell>
        </row>
        <row r="7203">
          <cell r="L7203" t="str">
            <v>سرداح</v>
          </cell>
          <cell r="M7203" t="str">
            <v>C7966</v>
          </cell>
          <cell r="AC7203">
            <v>37.595703129999997</v>
          </cell>
          <cell r="AD7203">
            <v>35.796875</v>
          </cell>
        </row>
        <row r="7204">
          <cell r="L7204" t="str">
            <v>قره بجق (السوداء)</v>
          </cell>
          <cell r="M7204" t="str">
            <v>C7967</v>
          </cell>
          <cell r="AC7204">
            <v>35.980285649999999</v>
          </cell>
          <cell r="AD7204">
            <v>35.801879880000001</v>
          </cell>
        </row>
        <row r="7205">
          <cell r="L7205" t="str">
            <v>صفيات</v>
          </cell>
          <cell r="M7205" t="str">
            <v>C7968</v>
          </cell>
          <cell r="AC7205">
            <v>36.179321289999997</v>
          </cell>
          <cell r="AD7205">
            <v>35.80627441</v>
          </cell>
        </row>
        <row r="7206">
          <cell r="L7206" t="str">
            <v>عقيل</v>
          </cell>
          <cell r="M7206" t="str">
            <v>C7969</v>
          </cell>
          <cell r="AC7206">
            <v>37.630676270000002</v>
          </cell>
          <cell r="AD7206">
            <v>35.810485839999998</v>
          </cell>
        </row>
        <row r="7207">
          <cell r="L7207" t="str">
            <v>زيتونة</v>
          </cell>
          <cell r="M7207" t="str">
            <v>C7970</v>
          </cell>
          <cell r="AC7207">
            <v>36.133117679999998</v>
          </cell>
          <cell r="AD7207">
            <v>35.81091309</v>
          </cell>
        </row>
        <row r="7208">
          <cell r="L7208" t="str">
            <v>حيات صغيرة</v>
          </cell>
          <cell r="M7208" t="str">
            <v>C7971</v>
          </cell>
          <cell r="AC7208">
            <v>37.673889160000002</v>
          </cell>
          <cell r="AD7208">
            <v>35.813110350000002</v>
          </cell>
        </row>
        <row r="7209">
          <cell r="L7209" t="str">
            <v>عفرة</v>
          </cell>
          <cell r="M7209" t="str">
            <v>C7972</v>
          </cell>
          <cell r="AC7209">
            <v>41.025695800000001</v>
          </cell>
          <cell r="AD7209">
            <v>35.817504880000001</v>
          </cell>
        </row>
        <row r="7210">
          <cell r="L7210" t="str">
            <v>بيت شروق</v>
          </cell>
          <cell r="M7210" t="str">
            <v>C7973</v>
          </cell>
          <cell r="AC7210">
            <v>35.993530270000001</v>
          </cell>
          <cell r="AD7210">
            <v>35.818908690000001</v>
          </cell>
        </row>
        <row r="7211">
          <cell r="L7211" t="str">
            <v>رسم عسكر</v>
          </cell>
          <cell r="M7211" t="str">
            <v>C7974</v>
          </cell>
          <cell r="AC7211">
            <v>37.579101559999998</v>
          </cell>
          <cell r="AD7211">
            <v>35.819274900000003</v>
          </cell>
        </row>
        <row r="7212">
          <cell r="L7212" t="str">
            <v>بيت ملق</v>
          </cell>
          <cell r="M7212" t="str">
            <v>C7975</v>
          </cell>
          <cell r="AC7212">
            <v>35.972473149999999</v>
          </cell>
          <cell r="AD7212">
            <v>35.82147217</v>
          </cell>
        </row>
        <row r="7213">
          <cell r="L7213" t="str">
            <v>صرف</v>
          </cell>
          <cell r="M7213" t="str">
            <v>C7976</v>
          </cell>
          <cell r="AC7213">
            <v>36.059692380000001</v>
          </cell>
          <cell r="AD7213">
            <v>35.823486330000001</v>
          </cell>
        </row>
        <row r="7214">
          <cell r="L7214" t="str">
            <v>دغدغان</v>
          </cell>
          <cell r="M7214" t="str">
            <v>C7977</v>
          </cell>
          <cell r="AC7214">
            <v>36.040283199999998</v>
          </cell>
          <cell r="AD7214">
            <v>35.829101559999998</v>
          </cell>
        </row>
        <row r="7215">
          <cell r="L7215" t="str">
            <v>وسيطة</v>
          </cell>
          <cell r="M7215" t="str">
            <v>C7978</v>
          </cell>
          <cell r="AC7215">
            <v>37.018127440000001</v>
          </cell>
          <cell r="AD7215">
            <v>35.829895020000002</v>
          </cell>
        </row>
        <row r="7216">
          <cell r="L7216" t="str">
            <v>شريمة</v>
          </cell>
          <cell r="M7216" t="str">
            <v>C7979</v>
          </cell>
          <cell r="AC7216">
            <v>37.589904789999999</v>
          </cell>
          <cell r="AD7216">
            <v>35.832519529999999</v>
          </cell>
        </row>
        <row r="7217">
          <cell r="L7217" t="str">
            <v>عطشانة</v>
          </cell>
          <cell r="M7217" t="str">
            <v>C7980</v>
          </cell>
          <cell r="AC7217">
            <v>37.608276369999999</v>
          </cell>
          <cell r="AD7217">
            <v>35.832885740000002</v>
          </cell>
        </row>
        <row r="7218">
          <cell r="L7218" t="str">
            <v>حيات</v>
          </cell>
          <cell r="M7218" t="str">
            <v>C7981</v>
          </cell>
          <cell r="AC7218">
            <v>37.668701169999999</v>
          </cell>
          <cell r="AD7218">
            <v>35.833312990000003</v>
          </cell>
        </row>
        <row r="7219">
          <cell r="L7219" t="str">
            <v>حياة</v>
          </cell>
          <cell r="M7219" t="str">
            <v>C7982</v>
          </cell>
          <cell r="AC7219">
            <v>36.08410645</v>
          </cell>
          <cell r="AD7219">
            <v>35.835876470000002</v>
          </cell>
        </row>
        <row r="7220">
          <cell r="L7220" t="str">
            <v>خربة خنيصر</v>
          </cell>
          <cell r="M7220" t="str">
            <v>C7983</v>
          </cell>
          <cell r="AC7220">
            <v>37.692504880000001</v>
          </cell>
          <cell r="AD7220">
            <v>35.836486819999998</v>
          </cell>
        </row>
        <row r="7221">
          <cell r="L7221" t="str">
            <v>حسو</v>
          </cell>
          <cell r="M7221" t="str">
            <v>C7984</v>
          </cell>
          <cell r="AC7221">
            <v>41.129516600000002</v>
          </cell>
          <cell r="AD7221">
            <v>35.837280270000001</v>
          </cell>
        </row>
        <row r="7222">
          <cell r="L7222" t="str">
            <v>ام اصطبل</v>
          </cell>
          <cell r="M7222" t="str">
            <v>C7985</v>
          </cell>
          <cell r="AC7222">
            <v>37.452697749999999</v>
          </cell>
          <cell r="AD7222">
            <v>35.841125490000003</v>
          </cell>
        </row>
        <row r="7223">
          <cell r="L7223" t="str">
            <v>رسم القرقور</v>
          </cell>
          <cell r="M7223" t="str">
            <v>C7986</v>
          </cell>
          <cell r="AC7223">
            <v>37.406677250000001</v>
          </cell>
          <cell r="AD7223">
            <v>35.842529300000002</v>
          </cell>
        </row>
        <row r="7224">
          <cell r="L7224" t="str">
            <v>الاسدية</v>
          </cell>
          <cell r="M7224" t="str">
            <v>C7987</v>
          </cell>
          <cell r="AC7224">
            <v>36.550476070000002</v>
          </cell>
          <cell r="AD7224">
            <v>35.853515629999997</v>
          </cell>
        </row>
        <row r="7225">
          <cell r="L7225" t="str">
            <v>رويهب</v>
          </cell>
          <cell r="M7225" t="str">
            <v>C7988</v>
          </cell>
          <cell r="AC7225">
            <v>37.539916990000002</v>
          </cell>
          <cell r="AD7225">
            <v>35.854675290000003</v>
          </cell>
        </row>
        <row r="7226">
          <cell r="L7226" t="str">
            <v>رسم فالح</v>
          </cell>
          <cell r="M7226" t="str">
            <v>C7989</v>
          </cell>
          <cell r="AC7226">
            <v>38.083312990000003</v>
          </cell>
          <cell r="AD7226">
            <v>35.866699220000001</v>
          </cell>
        </row>
        <row r="7227">
          <cell r="L7227" t="str">
            <v>بير رحال</v>
          </cell>
          <cell r="M7227" t="str">
            <v>C7990</v>
          </cell>
          <cell r="AC7227">
            <v>40.423278809999999</v>
          </cell>
          <cell r="AD7227">
            <v>35.871276860000002</v>
          </cell>
        </row>
        <row r="7228">
          <cell r="L7228" t="str">
            <v>الوردية</v>
          </cell>
          <cell r="M7228" t="str">
            <v>C7991</v>
          </cell>
          <cell r="AC7228">
            <v>40.880676270000002</v>
          </cell>
          <cell r="AD7228">
            <v>35.876525880000003</v>
          </cell>
        </row>
        <row r="7229">
          <cell r="L7229" t="str">
            <v>سنابل</v>
          </cell>
          <cell r="M7229" t="str">
            <v>C7992</v>
          </cell>
          <cell r="AC7229">
            <v>37.121704100000002</v>
          </cell>
          <cell r="AD7229">
            <v>35.877685550000002</v>
          </cell>
        </row>
        <row r="7230">
          <cell r="L7230" t="str">
            <v>باصلة</v>
          </cell>
          <cell r="M7230" t="str">
            <v>C7993</v>
          </cell>
          <cell r="AC7230">
            <v>37.391906740000003</v>
          </cell>
          <cell r="AD7230">
            <v>35.881103520000003</v>
          </cell>
        </row>
        <row r="7231">
          <cell r="L7231" t="str">
            <v>نبيه المر</v>
          </cell>
          <cell r="M7231" t="str">
            <v>C7994</v>
          </cell>
          <cell r="AC7231">
            <v>35.992675779999999</v>
          </cell>
          <cell r="AD7231">
            <v>35.890075680000002</v>
          </cell>
        </row>
        <row r="7232">
          <cell r="L7232" t="str">
            <v>سرجة</v>
          </cell>
          <cell r="M7232" t="str">
            <v>C7995</v>
          </cell>
          <cell r="AC7232">
            <v>37.256103520000003</v>
          </cell>
          <cell r="AD7232">
            <v>35.891479490000002</v>
          </cell>
        </row>
        <row r="7233">
          <cell r="L7233" t="str">
            <v>بير الاحمدي</v>
          </cell>
          <cell r="M7233" t="str">
            <v>C7996</v>
          </cell>
          <cell r="AC7233">
            <v>40.422912599999997</v>
          </cell>
          <cell r="AD7233">
            <v>35.901306150000003</v>
          </cell>
        </row>
        <row r="7234">
          <cell r="L7234" t="str">
            <v>جداع كبيرة / الكرمة</v>
          </cell>
          <cell r="M7234" t="str">
            <v>C7997</v>
          </cell>
          <cell r="AC7234">
            <v>38.05169678</v>
          </cell>
          <cell r="AD7234">
            <v>35.907470699999998</v>
          </cell>
        </row>
        <row r="7235">
          <cell r="L7235" t="str">
            <v>عناد - شدادة</v>
          </cell>
          <cell r="M7235" t="str">
            <v>C7998</v>
          </cell>
          <cell r="AC7235">
            <v>40.546508789999997</v>
          </cell>
          <cell r="AD7235">
            <v>35.911499020000001</v>
          </cell>
        </row>
        <row r="7236">
          <cell r="L7236" t="str">
            <v>بندوقة</v>
          </cell>
          <cell r="M7236" t="str">
            <v>C7999</v>
          </cell>
          <cell r="AC7236">
            <v>37.929077149999998</v>
          </cell>
          <cell r="AD7236">
            <v>35.913085940000002</v>
          </cell>
        </row>
        <row r="7237">
          <cell r="L7237" t="str">
            <v>حمادة</v>
          </cell>
          <cell r="M7237" t="str">
            <v>C8000</v>
          </cell>
          <cell r="AC7237">
            <v>40.781921390000001</v>
          </cell>
          <cell r="AD7237">
            <v>35.913330080000001</v>
          </cell>
        </row>
        <row r="7238">
          <cell r="L7238" t="str">
            <v>موالح كبيرة</v>
          </cell>
          <cell r="M7238" t="str">
            <v>C8001</v>
          </cell>
          <cell r="AC7238">
            <v>37.753112790000003</v>
          </cell>
          <cell r="AD7238">
            <v>35.917297359999999</v>
          </cell>
        </row>
        <row r="7239">
          <cell r="L7239" t="str">
            <v>تويمين</v>
          </cell>
          <cell r="M7239" t="str">
            <v>C8002</v>
          </cell>
          <cell r="AC7239">
            <v>41.283081060000001</v>
          </cell>
          <cell r="AD7239">
            <v>35.918701169999999</v>
          </cell>
        </row>
        <row r="7240">
          <cell r="L7240" t="str">
            <v>كفر حداد</v>
          </cell>
          <cell r="M7240" t="str">
            <v>C8003</v>
          </cell>
          <cell r="AC7240">
            <v>37.066284179999997</v>
          </cell>
          <cell r="AD7240">
            <v>35.91888428</v>
          </cell>
        </row>
        <row r="7241">
          <cell r="L7241" t="str">
            <v>الجديدة</v>
          </cell>
          <cell r="M7241" t="str">
            <v>C8004</v>
          </cell>
          <cell r="AC7241">
            <v>37.360473630000001</v>
          </cell>
          <cell r="AD7241">
            <v>35.926879880000001</v>
          </cell>
        </row>
        <row r="7242">
          <cell r="L7242" t="str">
            <v>خربة المعاجير</v>
          </cell>
          <cell r="M7242" t="str">
            <v>C8005</v>
          </cell>
          <cell r="AC7242">
            <v>37.326477050000001</v>
          </cell>
          <cell r="AD7242">
            <v>35.929077149999998</v>
          </cell>
        </row>
        <row r="7243">
          <cell r="L7243" t="str">
            <v>الحمرا</v>
          </cell>
          <cell r="M7243" t="str">
            <v>C8006</v>
          </cell>
          <cell r="AC7243">
            <v>40.75390625</v>
          </cell>
          <cell r="AD7243">
            <v>35.930725099999997</v>
          </cell>
        </row>
        <row r="7244">
          <cell r="L7244" t="str">
            <v>أبو حمدا</v>
          </cell>
          <cell r="M7244" t="str">
            <v>C8007</v>
          </cell>
          <cell r="AC7244">
            <v>40.88049316</v>
          </cell>
          <cell r="AD7244">
            <v>35.933898929999998</v>
          </cell>
        </row>
        <row r="7245">
          <cell r="L7245" t="str">
            <v>البطوشية</v>
          </cell>
          <cell r="M7245" t="str">
            <v>C8008</v>
          </cell>
          <cell r="AC7245">
            <v>37.841491699999999</v>
          </cell>
          <cell r="AD7245">
            <v>35.939270020000002</v>
          </cell>
        </row>
        <row r="7246">
          <cell r="L7246" t="str">
            <v>عزيزية</v>
          </cell>
          <cell r="M7246" t="str">
            <v>C8009</v>
          </cell>
          <cell r="AC7246">
            <v>37.033508300000001</v>
          </cell>
          <cell r="AD7246">
            <v>35.941284179999997</v>
          </cell>
        </row>
        <row r="7247">
          <cell r="L7247" t="str">
            <v>موالح الصغيرة</v>
          </cell>
          <cell r="M7247" t="str">
            <v>C8010</v>
          </cell>
          <cell r="AC7247">
            <v>37.754089360000002</v>
          </cell>
          <cell r="AD7247">
            <v>35.942077640000001</v>
          </cell>
        </row>
        <row r="7248">
          <cell r="L7248" t="str">
            <v>تل الاربعين</v>
          </cell>
          <cell r="M7248" t="str">
            <v>C8011</v>
          </cell>
          <cell r="AC7248">
            <v>37.15393066</v>
          </cell>
          <cell r="AD7248">
            <v>35.945495610000002</v>
          </cell>
        </row>
        <row r="7249">
          <cell r="L7249" t="str">
            <v>روية</v>
          </cell>
          <cell r="M7249" t="str">
            <v>C8012</v>
          </cell>
          <cell r="AC7249">
            <v>40.907714839999997</v>
          </cell>
          <cell r="AD7249">
            <v>35.949279789999999</v>
          </cell>
        </row>
        <row r="7250">
          <cell r="L7250" t="str">
            <v>المدورة</v>
          </cell>
          <cell r="M7250" t="str">
            <v>C8013</v>
          </cell>
          <cell r="AC7250">
            <v>37.216674810000001</v>
          </cell>
          <cell r="AD7250">
            <v>35.95611572</v>
          </cell>
        </row>
        <row r="7251">
          <cell r="L7251" t="str">
            <v>دير الزغب</v>
          </cell>
          <cell r="M7251" t="str">
            <v>C8014</v>
          </cell>
          <cell r="AC7251">
            <v>36.679321289999997</v>
          </cell>
          <cell r="AD7251">
            <v>35.959899900000003</v>
          </cell>
        </row>
        <row r="7252">
          <cell r="L7252" t="str">
            <v>فاس</v>
          </cell>
          <cell r="M7252" t="str">
            <v>C8015</v>
          </cell>
          <cell r="AC7252">
            <v>40.459289550000001</v>
          </cell>
          <cell r="AD7252">
            <v>35.964294430000002</v>
          </cell>
        </row>
        <row r="7253">
          <cell r="L7253" t="str">
            <v>رسم الحمام الغربي</v>
          </cell>
          <cell r="M7253" t="str">
            <v>C8016</v>
          </cell>
          <cell r="AC7253">
            <v>37.843078609999999</v>
          </cell>
          <cell r="AD7253">
            <v>35.964721679999997</v>
          </cell>
        </row>
        <row r="7254">
          <cell r="L7254" t="str">
            <v>الفرعية / تل الغراب</v>
          </cell>
          <cell r="M7254" t="str">
            <v>C8017</v>
          </cell>
          <cell r="AC7254">
            <v>37.952270509999998</v>
          </cell>
          <cell r="AD7254">
            <v>35.968872070000003</v>
          </cell>
        </row>
        <row r="7255">
          <cell r="L7255" t="str">
            <v>صفاوي</v>
          </cell>
          <cell r="M7255" t="str">
            <v>C8018</v>
          </cell>
          <cell r="AC7255">
            <v>41.067687990000003</v>
          </cell>
          <cell r="AD7255">
            <v>35.970520020000002</v>
          </cell>
        </row>
        <row r="7256">
          <cell r="L7256" t="str">
            <v>قناوي</v>
          </cell>
          <cell r="M7256" t="str">
            <v>C8019</v>
          </cell>
          <cell r="AC7256">
            <v>37.874877929999997</v>
          </cell>
          <cell r="AD7256">
            <v>35.975891109999999</v>
          </cell>
        </row>
        <row r="7257">
          <cell r="L7257" t="str">
            <v>الاجرش</v>
          </cell>
          <cell r="M7257" t="str">
            <v>C8020</v>
          </cell>
          <cell r="AC7257">
            <v>41.245727539999997</v>
          </cell>
          <cell r="AD7257">
            <v>35.976501470000002</v>
          </cell>
        </row>
        <row r="7258">
          <cell r="L7258" t="str">
            <v>بروما</v>
          </cell>
          <cell r="M7258" t="str">
            <v>C8021</v>
          </cell>
          <cell r="AC7258">
            <v>36.652282720000002</v>
          </cell>
          <cell r="AD7258">
            <v>35.978698729999998</v>
          </cell>
        </row>
        <row r="7259">
          <cell r="L7259" t="str">
            <v>خربة المزن</v>
          </cell>
          <cell r="M7259" t="str">
            <v>C8022</v>
          </cell>
          <cell r="AC7259">
            <v>37.89868164</v>
          </cell>
          <cell r="AD7259">
            <v>35.982727050000001</v>
          </cell>
        </row>
        <row r="7260">
          <cell r="L7260" t="str">
            <v>خربة الطيب</v>
          </cell>
          <cell r="M7260" t="str">
            <v>C8023</v>
          </cell>
          <cell r="AC7260">
            <v>37.733703609999999</v>
          </cell>
          <cell r="AD7260">
            <v>35.989318849999997</v>
          </cell>
        </row>
        <row r="7261">
          <cell r="L7261" t="str">
            <v>سكرية</v>
          </cell>
          <cell r="M7261" t="str">
            <v>C8024</v>
          </cell>
          <cell r="AC7261">
            <v>37.984497070000003</v>
          </cell>
          <cell r="AD7261">
            <v>35.990478520000003</v>
          </cell>
        </row>
        <row r="7262">
          <cell r="L7262" t="str">
            <v>الفارس</v>
          </cell>
          <cell r="M7262" t="str">
            <v>C8025</v>
          </cell>
          <cell r="AC7262">
            <v>37.27368164</v>
          </cell>
          <cell r="AD7262">
            <v>35.990478520000003</v>
          </cell>
        </row>
        <row r="7263">
          <cell r="L7263" t="str">
            <v>رسم الغزال</v>
          </cell>
          <cell r="M7263" t="str">
            <v>C8026</v>
          </cell>
          <cell r="AC7263">
            <v>38.052673339999998</v>
          </cell>
          <cell r="AD7263">
            <v>35.992126470000002</v>
          </cell>
        </row>
        <row r="7264">
          <cell r="L7264" t="str">
            <v>جواز الجحاش</v>
          </cell>
          <cell r="M7264" t="str">
            <v>C8027</v>
          </cell>
          <cell r="AC7264">
            <v>37.192077640000001</v>
          </cell>
          <cell r="AD7264">
            <v>35.997497559999999</v>
          </cell>
        </row>
        <row r="7265">
          <cell r="L7265" t="str">
            <v>خربة حسن</v>
          </cell>
          <cell r="M7265" t="str">
            <v>C8028</v>
          </cell>
          <cell r="AC7265">
            <v>37.77227783</v>
          </cell>
          <cell r="AD7265">
            <v>35.997924810000001</v>
          </cell>
        </row>
        <row r="7266">
          <cell r="L7266" t="str">
            <v>العبدان</v>
          </cell>
          <cell r="M7266" t="str">
            <v>C8029</v>
          </cell>
          <cell r="AC7266">
            <v>40.617309570000003</v>
          </cell>
          <cell r="AD7266">
            <v>35.999511720000001</v>
          </cell>
        </row>
        <row r="7267">
          <cell r="L7267" t="str">
            <v>خربة حج عبدن</v>
          </cell>
          <cell r="M7267" t="str">
            <v>C8030</v>
          </cell>
          <cell r="AC7267">
            <v>37.943298339999998</v>
          </cell>
          <cell r="AD7267">
            <v>36.005676270000002</v>
          </cell>
        </row>
        <row r="7268">
          <cell r="L7268" t="str">
            <v>تل الخربة</v>
          </cell>
          <cell r="M7268" t="str">
            <v>C8031</v>
          </cell>
          <cell r="AC7268">
            <v>36.739685059999999</v>
          </cell>
          <cell r="AD7268">
            <v>36.008483890000001</v>
          </cell>
        </row>
        <row r="7269">
          <cell r="L7269" t="str">
            <v>شغيدلة</v>
          </cell>
          <cell r="M7269" t="str">
            <v>C8032</v>
          </cell>
          <cell r="AC7269">
            <v>37.087707520000002</v>
          </cell>
          <cell r="AD7269">
            <v>36.017883300000001</v>
          </cell>
        </row>
        <row r="7270">
          <cell r="L7270" t="str">
            <v>رسم الشيخ</v>
          </cell>
          <cell r="M7270" t="str">
            <v>C8033</v>
          </cell>
          <cell r="AC7270">
            <v>37.245910649999999</v>
          </cell>
          <cell r="AD7270">
            <v>36.019470220000002</v>
          </cell>
        </row>
        <row r="7271">
          <cell r="L7271" t="str">
            <v>اندنانية</v>
          </cell>
          <cell r="M7271" t="str">
            <v>C8034</v>
          </cell>
          <cell r="AC7271">
            <v>37.331726070000002</v>
          </cell>
          <cell r="AD7271">
            <v>36.02069092</v>
          </cell>
        </row>
        <row r="7272">
          <cell r="L7272" t="str">
            <v>ابو روج</v>
          </cell>
          <cell r="M7272" t="str">
            <v>C8035</v>
          </cell>
          <cell r="AC7272">
            <v>40.594726559999998</v>
          </cell>
          <cell r="AD7272">
            <v>36.0255127</v>
          </cell>
        </row>
        <row r="7273">
          <cell r="L7273" t="str">
            <v>عبدان</v>
          </cell>
          <cell r="M7273" t="str">
            <v>C8036</v>
          </cell>
          <cell r="AC7273">
            <v>40.617919919999999</v>
          </cell>
          <cell r="AD7273">
            <v>36.028686520000001</v>
          </cell>
        </row>
        <row r="7274">
          <cell r="L7274" t="str">
            <v>الوديهة الجديدة</v>
          </cell>
          <cell r="M7274" t="str">
            <v>C8037</v>
          </cell>
          <cell r="AC7274">
            <v>38.02893066</v>
          </cell>
          <cell r="AD7274">
            <v>36.02893066</v>
          </cell>
        </row>
        <row r="7275">
          <cell r="L7275" t="str">
            <v>هدج</v>
          </cell>
          <cell r="M7275" t="str">
            <v>C8038</v>
          </cell>
          <cell r="AC7275">
            <v>41.061096190000001</v>
          </cell>
          <cell r="AD7275">
            <v>36.032714839999997</v>
          </cell>
        </row>
        <row r="7276">
          <cell r="L7276" t="str">
            <v>تل الجاير</v>
          </cell>
          <cell r="M7276" t="str">
            <v>C8039</v>
          </cell>
          <cell r="AC7276">
            <v>41.098510740000002</v>
          </cell>
          <cell r="AD7276">
            <v>36.033081060000001</v>
          </cell>
        </row>
        <row r="7277">
          <cell r="L7277" t="str">
            <v>الصمجلية</v>
          </cell>
          <cell r="M7277" t="str">
            <v>C8040</v>
          </cell>
          <cell r="AC7277">
            <v>37.953491210000003</v>
          </cell>
          <cell r="AD7277">
            <v>36.04272461</v>
          </cell>
        </row>
        <row r="7278">
          <cell r="L7278" t="str">
            <v>الدشيشة</v>
          </cell>
          <cell r="M7278" t="str">
            <v>C8041</v>
          </cell>
          <cell r="AC7278">
            <v>41.164916990000002</v>
          </cell>
          <cell r="AD7278">
            <v>36.043090820000003</v>
          </cell>
        </row>
        <row r="7279">
          <cell r="L7279" t="str">
            <v>الشيب</v>
          </cell>
          <cell r="M7279" t="str">
            <v>C8043</v>
          </cell>
          <cell r="AC7279">
            <v>41.188720699999998</v>
          </cell>
          <cell r="AD7279">
            <v>36.047485350000002</v>
          </cell>
        </row>
        <row r="7280">
          <cell r="L7280" t="str">
            <v>بجدالة</v>
          </cell>
          <cell r="M7280" t="str">
            <v>C8044</v>
          </cell>
          <cell r="AC7280">
            <v>40.757507320000002</v>
          </cell>
          <cell r="AD7280">
            <v>36.054504399999999</v>
          </cell>
        </row>
        <row r="7281">
          <cell r="L7281" t="str">
            <v>الحجلة</v>
          </cell>
          <cell r="M7281" t="str">
            <v>C8045</v>
          </cell>
          <cell r="AC7281">
            <v>40.945922850000002</v>
          </cell>
          <cell r="AD7281">
            <v>36.056091309999999</v>
          </cell>
        </row>
        <row r="7282">
          <cell r="L7282" t="str">
            <v>خلصة</v>
          </cell>
          <cell r="M7282" t="str">
            <v>C8046</v>
          </cell>
          <cell r="AC7282">
            <v>37.051086429999998</v>
          </cell>
          <cell r="AD7282">
            <v>36.059875490000003</v>
          </cell>
        </row>
        <row r="7283">
          <cell r="L7283" t="str">
            <v>السابقية</v>
          </cell>
          <cell r="M7283" t="str">
            <v>C8047</v>
          </cell>
          <cell r="AC7283">
            <v>37.102905270000001</v>
          </cell>
          <cell r="AD7283">
            <v>36.063720699999998</v>
          </cell>
        </row>
        <row r="7284">
          <cell r="L7284" t="str">
            <v>تل صندل</v>
          </cell>
          <cell r="M7284" t="str">
            <v>C8048</v>
          </cell>
          <cell r="AC7284">
            <v>36.748474119999997</v>
          </cell>
          <cell r="AD7284">
            <v>36.064880369999997</v>
          </cell>
        </row>
        <row r="7285">
          <cell r="L7285" t="str">
            <v>النافعية</v>
          </cell>
          <cell r="M7285" t="str">
            <v>C8049</v>
          </cell>
          <cell r="AC7285">
            <v>37.87731934</v>
          </cell>
          <cell r="AD7285">
            <v>36.06549072</v>
          </cell>
        </row>
        <row r="7286">
          <cell r="L7286" t="str">
            <v>ام عازر</v>
          </cell>
          <cell r="M7286" t="str">
            <v>C8050</v>
          </cell>
          <cell r="AC7286">
            <v>40.714477539999997</v>
          </cell>
          <cell r="AD7286">
            <v>36.065917970000001</v>
          </cell>
        </row>
        <row r="7287">
          <cell r="L7287" t="str">
            <v>صفيان</v>
          </cell>
          <cell r="M7287" t="str">
            <v>C8051</v>
          </cell>
          <cell r="AC7287">
            <v>41.118286130000001</v>
          </cell>
          <cell r="AD7287">
            <v>36.07928467</v>
          </cell>
        </row>
        <row r="7288">
          <cell r="L7288" t="str">
            <v>النوفلية</v>
          </cell>
          <cell r="M7288" t="str">
            <v>C8052</v>
          </cell>
          <cell r="AC7288">
            <v>40.543518069999998</v>
          </cell>
          <cell r="AD7288">
            <v>36.086486819999998</v>
          </cell>
        </row>
        <row r="7289">
          <cell r="L7289" t="str">
            <v>كراجا</v>
          </cell>
          <cell r="M7289" t="str">
            <v>C8053</v>
          </cell>
          <cell r="AC7289">
            <v>40.668518069999998</v>
          </cell>
          <cell r="AD7289">
            <v>36.093078609999999</v>
          </cell>
        </row>
        <row r="7290">
          <cell r="L7290" t="str">
            <v>الحويز</v>
          </cell>
          <cell r="M7290" t="str">
            <v>C8054</v>
          </cell>
          <cell r="AC7290">
            <v>37.098876949999998</v>
          </cell>
          <cell r="AD7290">
            <v>36.09350586</v>
          </cell>
        </row>
        <row r="7291">
          <cell r="L7291" t="str">
            <v>حميدة</v>
          </cell>
          <cell r="M7291" t="str">
            <v>C8055</v>
          </cell>
          <cell r="AC7291">
            <v>41.138488770000002</v>
          </cell>
          <cell r="AD7291">
            <v>36.094299319999998</v>
          </cell>
        </row>
        <row r="7292">
          <cell r="L7292" t="str">
            <v>جراح الصغير</v>
          </cell>
          <cell r="M7292" t="str">
            <v>C8056</v>
          </cell>
          <cell r="AC7292">
            <v>37.906677250000001</v>
          </cell>
          <cell r="AD7292">
            <v>36.094299319999998</v>
          </cell>
        </row>
        <row r="7293">
          <cell r="L7293" t="str">
            <v>ريف المهندسين</v>
          </cell>
          <cell r="M7293" t="str">
            <v>C8057</v>
          </cell>
          <cell r="AC7293">
            <v>36.967529300000002</v>
          </cell>
          <cell r="AD7293">
            <v>36.09649658</v>
          </cell>
        </row>
        <row r="7294">
          <cell r="L7294" t="str">
            <v>تل صفوك</v>
          </cell>
          <cell r="M7294" t="str">
            <v>C8058</v>
          </cell>
          <cell r="AC7294">
            <v>41.254882809999998</v>
          </cell>
          <cell r="AD7294">
            <v>36.098083500000001</v>
          </cell>
        </row>
        <row r="7295">
          <cell r="L7295" t="str">
            <v>قطبيه</v>
          </cell>
          <cell r="M7295" t="str">
            <v>C8059</v>
          </cell>
          <cell r="AC7295">
            <v>37.543701169999999</v>
          </cell>
          <cell r="AD7295">
            <v>36.10430908</v>
          </cell>
        </row>
        <row r="7296">
          <cell r="L7296" t="str">
            <v>ناصرية</v>
          </cell>
          <cell r="M7296" t="str">
            <v>C8060</v>
          </cell>
          <cell r="AC7296">
            <v>37.472473149999999</v>
          </cell>
          <cell r="AD7296">
            <v>36.107910160000003</v>
          </cell>
        </row>
        <row r="7297">
          <cell r="L7297" t="str">
            <v>بربجة</v>
          </cell>
          <cell r="M7297" t="str">
            <v>C8061</v>
          </cell>
          <cell r="AC7297">
            <v>37.481872559999999</v>
          </cell>
          <cell r="AD7297">
            <v>36.119873050000002</v>
          </cell>
        </row>
        <row r="7298">
          <cell r="L7298" t="str">
            <v>الخالدية</v>
          </cell>
          <cell r="M7298" t="str">
            <v>C8062</v>
          </cell>
          <cell r="AC7298">
            <v>37.041320800000001</v>
          </cell>
          <cell r="AD7298">
            <v>36.123474119999997</v>
          </cell>
        </row>
        <row r="7299">
          <cell r="L7299" t="str">
            <v>خربة معراتة</v>
          </cell>
          <cell r="M7299" t="str">
            <v>C8063</v>
          </cell>
          <cell r="AC7299">
            <v>37.081726070000002</v>
          </cell>
          <cell r="AD7299">
            <v>36.12408447</v>
          </cell>
        </row>
        <row r="7300">
          <cell r="L7300" t="str">
            <v>دباغهية</v>
          </cell>
          <cell r="M7300" t="str">
            <v>C8064</v>
          </cell>
          <cell r="AC7300">
            <v>41.216674810000001</v>
          </cell>
          <cell r="AD7300">
            <v>36.136901860000002</v>
          </cell>
        </row>
        <row r="7301">
          <cell r="L7301" t="str">
            <v>جمعية الأرمن</v>
          </cell>
          <cell r="M7301" t="str">
            <v>C8065</v>
          </cell>
          <cell r="AC7301">
            <v>36.996887209999997</v>
          </cell>
          <cell r="AD7301">
            <v>36.140502929999997</v>
          </cell>
        </row>
        <row r="7302">
          <cell r="L7302" t="str">
            <v>الشرفة</v>
          </cell>
          <cell r="M7302" t="str">
            <v>C8066</v>
          </cell>
          <cell r="AC7302">
            <v>37.108520509999998</v>
          </cell>
          <cell r="AD7302">
            <v>36.142883300000001</v>
          </cell>
        </row>
        <row r="7303">
          <cell r="L7303" t="str">
            <v>الكلارية</v>
          </cell>
          <cell r="M7303" t="str">
            <v>C8067</v>
          </cell>
          <cell r="AC7303">
            <v>37.046508789999997</v>
          </cell>
          <cell r="AD7303">
            <v>36.153076169999999</v>
          </cell>
        </row>
        <row r="7304">
          <cell r="L7304" t="str">
            <v>الحكمة</v>
          </cell>
          <cell r="M7304" t="str">
            <v>C8068</v>
          </cell>
          <cell r="AC7304">
            <v>37.093322749999999</v>
          </cell>
          <cell r="AD7304">
            <v>36.155700680000002</v>
          </cell>
        </row>
        <row r="7305">
          <cell r="L7305" t="str">
            <v>الرشادية الغربية</v>
          </cell>
          <cell r="M7305" t="str">
            <v>C8069</v>
          </cell>
          <cell r="AC7305">
            <v>40.666076660000002</v>
          </cell>
          <cell r="AD7305">
            <v>36.156921390000001</v>
          </cell>
        </row>
        <row r="7306">
          <cell r="L7306" t="str">
            <v>الجميلية</v>
          </cell>
          <cell r="M7306" t="str">
            <v>C8070</v>
          </cell>
          <cell r="AC7306">
            <v>37.575500490000003</v>
          </cell>
          <cell r="AD7306">
            <v>36.163085940000002</v>
          </cell>
        </row>
        <row r="7307">
          <cell r="L7307" t="str">
            <v>الحمرا</v>
          </cell>
          <cell r="M7307" t="str">
            <v>C8071</v>
          </cell>
          <cell r="AC7307">
            <v>40.549499509999997</v>
          </cell>
          <cell r="AD7307">
            <v>36.171875</v>
          </cell>
        </row>
        <row r="7308">
          <cell r="L7308" t="str">
            <v>الصالحية</v>
          </cell>
          <cell r="M7308" t="str">
            <v>C8072</v>
          </cell>
          <cell r="AC7308">
            <v>40.640319820000002</v>
          </cell>
          <cell r="AD7308">
            <v>36.180480959999997</v>
          </cell>
        </row>
        <row r="7309">
          <cell r="L7309" t="str">
            <v>تل احمر</v>
          </cell>
          <cell r="M7309" t="str">
            <v>C8073</v>
          </cell>
          <cell r="AC7309">
            <v>40.716308589999997</v>
          </cell>
          <cell r="AD7309">
            <v>36.181091309999999</v>
          </cell>
        </row>
        <row r="7310">
          <cell r="L7310" t="str">
            <v>بير شلال شرقي</v>
          </cell>
          <cell r="M7310" t="str">
            <v>C8074</v>
          </cell>
          <cell r="AC7310">
            <v>38.43127441</v>
          </cell>
          <cell r="AD7310">
            <v>36.183898929999998</v>
          </cell>
        </row>
        <row r="7311">
          <cell r="L7311" t="str">
            <v>شويليخ</v>
          </cell>
          <cell r="M7311" t="str">
            <v>C8075</v>
          </cell>
          <cell r="AC7311">
            <v>37.642089839999997</v>
          </cell>
          <cell r="AD7311">
            <v>36.20129395</v>
          </cell>
        </row>
        <row r="7312">
          <cell r="L7312" t="str">
            <v>جديدة عربين / عين الحنش</v>
          </cell>
          <cell r="M7312" t="str">
            <v>C8076</v>
          </cell>
          <cell r="AC7312">
            <v>37.5255127</v>
          </cell>
          <cell r="AD7312">
            <v>36.204101559999998</v>
          </cell>
        </row>
        <row r="7313">
          <cell r="L7313" t="str">
            <v>دعيبيلة</v>
          </cell>
          <cell r="M7313" t="str">
            <v>C8077</v>
          </cell>
          <cell r="AC7313">
            <v>40.76928711</v>
          </cell>
          <cell r="AD7313">
            <v>36.21209717</v>
          </cell>
        </row>
        <row r="7314">
          <cell r="L7314" t="str">
            <v>التريكمية</v>
          </cell>
          <cell r="M7314" t="str">
            <v>C8078</v>
          </cell>
          <cell r="AC7314">
            <v>41.017517089999998</v>
          </cell>
          <cell r="AD7314">
            <v>36.214111330000001</v>
          </cell>
        </row>
        <row r="7315">
          <cell r="L7315" t="str">
            <v>جب الكلب</v>
          </cell>
          <cell r="M7315" t="str">
            <v>C8079</v>
          </cell>
          <cell r="AC7315">
            <v>37.427307130000003</v>
          </cell>
          <cell r="AD7315">
            <v>36.218078609999999</v>
          </cell>
        </row>
        <row r="7316">
          <cell r="L7316" t="str">
            <v>مناجيد</v>
          </cell>
          <cell r="M7316" t="str">
            <v>C8080</v>
          </cell>
          <cell r="AC7316">
            <v>40.780517580000001</v>
          </cell>
          <cell r="AD7316">
            <v>36.218322749999999</v>
          </cell>
        </row>
        <row r="7317">
          <cell r="L7317" t="str">
            <v>شويحنة</v>
          </cell>
          <cell r="M7317" t="str">
            <v>C8081</v>
          </cell>
          <cell r="AC7317">
            <v>37.059082029999999</v>
          </cell>
          <cell r="AD7317">
            <v>36.222717289999999</v>
          </cell>
        </row>
        <row r="7318">
          <cell r="L7318" t="str">
            <v>تنوزة</v>
          </cell>
          <cell r="M7318" t="str">
            <v>C8082</v>
          </cell>
          <cell r="AC7318">
            <v>37.46392822</v>
          </cell>
          <cell r="AD7318">
            <v>36.224121089999997</v>
          </cell>
        </row>
        <row r="7319">
          <cell r="L7319" t="str">
            <v>جمعية الهادي</v>
          </cell>
          <cell r="M7319" t="str">
            <v>C8083</v>
          </cell>
          <cell r="AC7319">
            <v>37.010681150000003</v>
          </cell>
          <cell r="AD7319">
            <v>36.230529789999999</v>
          </cell>
        </row>
        <row r="7320">
          <cell r="L7320" t="str">
            <v>سريب</v>
          </cell>
          <cell r="M7320" t="str">
            <v>C8084</v>
          </cell>
          <cell r="AC7320">
            <v>37.598510740000002</v>
          </cell>
          <cell r="AD7320">
            <v>36.231872559999999</v>
          </cell>
        </row>
        <row r="7321">
          <cell r="L7321" t="str">
            <v>قاسمية</v>
          </cell>
          <cell r="M7321" t="str">
            <v>C8085</v>
          </cell>
          <cell r="AC7321">
            <v>36.960327149999998</v>
          </cell>
          <cell r="AD7321">
            <v>36.233093259999997</v>
          </cell>
        </row>
        <row r="7322">
          <cell r="L7322" t="str">
            <v>رسم الكما</v>
          </cell>
          <cell r="M7322" t="str">
            <v>C8086</v>
          </cell>
          <cell r="AC7322">
            <v>37.65649414</v>
          </cell>
          <cell r="AD7322">
            <v>36.236328129999997</v>
          </cell>
        </row>
        <row r="7323">
          <cell r="L7323" t="str">
            <v>السلوم</v>
          </cell>
          <cell r="M7323" t="str">
            <v>C8087</v>
          </cell>
          <cell r="AC7323">
            <v>36.94049072</v>
          </cell>
          <cell r="AD7323">
            <v>36.23669434</v>
          </cell>
        </row>
        <row r="7324">
          <cell r="L7324" t="str">
            <v>مكلبيس</v>
          </cell>
          <cell r="M7324" t="str">
            <v>C8088</v>
          </cell>
          <cell r="AC7324">
            <v>36.882507320000002</v>
          </cell>
          <cell r="AD7324">
            <v>36.245300290000003</v>
          </cell>
        </row>
        <row r="7325">
          <cell r="L7325" t="str">
            <v>تل طعانة</v>
          </cell>
          <cell r="M7325" t="str">
            <v>C8089</v>
          </cell>
          <cell r="AC7325">
            <v>37.303894040000003</v>
          </cell>
          <cell r="AD7325">
            <v>36.246887209999997</v>
          </cell>
        </row>
        <row r="7326">
          <cell r="L7326" t="str">
            <v>تل بيجان</v>
          </cell>
          <cell r="M7326" t="str">
            <v>C8090</v>
          </cell>
          <cell r="AC7326">
            <v>37.631103520000003</v>
          </cell>
          <cell r="AD7326">
            <v>36.249511720000001</v>
          </cell>
        </row>
        <row r="7327">
          <cell r="L7327" t="str">
            <v>رسم العالم</v>
          </cell>
          <cell r="M7327" t="str">
            <v>C8091</v>
          </cell>
          <cell r="AC7327">
            <v>37.438110350000002</v>
          </cell>
          <cell r="AD7327">
            <v>36.252685550000002</v>
          </cell>
        </row>
        <row r="7328">
          <cell r="L7328" t="str">
            <v>كفر كفلدين</v>
          </cell>
          <cell r="M7328" t="str">
            <v>C8092</v>
          </cell>
          <cell r="AC7328">
            <v>36.713500979999999</v>
          </cell>
          <cell r="AD7328">
            <v>36.255676270000002</v>
          </cell>
        </row>
        <row r="7329">
          <cell r="L7329" t="str">
            <v>العجوزية</v>
          </cell>
          <cell r="M7329" t="str">
            <v>C8093</v>
          </cell>
          <cell r="AC7329">
            <v>37.580078129999997</v>
          </cell>
          <cell r="AD7329">
            <v>36.256103520000003</v>
          </cell>
        </row>
        <row r="7330">
          <cell r="L7330" t="str">
            <v>العبودية</v>
          </cell>
          <cell r="M7330" t="str">
            <v>C8094</v>
          </cell>
          <cell r="AC7330">
            <v>37.590515140000001</v>
          </cell>
          <cell r="AD7330">
            <v>36.256103520000003</v>
          </cell>
        </row>
        <row r="7331">
          <cell r="L7331" t="str">
            <v>خربة الشاطر</v>
          </cell>
          <cell r="M7331" t="str">
            <v>C8095</v>
          </cell>
          <cell r="AC7331">
            <v>38.390686039999999</v>
          </cell>
          <cell r="AD7331">
            <v>36.256286619999997</v>
          </cell>
        </row>
        <row r="7332">
          <cell r="L7332" t="str">
            <v>مشرفة ابو جبر</v>
          </cell>
          <cell r="M7332" t="str">
            <v>C8096</v>
          </cell>
          <cell r="AC7332">
            <v>37.64752197</v>
          </cell>
          <cell r="AD7332">
            <v>36.257873539999999</v>
          </cell>
        </row>
        <row r="7333">
          <cell r="L7333" t="str">
            <v>قانا</v>
          </cell>
          <cell r="M7333" t="str">
            <v>C8097</v>
          </cell>
          <cell r="AC7333">
            <v>40.772094729999999</v>
          </cell>
          <cell r="AD7333">
            <v>36.265502929999997</v>
          </cell>
        </row>
        <row r="7334">
          <cell r="L7334" t="str">
            <v>البريج</v>
          </cell>
          <cell r="M7334" t="str">
            <v>C8098</v>
          </cell>
          <cell r="AC7334">
            <v>37.203918459999997</v>
          </cell>
          <cell r="AD7334">
            <v>36.266906740000003</v>
          </cell>
        </row>
        <row r="7335">
          <cell r="L7335" t="str">
            <v>الملتفتة</v>
          </cell>
          <cell r="M7335" t="str">
            <v>C8099</v>
          </cell>
          <cell r="AC7335">
            <v>37.574096679999997</v>
          </cell>
          <cell r="AD7335">
            <v>36.268920899999998</v>
          </cell>
        </row>
        <row r="7336">
          <cell r="L7336" t="str">
            <v>خربة الجحاش</v>
          </cell>
          <cell r="M7336" t="str">
            <v>C8100</v>
          </cell>
          <cell r="AC7336">
            <v>37.623718259999997</v>
          </cell>
          <cell r="AD7336">
            <v>36.271728520000003</v>
          </cell>
        </row>
        <row r="7337">
          <cell r="L7337" t="str">
            <v>طنبور</v>
          </cell>
          <cell r="M7337" t="str">
            <v>C8101</v>
          </cell>
          <cell r="AC7337">
            <v>37.380310059999999</v>
          </cell>
          <cell r="AD7337">
            <v>36.273498539999999</v>
          </cell>
        </row>
        <row r="7338">
          <cell r="L7338" t="str">
            <v>عين الجحاش</v>
          </cell>
          <cell r="M7338" t="str">
            <v>C8102</v>
          </cell>
          <cell r="AC7338">
            <v>37.53009033</v>
          </cell>
          <cell r="AD7338">
            <v>36.274475099999997</v>
          </cell>
        </row>
        <row r="7339">
          <cell r="L7339" t="str">
            <v>تل فوار</v>
          </cell>
          <cell r="M7339" t="str">
            <v>C8103</v>
          </cell>
          <cell r="AC7339">
            <v>40.418701169999999</v>
          </cell>
          <cell r="AD7339">
            <v>36.274719240000003</v>
          </cell>
        </row>
        <row r="7340">
          <cell r="L7340" t="str">
            <v>الحلاقة</v>
          </cell>
          <cell r="M7340" t="str">
            <v>C8104</v>
          </cell>
          <cell r="AC7340">
            <v>37.544921879999997</v>
          </cell>
          <cell r="AD7340">
            <v>36.276489259999998</v>
          </cell>
        </row>
        <row r="7341">
          <cell r="L7341" t="str">
            <v>الحيمر كبيرة</v>
          </cell>
          <cell r="M7341" t="str">
            <v>C8105</v>
          </cell>
          <cell r="AC7341">
            <v>38.408874509999997</v>
          </cell>
          <cell r="AD7341">
            <v>36.280883789999997</v>
          </cell>
        </row>
        <row r="7342">
          <cell r="L7342" t="str">
            <v>سرجة صغيرة</v>
          </cell>
          <cell r="M7342" t="str">
            <v>C8106</v>
          </cell>
          <cell r="AC7342">
            <v>37.379699709999997</v>
          </cell>
          <cell r="AD7342">
            <v>36.282470699999998</v>
          </cell>
        </row>
        <row r="7343">
          <cell r="L7343" t="str">
            <v>المنصورة (تادف)</v>
          </cell>
          <cell r="M7343" t="str">
            <v>C8107</v>
          </cell>
          <cell r="AC7343">
            <v>37.627929690000002</v>
          </cell>
          <cell r="AD7343">
            <v>36.2833252</v>
          </cell>
        </row>
        <row r="7344">
          <cell r="L7344" t="str">
            <v>الدرعية</v>
          </cell>
          <cell r="M7344" t="str">
            <v>C8108</v>
          </cell>
          <cell r="AC7344">
            <v>37.34350586</v>
          </cell>
          <cell r="AD7344">
            <v>36.287719729999999</v>
          </cell>
        </row>
        <row r="7345">
          <cell r="L7345" t="str">
            <v>الجوم</v>
          </cell>
          <cell r="M7345" t="str">
            <v>C8109</v>
          </cell>
          <cell r="AC7345">
            <v>38.30767822</v>
          </cell>
          <cell r="AD7345">
            <v>36.288696289999997</v>
          </cell>
        </row>
        <row r="7346">
          <cell r="L7346" t="str">
            <v>البيضا</v>
          </cell>
          <cell r="M7346" t="str">
            <v>C8110</v>
          </cell>
          <cell r="AC7346">
            <v>38.618713380000003</v>
          </cell>
          <cell r="AD7346">
            <v>36.289672850000002</v>
          </cell>
        </row>
        <row r="7347">
          <cell r="L7347" t="str">
            <v>المستريحة</v>
          </cell>
          <cell r="M7347" t="str">
            <v>C8111</v>
          </cell>
          <cell r="AC7347">
            <v>37.731689449999998</v>
          </cell>
          <cell r="AD7347">
            <v>36.293273929999998</v>
          </cell>
        </row>
        <row r="7348">
          <cell r="L7348" t="str">
            <v>كر اوضاني</v>
          </cell>
          <cell r="M7348" t="str">
            <v>C8112</v>
          </cell>
          <cell r="AC7348">
            <v>38.384704589999998</v>
          </cell>
          <cell r="AD7348">
            <v>36.294311520000001</v>
          </cell>
        </row>
        <row r="7349">
          <cell r="L7349" t="str">
            <v>الرملة</v>
          </cell>
          <cell r="M7349" t="str">
            <v>C8113</v>
          </cell>
          <cell r="AC7349">
            <v>38.244689940000001</v>
          </cell>
          <cell r="AD7349">
            <v>36.296691899999999</v>
          </cell>
        </row>
        <row r="7350">
          <cell r="L7350" t="str">
            <v>جب الصفا</v>
          </cell>
          <cell r="M7350" t="str">
            <v>C8114</v>
          </cell>
          <cell r="AC7350">
            <v>38.3203125</v>
          </cell>
          <cell r="AD7350">
            <v>36.299072270000003</v>
          </cell>
        </row>
        <row r="7351">
          <cell r="L7351" t="str">
            <v>عالية مهاوش</v>
          </cell>
          <cell r="M7351" t="str">
            <v>C8115</v>
          </cell>
          <cell r="AC7351">
            <v>40.442077640000001</v>
          </cell>
          <cell r="AD7351">
            <v>36.299316410000003</v>
          </cell>
        </row>
        <row r="7352">
          <cell r="L7352" t="str">
            <v>قاطورة</v>
          </cell>
          <cell r="M7352" t="str">
            <v>C8116</v>
          </cell>
          <cell r="AC7352">
            <v>36.830078129999997</v>
          </cell>
          <cell r="AD7352">
            <v>36.302307130000003</v>
          </cell>
        </row>
        <row r="7353">
          <cell r="L7353" t="str">
            <v>جب الكيرادة</v>
          </cell>
          <cell r="M7353" t="str">
            <v>C8117</v>
          </cell>
          <cell r="AC7353">
            <v>38.461120610000002</v>
          </cell>
          <cell r="AD7353">
            <v>36.306518560000001</v>
          </cell>
        </row>
        <row r="7354">
          <cell r="L7354" t="str">
            <v>حمر الصغيرة</v>
          </cell>
          <cell r="M7354" t="str">
            <v>C8118</v>
          </cell>
          <cell r="AC7354">
            <v>38.401306150000003</v>
          </cell>
          <cell r="AD7354">
            <v>36.307495119999999</v>
          </cell>
        </row>
        <row r="7355">
          <cell r="L7355" t="str">
            <v>أبو صفيان</v>
          </cell>
          <cell r="M7355" t="str">
            <v>C8119</v>
          </cell>
          <cell r="AC7355">
            <v>38.277709960000003</v>
          </cell>
          <cell r="AD7355">
            <v>36.30767822</v>
          </cell>
        </row>
        <row r="7356">
          <cell r="L7356" t="str">
            <v>شماوية</v>
          </cell>
          <cell r="M7356" t="str">
            <v>C8120</v>
          </cell>
          <cell r="AC7356">
            <v>37.469299319999998</v>
          </cell>
          <cell r="AD7356">
            <v>36.310729979999998</v>
          </cell>
        </row>
        <row r="7357">
          <cell r="L7357" t="str">
            <v>الشيخ عقيل</v>
          </cell>
          <cell r="M7357" t="str">
            <v>C8121</v>
          </cell>
          <cell r="AC7357">
            <v>36.940307619999999</v>
          </cell>
          <cell r="AD7357">
            <v>36.311889649999998</v>
          </cell>
        </row>
        <row r="7358">
          <cell r="L7358" t="str">
            <v>كرانة غربي</v>
          </cell>
          <cell r="M7358" t="str">
            <v>C8122</v>
          </cell>
          <cell r="AC7358">
            <v>38.577087400000003</v>
          </cell>
          <cell r="AD7358">
            <v>36.319091800000002</v>
          </cell>
        </row>
        <row r="7359">
          <cell r="L7359" t="str">
            <v>برج سليمان</v>
          </cell>
          <cell r="M7359" t="str">
            <v>C8123</v>
          </cell>
          <cell r="AC7359">
            <v>36.876892089999998</v>
          </cell>
          <cell r="AD7359">
            <v>36.320495610000002</v>
          </cell>
        </row>
        <row r="7360">
          <cell r="L7360" t="str">
            <v>دبسية</v>
          </cell>
          <cell r="M7360" t="str">
            <v>C8124</v>
          </cell>
          <cell r="AC7360">
            <v>38.337890629999997</v>
          </cell>
          <cell r="AD7360">
            <v>36.324707029999999</v>
          </cell>
        </row>
        <row r="7361">
          <cell r="L7361" t="str">
            <v>معزولة</v>
          </cell>
          <cell r="M7361" t="str">
            <v>C8125</v>
          </cell>
          <cell r="AC7361">
            <v>37.59649658</v>
          </cell>
          <cell r="AD7361">
            <v>36.325073240000002</v>
          </cell>
        </row>
        <row r="7362">
          <cell r="L7362" t="str">
            <v>أبو الزندين</v>
          </cell>
          <cell r="M7362" t="str">
            <v>C8126</v>
          </cell>
          <cell r="AC7362">
            <v>37.460510249999999</v>
          </cell>
          <cell r="AD7362">
            <v>36.33087158</v>
          </cell>
        </row>
        <row r="7363">
          <cell r="L7363" t="str">
            <v>خربشية</v>
          </cell>
          <cell r="M7363" t="str">
            <v>C8127</v>
          </cell>
          <cell r="AC7363">
            <v>37.406127929999997</v>
          </cell>
          <cell r="AD7363">
            <v>36.332702640000001</v>
          </cell>
        </row>
        <row r="7364">
          <cell r="L7364" t="str">
            <v>مستور</v>
          </cell>
          <cell r="M7364" t="str">
            <v>C8128</v>
          </cell>
          <cell r="AC7364">
            <v>40.676086429999998</v>
          </cell>
          <cell r="AD7364">
            <v>36.336303710000003</v>
          </cell>
        </row>
        <row r="7365">
          <cell r="L7365" t="str">
            <v>كفر طونة</v>
          </cell>
          <cell r="M7365" t="str">
            <v>C8129</v>
          </cell>
          <cell r="AC7365">
            <v>37.178283690000001</v>
          </cell>
          <cell r="AD7365">
            <v>36.339111330000001</v>
          </cell>
        </row>
        <row r="7366">
          <cell r="L7366" t="str">
            <v>دوكان</v>
          </cell>
          <cell r="M7366" t="str">
            <v>C8130</v>
          </cell>
          <cell r="AC7366">
            <v>36.639099119999997</v>
          </cell>
          <cell r="AD7366">
            <v>36.341674810000001</v>
          </cell>
        </row>
        <row r="7367">
          <cell r="L7367" t="str">
            <v>حليسة</v>
          </cell>
          <cell r="M7367" t="str">
            <v>C8131</v>
          </cell>
          <cell r="AC7367">
            <v>37.289489750000001</v>
          </cell>
          <cell r="AD7367">
            <v>36.342285160000003</v>
          </cell>
        </row>
        <row r="7368">
          <cell r="L7368" t="str">
            <v>غوز</v>
          </cell>
          <cell r="M7368" t="str">
            <v>C8132</v>
          </cell>
          <cell r="AC7368">
            <v>37.455505369999997</v>
          </cell>
          <cell r="AD7368">
            <v>36.343078609999999</v>
          </cell>
        </row>
        <row r="7369">
          <cell r="L7369" t="str">
            <v>أبو ماجد</v>
          </cell>
          <cell r="M7369" t="str">
            <v>C8133</v>
          </cell>
          <cell r="AC7369">
            <v>38.407714839999997</v>
          </cell>
          <cell r="AD7369">
            <v>36.346130369999997</v>
          </cell>
        </row>
        <row r="7370">
          <cell r="L7370" t="str">
            <v>فيخة الصغيرة</v>
          </cell>
          <cell r="M7370" t="str">
            <v>C8134</v>
          </cell>
          <cell r="AC7370">
            <v>37.630920410000002</v>
          </cell>
          <cell r="AD7370">
            <v>36.346923830000001</v>
          </cell>
        </row>
        <row r="7371">
          <cell r="L7371" t="str">
            <v>محمودية</v>
          </cell>
          <cell r="M7371" t="str">
            <v>C8135</v>
          </cell>
          <cell r="AC7371">
            <v>36.681884770000003</v>
          </cell>
          <cell r="AD7371">
            <v>36.347290039999997</v>
          </cell>
        </row>
        <row r="7372">
          <cell r="L7372" t="str">
            <v>تل سوسين</v>
          </cell>
          <cell r="M7372" t="str">
            <v>C8136</v>
          </cell>
          <cell r="AC7372">
            <v>37.17810059</v>
          </cell>
          <cell r="AD7372">
            <v>36.35388184</v>
          </cell>
        </row>
        <row r="7373">
          <cell r="L7373" t="str">
            <v>السلحبية</v>
          </cell>
          <cell r="M7373" t="str">
            <v>C8137</v>
          </cell>
          <cell r="AC7373">
            <v>38.599487310000001</v>
          </cell>
          <cell r="AD7373">
            <v>36.361083979999997</v>
          </cell>
        </row>
        <row r="7374">
          <cell r="L7374" t="str">
            <v>كفر قارص</v>
          </cell>
          <cell r="M7374" t="str">
            <v>C8138</v>
          </cell>
          <cell r="AC7374">
            <v>37.201477050000001</v>
          </cell>
          <cell r="AD7374">
            <v>36.361511229999998</v>
          </cell>
        </row>
        <row r="7375">
          <cell r="L7375" t="str">
            <v>الحبصاوي</v>
          </cell>
          <cell r="M7375" t="str">
            <v>C8139</v>
          </cell>
          <cell r="AC7375">
            <v>38.623107910000002</v>
          </cell>
          <cell r="AD7375">
            <v>36.362915039999997</v>
          </cell>
        </row>
        <row r="7376">
          <cell r="L7376" t="str">
            <v>حاسين</v>
          </cell>
          <cell r="M7376" t="str">
            <v>C8140</v>
          </cell>
          <cell r="AC7376">
            <v>37.279296879999997</v>
          </cell>
          <cell r="AD7376">
            <v>36.365295410000002</v>
          </cell>
        </row>
        <row r="7377">
          <cell r="L7377" t="str">
            <v>بير خادم</v>
          </cell>
          <cell r="M7377" t="str">
            <v>C8141</v>
          </cell>
          <cell r="AC7377">
            <v>38.472290039999997</v>
          </cell>
          <cell r="AD7377">
            <v>36.365905759999997</v>
          </cell>
        </row>
        <row r="7378">
          <cell r="L7378" t="str">
            <v>حساني</v>
          </cell>
          <cell r="M7378" t="str">
            <v>C8142</v>
          </cell>
          <cell r="AC7378">
            <v>37.606872559999999</v>
          </cell>
          <cell r="AD7378">
            <v>36.376892089999998</v>
          </cell>
        </row>
        <row r="7379">
          <cell r="L7379" t="str">
            <v>الكفير</v>
          </cell>
          <cell r="M7379" t="str">
            <v>C8143</v>
          </cell>
          <cell r="AC7379">
            <v>37.437072749999999</v>
          </cell>
          <cell r="AD7379">
            <v>36.378478999999999</v>
          </cell>
        </row>
        <row r="7380">
          <cell r="L7380" t="str">
            <v>اللواحجة</v>
          </cell>
          <cell r="M7380" t="str">
            <v>C8144</v>
          </cell>
          <cell r="AC7380">
            <v>37.596130369999997</v>
          </cell>
          <cell r="AD7380">
            <v>36.379272460000003</v>
          </cell>
        </row>
        <row r="7381">
          <cell r="L7381" t="str">
            <v>العواصي</v>
          </cell>
          <cell r="M7381" t="str">
            <v>C8145</v>
          </cell>
          <cell r="AC7381">
            <v>37.593322749999999</v>
          </cell>
          <cell r="AD7381">
            <v>36.381286619999997</v>
          </cell>
        </row>
        <row r="7382">
          <cell r="L7382" t="str">
            <v>زلقة</v>
          </cell>
          <cell r="M7382" t="str">
            <v>C8146</v>
          </cell>
          <cell r="AC7382">
            <v>36.77893066</v>
          </cell>
          <cell r="AD7382">
            <v>36.383117679999998</v>
          </cell>
        </row>
        <row r="7383">
          <cell r="L7383" t="str">
            <v>جنف الأحمر</v>
          </cell>
          <cell r="M7383" t="str">
            <v>C8147</v>
          </cell>
          <cell r="AC7383">
            <v>38.203918459999997</v>
          </cell>
          <cell r="AD7383">
            <v>36.383117679999998</v>
          </cell>
        </row>
        <row r="7384">
          <cell r="L7384" t="str">
            <v>علي الشمري</v>
          </cell>
          <cell r="M7384" t="str">
            <v>C8148</v>
          </cell>
          <cell r="AC7384">
            <v>38.457519529999999</v>
          </cell>
          <cell r="AD7384">
            <v>36.384704589999998</v>
          </cell>
        </row>
        <row r="7385">
          <cell r="L7385" t="str">
            <v>برات</v>
          </cell>
          <cell r="M7385" t="str">
            <v>C8149</v>
          </cell>
          <cell r="AC7385">
            <v>37.462890629999997</v>
          </cell>
          <cell r="AD7385">
            <v>36.3848877</v>
          </cell>
        </row>
        <row r="7386">
          <cell r="L7386" t="str">
            <v>حجلار</v>
          </cell>
          <cell r="M7386" t="str">
            <v>C8150</v>
          </cell>
          <cell r="AC7386">
            <v>36.718872070000003</v>
          </cell>
          <cell r="AD7386">
            <v>36.385925290000003</v>
          </cell>
        </row>
        <row r="7387">
          <cell r="L7387" t="str">
            <v>أبو كعب</v>
          </cell>
          <cell r="M7387" t="str">
            <v>C8151</v>
          </cell>
          <cell r="AC7387">
            <v>36.740722660000003</v>
          </cell>
          <cell r="AD7387">
            <v>36.38647461</v>
          </cell>
        </row>
        <row r="7388">
          <cell r="L7388" t="str">
            <v>وردية</v>
          </cell>
          <cell r="M7388" t="str">
            <v>C8152</v>
          </cell>
          <cell r="AC7388">
            <v>37.270507809999998</v>
          </cell>
          <cell r="AD7388">
            <v>36.392517089999998</v>
          </cell>
        </row>
        <row r="7389">
          <cell r="L7389" t="str">
            <v>سودة وعبد</v>
          </cell>
          <cell r="M7389" t="str">
            <v>C8153</v>
          </cell>
          <cell r="AC7389">
            <v>40.647888180000002</v>
          </cell>
          <cell r="AD7389">
            <v>36.393676759999998</v>
          </cell>
        </row>
        <row r="7390">
          <cell r="L7390" t="str">
            <v>دانا</v>
          </cell>
          <cell r="M7390" t="str">
            <v>C8154</v>
          </cell>
          <cell r="AC7390">
            <v>37.466674810000001</v>
          </cell>
          <cell r="AD7390">
            <v>36.396301270000002</v>
          </cell>
        </row>
        <row r="7391">
          <cell r="L7391" t="str">
            <v>زويان</v>
          </cell>
          <cell r="M7391" t="str">
            <v>C8155</v>
          </cell>
          <cell r="AC7391">
            <v>37.375671390000001</v>
          </cell>
          <cell r="AD7391">
            <v>36.398498539999999</v>
          </cell>
        </row>
        <row r="7392">
          <cell r="L7392" t="str">
            <v>بفلور</v>
          </cell>
          <cell r="M7392" t="str">
            <v>C8156</v>
          </cell>
          <cell r="AC7392">
            <v>36.665527339999997</v>
          </cell>
          <cell r="AD7392">
            <v>36.39868164</v>
          </cell>
        </row>
        <row r="7393">
          <cell r="L7393" t="str">
            <v>زرزور</v>
          </cell>
          <cell r="M7393" t="str">
            <v>C8157</v>
          </cell>
          <cell r="AC7393">
            <v>37.616088869999999</v>
          </cell>
          <cell r="AD7393">
            <v>36.407897949999999</v>
          </cell>
        </row>
        <row r="7394">
          <cell r="L7394" t="str">
            <v>تل جيجان</v>
          </cell>
          <cell r="M7394" t="str">
            <v>C8158</v>
          </cell>
          <cell r="AC7394">
            <v>37.340881349999997</v>
          </cell>
          <cell r="AD7394">
            <v>36.410888669999999</v>
          </cell>
        </row>
        <row r="7395">
          <cell r="L7395" t="str">
            <v>باب الخير</v>
          </cell>
          <cell r="M7395" t="str">
            <v>C8159</v>
          </cell>
          <cell r="AC7395">
            <v>40.79571533</v>
          </cell>
          <cell r="AD7395">
            <v>36.417907720000002</v>
          </cell>
        </row>
        <row r="7396">
          <cell r="L7396" t="str">
            <v>قيلة</v>
          </cell>
          <cell r="M7396" t="str">
            <v>C8160</v>
          </cell>
          <cell r="AC7396">
            <v>36.716491699999999</v>
          </cell>
          <cell r="AD7396">
            <v>36.418090820000003</v>
          </cell>
        </row>
        <row r="7397">
          <cell r="L7397" t="str">
            <v>خريبة / قربة</v>
          </cell>
          <cell r="M7397" t="str">
            <v>C8161</v>
          </cell>
          <cell r="AC7397">
            <v>36.740295410000002</v>
          </cell>
          <cell r="AD7397">
            <v>36.418273929999998</v>
          </cell>
        </row>
        <row r="7398">
          <cell r="L7398" t="str">
            <v>البدران</v>
          </cell>
          <cell r="M7398" t="str">
            <v>C8162</v>
          </cell>
          <cell r="AC7398">
            <v>40.832702640000001</v>
          </cell>
          <cell r="AD7398">
            <v>36.418701169999999</v>
          </cell>
        </row>
        <row r="7399">
          <cell r="L7399" t="str">
            <v>خليلية</v>
          </cell>
          <cell r="M7399" t="str">
            <v>C8163</v>
          </cell>
          <cell r="AC7399">
            <v>37.607116699999999</v>
          </cell>
          <cell r="AD7399">
            <v>36.419921879999997</v>
          </cell>
        </row>
        <row r="7400">
          <cell r="L7400" t="str">
            <v>وطوطية</v>
          </cell>
          <cell r="M7400" t="str">
            <v>C8164</v>
          </cell>
          <cell r="AC7400">
            <v>40.758483890000001</v>
          </cell>
          <cell r="AD7400">
            <v>36.423706060000001</v>
          </cell>
        </row>
        <row r="7401">
          <cell r="L7401" t="str">
            <v>العجمي</v>
          </cell>
          <cell r="M7401" t="str">
            <v>C8165</v>
          </cell>
          <cell r="AC7401">
            <v>37.63671875</v>
          </cell>
          <cell r="AD7401">
            <v>36.432922359999999</v>
          </cell>
        </row>
        <row r="7402">
          <cell r="L7402" t="str">
            <v>هيكجة</v>
          </cell>
          <cell r="M7402" t="str">
            <v>C8166</v>
          </cell>
          <cell r="AC7402">
            <v>36.601684570000003</v>
          </cell>
          <cell r="AD7402">
            <v>36.435729979999998</v>
          </cell>
        </row>
        <row r="7403">
          <cell r="L7403" t="str">
            <v>ام الطليل</v>
          </cell>
          <cell r="M7403" t="str">
            <v>C8167</v>
          </cell>
          <cell r="AC7403">
            <v>40.209472660000003</v>
          </cell>
          <cell r="AD7403">
            <v>36.436523440000002</v>
          </cell>
        </row>
        <row r="7404">
          <cell r="L7404" t="str">
            <v>قصف القبلي</v>
          </cell>
          <cell r="M7404" t="str">
            <v>C8168</v>
          </cell>
          <cell r="AC7404">
            <v>38.391479490000002</v>
          </cell>
          <cell r="AD7404">
            <v>36.443298339999998</v>
          </cell>
        </row>
        <row r="7405">
          <cell r="L7405" t="str">
            <v>جب البرازي</v>
          </cell>
          <cell r="M7405" t="str">
            <v>C8169</v>
          </cell>
          <cell r="AC7405">
            <v>37.626708979999997</v>
          </cell>
          <cell r="AD7405">
            <v>36.444885249999999</v>
          </cell>
        </row>
        <row r="7406">
          <cell r="L7406" t="str">
            <v>تل تورين</v>
          </cell>
          <cell r="M7406" t="str">
            <v>C8170</v>
          </cell>
          <cell r="AC7406">
            <v>37.69830322</v>
          </cell>
          <cell r="AD7406">
            <v>36.447875979999999</v>
          </cell>
        </row>
        <row r="7407">
          <cell r="L7407" t="str">
            <v>ابوهيج</v>
          </cell>
          <cell r="M7407" t="str">
            <v>C8171</v>
          </cell>
          <cell r="AC7407">
            <v>37.672729490000002</v>
          </cell>
          <cell r="AD7407">
            <v>36.448730470000001</v>
          </cell>
        </row>
        <row r="7408">
          <cell r="L7408" t="str">
            <v>البديع</v>
          </cell>
          <cell r="M7408" t="str">
            <v>C8172</v>
          </cell>
          <cell r="AC7408">
            <v>40.102905270000001</v>
          </cell>
          <cell r="AD7408">
            <v>36.452270509999998</v>
          </cell>
        </row>
        <row r="7409">
          <cell r="L7409" t="str">
            <v>جب العاصي</v>
          </cell>
          <cell r="M7409" t="str">
            <v>C8173</v>
          </cell>
          <cell r="AC7409">
            <v>37.324096679999997</v>
          </cell>
          <cell r="AD7409">
            <v>36.454101559999998</v>
          </cell>
        </row>
        <row r="7410">
          <cell r="L7410" t="str">
            <v>المشيرفة</v>
          </cell>
          <cell r="M7410" t="str">
            <v>C8174</v>
          </cell>
          <cell r="AC7410">
            <v>40.089904789999999</v>
          </cell>
          <cell r="AD7410">
            <v>36.457092289999999</v>
          </cell>
        </row>
        <row r="7411">
          <cell r="L7411" t="str">
            <v>كندرلي</v>
          </cell>
          <cell r="M7411" t="str">
            <v>C8175</v>
          </cell>
          <cell r="AC7411">
            <v>37.581481930000002</v>
          </cell>
          <cell r="AD7411">
            <v>36.461486819999998</v>
          </cell>
        </row>
        <row r="7412">
          <cell r="L7412" t="str">
            <v>شيما</v>
          </cell>
          <cell r="M7412" t="str">
            <v>C8176</v>
          </cell>
          <cell r="AC7412">
            <v>38.646728520000003</v>
          </cell>
          <cell r="AD7412">
            <v>36.461730959999997</v>
          </cell>
        </row>
        <row r="7413">
          <cell r="L7413" t="str">
            <v>أبو خشب</v>
          </cell>
          <cell r="M7413" t="str">
            <v>C8177</v>
          </cell>
          <cell r="AC7413">
            <v>40.04388428</v>
          </cell>
          <cell r="AD7413">
            <v>36.461730959999997</v>
          </cell>
        </row>
        <row r="7414">
          <cell r="L7414" t="str">
            <v>دير مشمش</v>
          </cell>
          <cell r="M7414" t="str">
            <v>C8178</v>
          </cell>
          <cell r="AC7414">
            <v>36.917114259999998</v>
          </cell>
          <cell r="AD7414">
            <v>36.463073729999998</v>
          </cell>
        </row>
        <row r="7415">
          <cell r="L7415" t="str">
            <v>تلاتينة</v>
          </cell>
          <cell r="M7415" t="str">
            <v>C8179</v>
          </cell>
          <cell r="AC7415">
            <v>37.339111330000001</v>
          </cell>
          <cell r="AD7415">
            <v>36.464477539999997</v>
          </cell>
        </row>
        <row r="7416">
          <cell r="L7416" t="str">
            <v>سعد محمد</v>
          </cell>
          <cell r="M7416" t="str">
            <v>C8180</v>
          </cell>
          <cell r="AC7416">
            <v>41.151916499999999</v>
          </cell>
          <cell r="AD7416">
            <v>36.465271000000001</v>
          </cell>
        </row>
        <row r="7417">
          <cell r="L7417" t="str">
            <v>صفحا</v>
          </cell>
          <cell r="M7417" t="str">
            <v>C8181</v>
          </cell>
          <cell r="AC7417">
            <v>41.1583252</v>
          </cell>
          <cell r="AD7417">
            <v>36.468872070000003</v>
          </cell>
        </row>
        <row r="7418">
          <cell r="L7418" t="str">
            <v>قاوقلي</v>
          </cell>
          <cell r="M7418" t="str">
            <v>C8182</v>
          </cell>
          <cell r="AC7418">
            <v>37.691528320000003</v>
          </cell>
          <cell r="AD7418">
            <v>36.471130369999997</v>
          </cell>
        </row>
        <row r="7419">
          <cell r="L7419" t="str">
            <v>التفاحية</v>
          </cell>
          <cell r="M7419" t="str">
            <v>C8183</v>
          </cell>
          <cell r="AC7419">
            <v>40.501098630000001</v>
          </cell>
          <cell r="AD7419">
            <v>36.483520509999998</v>
          </cell>
        </row>
        <row r="7420">
          <cell r="L7420" t="str">
            <v>حجي حسنلي</v>
          </cell>
          <cell r="M7420" t="str">
            <v>C8184</v>
          </cell>
          <cell r="AC7420">
            <v>36.653076169999999</v>
          </cell>
          <cell r="AD7420">
            <v>36.484680179999998</v>
          </cell>
        </row>
        <row r="7421">
          <cell r="L7421" t="str">
            <v>مصيبين (الباب)</v>
          </cell>
          <cell r="M7421" t="str">
            <v>C8185</v>
          </cell>
          <cell r="AC7421">
            <v>37.560302729999997</v>
          </cell>
          <cell r="AD7421">
            <v>36.495300290000003</v>
          </cell>
        </row>
        <row r="7422">
          <cell r="L7422" t="str">
            <v>قناة الشخ / حج عابدين</v>
          </cell>
          <cell r="M7422" t="str">
            <v>C8186</v>
          </cell>
          <cell r="AC7422">
            <v>37.987487790000003</v>
          </cell>
          <cell r="AD7422">
            <v>36.495727539999997</v>
          </cell>
        </row>
        <row r="7423">
          <cell r="L7423" t="str">
            <v>تل ابو عمشة</v>
          </cell>
          <cell r="M7423" t="str">
            <v>C8187</v>
          </cell>
          <cell r="AC7423">
            <v>40.787109379999997</v>
          </cell>
          <cell r="AD7423">
            <v>36.502929690000002</v>
          </cell>
        </row>
        <row r="7424">
          <cell r="L7424" t="str">
            <v>دمرجيك</v>
          </cell>
          <cell r="M7424" t="str">
            <v>C8188</v>
          </cell>
          <cell r="AC7424">
            <v>38.6270752</v>
          </cell>
          <cell r="AD7424">
            <v>36.502929690000002</v>
          </cell>
        </row>
        <row r="7425">
          <cell r="L7425" t="str">
            <v>العلقمية</v>
          </cell>
          <cell r="M7425" t="str">
            <v>C8189</v>
          </cell>
          <cell r="AC7425">
            <v>37.025878910000003</v>
          </cell>
          <cell r="AD7425">
            <v>36.503723149999999</v>
          </cell>
        </row>
        <row r="7426">
          <cell r="L7426" t="str">
            <v>كفر أنطون</v>
          </cell>
          <cell r="M7426" t="str">
            <v>C8190</v>
          </cell>
          <cell r="AC7426">
            <v>37.03607178</v>
          </cell>
          <cell r="AD7426">
            <v>36.505126949999998</v>
          </cell>
        </row>
        <row r="7427">
          <cell r="L7427" t="str">
            <v>تل بلونة</v>
          </cell>
          <cell r="M7427" t="str">
            <v>C8191</v>
          </cell>
          <cell r="AC7427">
            <v>37.084472660000003</v>
          </cell>
          <cell r="AD7427">
            <v>36.510314940000001</v>
          </cell>
        </row>
        <row r="7428">
          <cell r="L7428" t="str">
            <v>نواجة</v>
          </cell>
          <cell r="M7428" t="str">
            <v>C8192</v>
          </cell>
          <cell r="AC7428">
            <v>38.002685550000002</v>
          </cell>
          <cell r="AD7428">
            <v>36.515930179999998</v>
          </cell>
        </row>
        <row r="7429">
          <cell r="L7429" t="str">
            <v>ام حجرة</v>
          </cell>
          <cell r="M7429" t="str">
            <v>C8193</v>
          </cell>
          <cell r="AC7429">
            <v>40.049682619999999</v>
          </cell>
          <cell r="AD7429">
            <v>36.516296390000001</v>
          </cell>
        </row>
        <row r="7430">
          <cell r="L7430" t="str">
            <v>شيخ ناصر</v>
          </cell>
          <cell r="M7430" t="str">
            <v>C8194</v>
          </cell>
          <cell r="AC7430">
            <v>37.68591309</v>
          </cell>
          <cell r="AD7430">
            <v>36.523925779999999</v>
          </cell>
        </row>
        <row r="7431">
          <cell r="L7431" t="str">
            <v>عين دقنة</v>
          </cell>
          <cell r="M7431" t="str">
            <v>C8195</v>
          </cell>
          <cell r="AC7431">
            <v>37.078125</v>
          </cell>
          <cell r="AD7431">
            <v>36.524475099999997</v>
          </cell>
        </row>
        <row r="7432">
          <cell r="L7432" t="str">
            <v>شابيران</v>
          </cell>
          <cell r="M7432" t="str">
            <v>C8196</v>
          </cell>
          <cell r="AC7432">
            <v>37.511108399999998</v>
          </cell>
          <cell r="AD7432">
            <v>36.525085449999999</v>
          </cell>
        </row>
        <row r="7433">
          <cell r="L7433" t="str">
            <v>السرب</v>
          </cell>
          <cell r="M7433" t="str">
            <v>C8197</v>
          </cell>
          <cell r="AC7433">
            <v>37.936279300000002</v>
          </cell>
          <cell r="AD7433">
            <v>36.533081060000001</v>
          </cell>
        </row>
        <row r="7434">
          <cell r="L7434" t="str">
            <v>الخطف</v>
          </cell>
          <cell r="M7434" t="str">
            <v>C8198</v>
          </cell>
          <cell r="AC7434">
            <v>38.004699709999997</v>
          </cell>
          <cell r="AD7434">
            <v>36.540283199999998</v>
          </cell>
        </row>
        <row r="7435">
          <cell r="L7435" t="str">
            <v>تبجق</v>
          </cell>
          <cell r="M7435" t="str">
            <v>C8199</v>
          </cell>
          <cell r="AC7435">
            <v>37.583679199999999</v>
          </cell>
          <cell r="AD7435">
            <v>36.543090820000003</v>
          </cell>
        </row>
        <row r="7436">
          <cell r="L7436" t="str">
            <v>جومازانلي</v>
          </cell>
          <cell r="M7436" t="str">
            <v>C8200</v>
          </cell>
          <cell r="AC7436">
            <v>36.68591309</v>
          </cell>
          <cell r="AD7436">
            <v>36.546081540000003</v>
          </cell>
        </row>
        <row r="7437">
          <cell r="L7437" t="str">
            <v>بركة</v>
          </cell>
          <cell r="M7437" t="str">
            <v>C8201</v>
          </cell>
          <cell r="AC7437">
            <v>36.677124020000001</v>
          </cell>
          <cell r="AD7437">
            <v>36.549316410000003</v>
          </cell>
        </row>
        <row r="7438">
          <cell r="L7438" t="str">
            <v>المدينة</v>
          </cell>
          <cell r="M7438" t="str">
            <v>C8202</v>
          </cell>
          <cell r="AC7438">
            <v>40.375305179999998</v>
          </cell>
          <cell r="AD7438">
            <v>36.550720220000002</v>
          </cell>
        </row>
        <row r="7439">
          <cell r="L7439" t="str">
            <v>العون</v>
          </cell>
          <cell r="M7439" t="str">
            <v>C8203</v>
          </cell>
          <cell r="AC7439">
            <v>37.652893069999998</v>
          </cell>
          <cell r="AD7439">
            <v>36.556884770000003</v>
          </cell>
        </row>
        <row r="7440">
          <cell r="L7440" t="str">
            <v>كوكب</v>
          </cell>
          <cell r="M7440" t="str">
            <v>C8204</v>
          </cell>
          <cell r="AC7440">
            <v>40.867919919999999</v>
          </cell>
          <cell r="AD7440">
            <v>36.557495119999999</v>
          </cell>
        </row>
        <row r="7441">
          <cell r="L7441" t="str">
            <v>بازجي</v>
          </cell>
          <cell r="M7441" t="str">
            <v>C8205</v>
          </cell>
          <cell r="AC7441">
            <v>37.574279789999999</v>
          </cell>
          <cell r="AD7441">
            <v>36.560729979999998</v>
          </cell>
        </row>
        <row r="7442">
          <cell r="L7442" t="str">
            <v>شهداء</v>
          </cell>
          <cell r="M7442" t="str">
            <v>C8206</v>
          </cell>
          <cell r="AC7442">
            <v>38.31732178</v>
          </cell>
          <cell r="AD7442">
            <v>36.56091309</v>
          </cell>
        </row>
        <row r="7443">
          <cell r="L7443" t="str">
            <v>خزيان فوقاني</v>
          </cell>
          <cell r="M7443" t="str">
            <v>C8207</v>
          </cell>
          <cell r="AC7443">
            <v>36.678710940000002</v>
          </cell>
          <cell r="AD7443">
            <v>36.561706540000003</v>
          </cell>
        </row>
        <row r="7444">
          <cell r="L7444" t="str">
            <v>حاج بلال</v>
          </cell>
          <cell r="M7444" t="str">
            <v>C8208</v>
          </cell>
          <cell r="AC7444">
            <v>36.632507320000002</v>
          </cell>
          <cell r="AD7444">
            <v>36.566284179999997</v>
          </cell>
        </row>
        <row r="7445">
          <cell r="L7445" t="str">
            <v>عين الحجر</v>
          </cell>
          <cell r="M7445" t="str">
            <v>C8209</v>
          </cell>
          <cell r="AC7445">
            <v>36.825683589999997</v>
          </cell>
          <cell r="AD7445">
            <v>36.567687990000003</v>
          </cell>
        </row>
        <row r="7446">
          <cell r="L7446" t="str">
            <v>درفتلي</v>
          </cell>
          <cell r="M7446" t="str">
            <v>C8210</v>
          </cell>
          <cell r="AC7446">
            <v>38.574096679999997</v>
          </cell>
          <cell r="AD7446">
            <v>36.571105959999997</v>
          </cell>
        </row>
        <row r="7447">
          <cell r="L7447" t="str">
            <v>ام غرقان</v>
          </cell>
          <cell r="M7447" t="str">
            <v>C8211</v>
          </cell>
          <cell r="AC7447">
            <v>40.558288570000002</v>
          </cell>
          <cell r="AD7447">
            <v>36.575683589999997</v>
          </cell>
        </row>
        <row r="7448">
          <cell r="L7448" t="str">
            <v>الشيخ خليل</v>
          </cell>
          <cell r="M7448" t="str">
            <v>C8212</v>
          </cell>
          <cell r="AC7448">
            <v>36.642517089999998</v>
          </cell>
          <cell r="AD7448">
            <v>36.578674319999998</v>
          </cell>
        </row>
        <row r="7449">
          <cell r="L7449" t="str">
            <v>قبر شامية</v>
          </cell>
          <cell r="M7449" t="str">
            <v>C8213</v>
          </cell>
          <cell r="AC7449">
            <v>40.447875979999999</v>
          </cell>
          <cell r="AD7449">
            <v>36.578918459999997</v>
          </cell>
        </row>
        <row r="7450">
          <cell r="L7450" t="str">
            <v>كرت</v>
          </cell>
          <cell r="M7450" t="str">
            <v>C8214</v>
          </cell>
          <cell r="AC7450">
            <v>38.664489750000001</v>
          </cell>
          <cell r="AD7450">
            <v>36.582519529999999</v>
          </cell>
        </row>
        <row r="7451">
          <cell r="L7451" t="str">
            <v>تل خليف</v>
          </cell>
          <cell r="M7451" t="str">
            <v>C8215</v>
          </cell>
          <cell r="AC7451">
            <v>40.686523440000002</v>
          </cell>
          <cell r="AD7451">
            <v>36.58410645</v>
          </cell>
        </row>
        <row r="7452">
          <cell r="L7452" t="str">
            <v>الرحمانية</v>
          </cell>
          <cell r="M7452" t="str">
            <v>C8216</v>
          </cell>
          <cell r="AC7452">
            <v>36.675476070000002</v>
          </cell>
          <cell r="AD7452">
            <v>36.589904789999999</v>
          </cell>
        </row>
        <row r="7453">
          <cell r="L7453" t="str">
            <v>عزنة</v>
          </cell>
          <cell r="M7453" t="str">
            <v>C8217</v>
          </cell>
          <cell r="AC7453">
            <v>38.384704589999998</v>
          </cell>
          <cell r="AD7453">
            <v>36.589904789999999</v>
          </cell>
        </row>
        <row r="7454">
          <cell r="L7454" t="str">
            <v>الايوبية</v>
          </cell>
          <cell r="M7454" t="str">
            <v>C8218</v>
          </cell>
          <cell r="AC7454">
            <v>37.517272949999999</v>
          </cell>
          <cell r="AD7454">
            <v>36.591491699999999</v>
          </cell>
        </row>
        <row r="7455">
          <cell r="L7455" t="str">
            <v>الظاهرة العليا</v>
          </cell>
          <cell r="M7455" t="str">
            <v>C8219</v>
          </cell>
          <cell r="AC7455">
            <v>36.683898929999998</v>
          </cell>
          <cell r="AD7455">
            <v>36.594116210000003</v>
          </cell>
        </row>
        <row r="7456">
          <cell r="L7456" t="str">
            <v>الظاهرة الدنبا</v>
          </cell>
          <cell r="M7456" t="str">
            <v>C8220</v>
          </cell>
          <cell r="AC7456">
            <v>36.6796875</v>
          </cell>
          <cell r="AD7456">
            <v>36.596923830000001</v>
          </cell>
        </row>
        <row r="7457">
          <cell r="L7457" t="str">
            <v>دافي</v>
          </cell>
          <cell r="M7457" t="str">
            <v>C8221</v>
          </cell>
          <cell r="AC7457">
            <v>38.375305179999998</v>
          </cell>
          <cell r="AD7457">
            <v>36.60131836</v>
          </cell>
        </row>
        <row r="7458">
          <cell r="L7458" t="str">
            <v>شيخ ريح</v>
          </cell>
          <cell r="M7458" t="str">
            <v>C8222</v>
          </cell>
          <cell r="AC7458">
            <v>37.172729490000002</v>
          </cell>
          <cell r="AD7458">
            <v>36.603515629999997</v>
          </cell>
        </row>
        <row r="7459">
          <cell r="L7459" t="str">
            <v>الطوقي</v>
          </cell>
          <cell r="M7459" t="str">
            <v>C8223</v>
          </cell>
          <cell r="AC7459">
            <v>37.219299319999998</v>
          </cell>
          <cell r="AD7459">
            <v>36.60388184</v>
          </cell>
        </row>
        <row r="7460">
          <cell r="L7460" t="str">
            <v>دالي حسن</v>
          </cell>
          <cell r="M7460" t="str">
            <v>C8224</v>
          </cell>
          <cell r="AC7460">
            <v>38.337707520000002</v>
          </cell>
          <cell r="AD7460">
            <v>36.606079100000002</v>
          </cell>
        </row>
        <row r="7461">
          <cell r="L7461" t="str">
            <v>خربة بكر</v>
          </cell>
          <cell r="M7461" t="str">
            <v>C8225</v>
          </cell>
          <cell r="AC7461">
            <v>38.4083252</v>
          </cell>
          <cell r="AD7461">
            <v>36.608703609999999</v>
          </cell>
        </row>
        <row r="7462">
          <cell r="L7462" t="str">
            <v>خربة البرج</v>
          </cell>
          <cell r="M7462" t="str">
            <v>C8226</v>
          </cell>
          <cell r="AC7462">
            <v>38.287719729999999</v>
          </cell>
          <cell r="AD7462">
            <v>36.611511229999998</v>
          </cell>
        </row>
        <row r="7463">
          <cell r="L7463" t="str">
            <v>تل صفير</v>
          </cell>
          <cell r="M7463" t="str">
            <v>C8227</v>
          </cell>
          <cell r="AC7463">
            <v>37.418273929999998</v>
          </cell>
          <cell r="AD7463">
            <v>36.612304690000002</v>
          </cell>
        </row>
        <row r="7464">
          <cell r="L7464" t="str">
            <v>كمالية</v>
          </cell>
          <cell r="M7464" t="str">
            <v>C8228</v>
          </cell>
          <cell r="AC7464">
            <v>37.304870610000002</v>
          </cell>
          <cell r="AD7464">
            <v>36.613708500000001</v>
          </cell>
        </row>
        <row r="7465">
          <cell r="L7465" t="str">
            <v>القدس</v>
          </cell>
          <cell r="M7465" t="str">
            <v>C8229</v>
          </cell>
          <cell r="AC7465">
            <v>41.182128910000003</v>
          </cell>
          <cell r="AD7465">
            <v>36.614318849999997</v>
          </cell>
        </row>
        <row r="7466">
          <cell r="L7466" t="str">
            <v>المقرن</v>
          </cell>
          <cell r="M7466" t="str">
            <v>C8230</v>
          </cell>
          <cell r="AC7466">
            <v>40.163330080000001</v>
          </cell>
          <cell r="AD7466">
            <v>36.615478520000003</v>
          </cell>
        </row>
        <row r="7467">
          <cell r="L7467" t="str">
            <v>تل الحصن</v>
          </cell>
          <cell r="M7467" t="str">
            <v>C8231</v>
          </cell>
          <cell r="AC7467">
            <v>37.160278320000003</v>
          </cell>
          <cell r="AD7467">
            <v>36.615478520000003</v>
          </cell>
        </row>
        <row r="7468">
          <cell r="L7468" t="str">
            <v>الحوبش</v>
          </cell>
          <cell r="M7468" t="str">
            <v>C8232</v>
          </cell>
          <cell r="AC7468">
            <v>40.08227539</v>
          </cell>
          <cell r="AD7468">
            <v>36.61810303</v>
          </cell>
        </row>
        <row r="7469">
          <cell r="L7469" t="str">
            <v>خربة جابرية</v>
          </cell>
          <cell r="M7469" t="str">
            <v>C8233</v>
          </cell>
          <cell r="AC7469">
            <v>38.32971191</v>
          </cell>
          <cell r="AD7469">
            <v>36.619079589999998</v>
          </cell>
        </row>
        <row r="7470">
          <cell r="L7470" t="str">
            <v>خربة عمر</v>
          </cell>
          <cell r="M7470" t="str">
            <v>C8234</v>
          </cell>
          <cell r="AC7470">
            <v>41.339904789999999</v>
          </cell>
          <cell r="AD7470">
            <v>36.619323729999998</v>
          </cell>
        </row>
        <row r="7471">
          <cell r="L7471" t="str">
            <v>سينكة</v>
          </cell>
          <cell r="M7471" t="str">
            <v>C8235</v>
          </cell>
          <cell r="AC7471">
            <v>36.948120119999999</v>
          </cell>
          <cell r="AD7471">
            <v>36.62408447</v>
          </cell>
        </row>
        <row r="7472">
          <cell r="L7472" t="str">
            <v>العصفورية</v>
          </cell>
          <cell r="M7472" t="str">
            <v>C8236</v>
          </cell>
          <cell r="AC7472">
            <v>40.363098149999999</v>
          </cell>
          <cell r="AD7472">
            <v>36.624328609999999</v>
          </cell>
        </row>
        <row r="7473">
          <cell r="L7473" t="str">
            <v>شاديا</v>
          </cell>
          <cell r="M7473" t="str">
            <v>C8237</v>
          </cell>
          <cell r="AC7473">
            <v>36.606506349999997</v>
          </cell>
          <cell r="AD7473">
            <v>36.625488279999999</v>
          </cell>
        </row>
        <row r="7474">
          <cell r="L7474" t="str">
            <v>تل احمر</v>
          </cell>
          <cell r="M7474" t="str">
            <v>C8238</v>
          </cell>
          <cell r="AC7474">
            <v>37.413085940000002</v>
          </cell>
          <cell r="AD7474">
            <v>36.632690429999997</v>
          </cell>
        </row>
        <row r="7475">
          <cell r="L7475" t="str">
            <v>قرة كبري</v>
          </cell>
          <cell r="M7475" t="str">
            <v>C8239</v>
          </cell>
          <cell r="AC7475">
            <v>37.26147461</v>
          </cell>
          <cell r="AD7475">
            <v>36.635498050000002</v>
          </cell>
        </row>
        <row r="7476">
          <cell r="L7476" t="str">
            <v>القيصر</v>
          </cell>
          <cell r="M7476" t="str">
            <v>C8240</v>
          </cell>
          <cell r="AC7476">
            <v>40.999511720000001</v>
          </cell>
          <cell r="AD7476">
            <v>36.635681150000003</v>
          </cell>
        </row>
        <row r="7477">
          <cell r="L7477" t="str">
            <v>راغبية</v>
          </cell>
          <cell r="M7477" t="str">
            <v>C8241</v>
          </cell>
          <cell r="AC7477">
            <v>37.407104490000002</v>
          </cell>
          <cell r="AD7477">
            <v>36.635925290000003</v>
          </cell>
        </row>
        <row r="7478">
          <cell r="L7478" t="str">
            <v>ذراية</v>
          </cell>
          <cell r="M7478" t="str">
            <v>C8242</v>
          </cell>
          <cell r="AC7478">
            <v>41.882080080000001</v>
          </cell>
          <cell r="AD7478">
            <v>36.636901860000002</v>
          </cell>
        </row>
        <row r="7479">
          <cell r="L7479" t="str">
            <v>جات</v>
          </cell>
          <cell r="M7479" t="str">
            <v>C8243</v>
          </cell>
          <cell r="AC7479">
            <v>38.032714839999997</v>
          </cell>
          <cell r="AD7479">
            <v>36.637329100000002</v>
          </cell>
        </row>
        <row r="7480">
          <cell r="L7480" t="str">
            <v>الشعبانية</v>
          </cell>
          <cell r="M7480" t="str">
            <v>C8244</v>
          </cell>
          <cell r="AC7480">
            <v>37.390075680000002</v>
          </cell>
          <cell r="AD7480">
            <v>36.63787842</v>
          </cell>
        </row>
        <row r="7481">
          <cell r="L7481" t="str">
            <v>ثليجة غربي</v>
          </cell>
          <cell r="M7481" t="str">
            <v>C8245</v>
          </cell>
          <cell r="AC7481">
            <v>37.501281740000003</v>
          </cell>
          <cell r="AD7481">
            <v>36.638671879999997</v>
          </cell>
        </row>
        <row r="7482">
          <cell r="L7482" t="str">
            <v>سبت تحتاني</v>
          </cell>
          <cell r="M7482" t="str">
            <v>C8246</v>
          </cell>
          <cell r="AC7482">
            <v>38.31091309</v>
          </cell>
          <cell r="AD7482">
            <v>36.639282229999999</v>
          </cell>
        </row>
        <row r="7483">
          <cell r="L7483" t="str">
            <v>الاحمدية</v>
          </cell>
          <cell r="M7483" t="str">
            <v>C8247</v>
          </cell>
          <cell r="AC7483">
            <v>37.328674319999998</v>
          </cell>
          <cell r="AD7483">
            <v>36.640319820000002</v>
          </cell>
        </row>
        <row r="7484">
          <cell r="L7484" t="str">
            <v>كبلك</v>
          </cell>
          <cell r="M7484" t="str">
            <v>C8248</v>
          </cell>
          <cell r="AC7484">
            <v>38.35272217</v>
          </cell>
          <cell r="AD7484">
            <v>36.642272949999999</v>
          </cell>
        </row>
        <row r="7485">
          <cell r="L7485" t="str">
            <v>شربانلي</v>
          </cell>
          <cell r="M7485" t="str">
            <v>C8249</v>
          </cell>
          <cell r="AC7485">
            <v>36.607910160000003</v>
          </cell>
          <cell r="AD7485">
            <v>36.643127440000001</v>
          </cell>
        </row>
        <row r="7486">
          <cell r="L7486" t="str">
            <v>تل بطال</v>
          </cell>
          <cell r="M7486" t="str">
            <v>C8250</v>
          </cell>
          <cell r="AC7486">
            <v>37.341674810000001</v>
          </cell>
          <cell r="AD7486">
            <v>36.645080569999998</v>
          </cell>
        </row>
        <row r="7487">
          <cell r="L7487" t="str">
            <v>سبت فوقاني</v>
          </cell>
          <cell r="M7487" t="str">
            <v>C8251</v>
          </cell>
          <cell r="AC7487">
            <v>38.313476559999998</v>
          </cell>
          <cell r="AD7487">
            <v>36.646301270000002</v>
          </cell>
        </row>
        <row r="7488">
          <cell r="L7488" t="str">
            <v>سبت الهنكو</v>
          </cell>
          <cell r="M7488" t="str">
            <v>C8252</v>
          </cell>
          <cell r="AC7488">
            <v>38.29528809</v>
          </cell>
          <cell r="AD7488">
            <v>36.651306150000003</v>
          </cell>
        </row>
        <row r="7489">
          <cell r="L7489" t="str">
            <v>المرعة السودا</v>
          </cell>
          <cell r="M7489" t="str">
            <v>C8253</v>
          </cell>
          <cell r="AC7489">
            <v>37.268676759999998</v>
          </cell>
          <cell r="AD7489">
            <v>36.65991211</v>
          </cell>
        </row>
        <row r="7490">
          <cell r="L7490" t="str">
            <v>فياض</v>
          </cell>
          <cell r="M7490" t="str">
            <v>C8254</v>
          </cell>
          <cell r="AC7490">
            <v>38.388916020000003</v>
          </cell>
          <cell r="AD7490">
            <v>36.663879399999999</v>
          </cell>
        </row>
        <row r="7491">
          <cell r="L7491" t="str">
            <v>وضحة توكل</v>
          </cell>
          <cell r="M7491" t="str">
            <v>C8255</v>
          </cell>
          <cell r="AC7491">
            <v>39.79388428</v>
          </cell>
          <cell r="AD7491">
            <v>36.664672850000002</v>
          </cell>
        </row>
        <row r="7492">
          <cell r="L7492" t="str">
            <v>ام جران</v>
          </cell>
          <cell r="M7492" t="str">
            <v>C8256</v>
          </cell>
          <cell r="AC7492">
            <v>39.630310059999999</v>
          </cell>
          <cell r="AD7492">
            <v>36.666503910000003</v>
          </cell>
        </row>
        <row r="7493">
          <cell r="L7493" t="str">
            <v>هوبكان</v>
          </cell>
          <cell r="M7493" t="str">
            <v>C8257</v>
          </cell>
          <cell r="AC7493">
            <v>36.642517089999998</v>
          </cell>
          <cell r="AD7493">
            <v>36.666870119999999</v>
          </cell>
        </row>
        <row r="7494">
          <cell r="L7494" t="str">
            <v>شمة</v>
          </cell>
          <cell r="M7494" t="str">
            <v>C8258</v>
          </cell>
          <cell r="AC7494">
            <v>40.806884770000003</v>
          </cell>
          <cell r="AD7494">
            <v>36.671875</v>
          </cell>
        </row>
        <row r="7495">
          <cell r="L7495" t="str">
            <v>جادة المغارة</v>
          </cell>
          <cell r="M7495" t="str">
            <v>C8259</v>
          </cell>
          <cell r="AC7495">
            <v>38.208679199999999</v>
          </cell>
          <cell r="AD7495">
            <v>36.673522949999999</v>
          </cell>
        </row>
        <row r="7496">
          <cell r="L7496" t="str">
            <v>العروبة</v>
          </cell>
          <cell r="M7496" t="str">
            <v>C8260</v>
          </cell>
          <cell r="AC7496">
            <v>36.993713380000003</v>
          </cell>
          <cell r="AD7496">
            <v>36.67810059</v>
          </cell>
        </row>
        <row r="7497">
          <cell r="L7497" t="str">
            <v>الحواس</v>
          </cell>
          <cell r="M7497" t="str">
            <v>C8261</v>
          </cell>
          <cell r="AC7497">
            <v>40.039489750000001</v>
          </cell>
          <cell r="AD7497">
            <v>36.679077149999998</v>
          </cell>
        </row>
        <row r="7498">
          <cell r="L7498" t="str">
            <v>يعقوبية</v>
          </cell>
          <cell r="M7498" t="str">
            <v>C8262</v>
          </cell>
          <cell r="AC7498">
            <v>37.870483399999998</v>
          </cell>
          <cell r="AD7498">
            <v>36.6796875</v>
          </cell>
        </row>
        <row r="7499">
          <cell r="L7499" t="str">
            <v>بيلان</v>
          </cell>
          <cell r="M7499" t="str">
            <v>C8263</v>
          </cell>
          <cell r="AC7499">
            <v>36.868286130000001</v>
          </cell>
          <cell r="AD7499">
            <v>36.680114750000001</v>
          </cell>
        </row>
        <row r="7500">
          <cell r="L7500" t="str">
            <v>ببلان</v>
          </cell>
          <cell r="M7500" t="str">
            <v>C8264</v>
          </cell>
          <cell r="AC7500">
            <v>37.958679199999999</v>
          </cell>
          <cell r="AD7500">
            <v>36.68591309</v>
          </cell>
        </row>
        <row r="7501">
          <cell r="L7501" t="str">
            <v>جب الكوسا</v>
          </cell>
          <cell r="M7501" t="str">
            <v>C8265</v>
          </cell>
          <cell r="AC7501">
            <v>37.99609375</v>
          </cell>
          <cell r="AD7501">
            <v>36.687683110000002</v>
          </cell>
        </row>
        <row r="7502">
          <cell r="L7502" t="str">
            <v>بير خامي</v>
          </cell>
          <cell r="M7502" t="str">
            <v>C8266</v>
          </cell>
          <cell r="AC7502">
            <v>38.600280759999997</v>
          </cell>
          <cell r="AD7502">
            <v>36.692077640000001</v>
          </cell>
        </row>
        <row r="7503">
          <cell r="L7503" t="str">
            <v>بللورسنك</v>
          </cell>
          <cell r="M7503" t="str">
            <v>C8267</v>
          </cell>
          <cell r="AC7503">
            <v>36.94232178</v>
          </cell>
          <cell r="AD7503">
            <v>36.69232178</v>
          </cell>
        </row>
        <row r="7504">
          <cell r="L7504" t="str">
            <v>كوماتشي</v>
          </cell>
          <cell r="M7504" t="str">
            <v>C8268</v>
          </cell>
          <cell r="AC7504">
            <v>38.242126470000002</v>
          </cell>
          <cell r="AD7504">
            <v>36.695129399999999</v>
          </cell>
        </row>
        <row r="7505">
          <cell r="L7505" t="str">
            <v>رسم الرهجة</v>
          </cell>
          <cell r="M7505" t="str">
            <v>C8269</v>
          </cell>
          <cell r="AC7505">
            <v>40.208312990000003</v>
          </cell>
          <cell r="AD7505">
            <v>36.697692869999997</v>
          </cell>
        </row>
        <row r="7506">
          <cell r="L7506" t="str">
            <v>طرمان</v>
          </cell>
          <cell r="M7506" t="str">
            <v>C8270</v>
          </cell>
          <cell r="AC7506">
            <v>38.222717289999999</v>
          </cell>
          <cell r="AD7506">
            <v>36.699279789999999</v>
          </cell>
        </row>
        <row r="7507">
          <cell r="L7507" t="str">
            <v>عنبة</v>
          </cell>
          <cell r="M7507" t="str">
            <v>C8271</v>
          </cell>
          <cell r="AC7507">
            <v>40.204528809999999</v>
          </cell>
          <cell r="AD7507">
            <v>36.699707029999999</v>
          </cell>
        </row>
        <row r="7508">
          <cell r="L7508" t="str">
            <v>كويم افتر</v>
          </cell>
          <cell r="M7508" t="str">
            <v>C8272</v>
          </cell>
          <cell r="AC7508">
            <v>38.185302729999997</v>
          </cell>
          <cell r="AD7508">
            <v>36.700317380000001</v>
          </cell>
        </row>
        <row r="7509">
          <cell r="L7509" t="str">
            <v>قاسمية</v>
          </cell>
          <cell r="M7509" t="str">
            <v>C8273</v>
          </cell>
          <cell r="AC7509">
            <v>38.123291020000003</v>
          </cell>
          <cell r="AD7509">
            <v>36.702697749999999</v>
          </cell>
        </row>
        <row r="7510">
          <cell r="L7510" t="str">
            <v>بيت حسين</v>
          </cell>
          <cell r="M7510" t="str">
            <v>C8274</v>
          </cell>
          <cell r="AC7510">
            <v>38.047729490000002</v>
          </cell>
          <cell r="AD7510">
            <v>36.703491210000003</v>
          </cell>
        </row>
        <row r="7511">
          <cell r="L7511" t="str">
            <v>بير مال</v>
          </cell>
          <cell r="M7511" t="str">
            <v>C8275</v>
          </cell>
          <cell r="AC7511">
            <v>38.421875</v>
          </cell>
          <cell r="AD7511">
            <v>36.714721679999997</v>
          </cell>
        </row>
        <row r="7512">
          <cell r="L7512" t="str">
            <v>عين العبد</v>
          </cell>
          <cell r="M7512" t="str">
            <v>C8276</v>
          </cell>
          <cell r="AC7512">
            <v>40.445129399999999</v>
          </cell>
          <cell r="AD7512">
            <v>36.716674810000001</v>
          </cell>
        </row>
        <row r="7513">
          <cell r="L7513" t="str">
            <v>ماجو</v>
          </cell>
          <cell r="M7513" t="str">
            <v>C8277</v>
          </cell>
          <cell r="AC7513">
            <v>39.874328609999999</v>
          </cell>
          <cell r="AD7513">
            <v>36.722106930000002</v>
          </cell>
        </row>
        <row r="7514">
          <cell r="L7514" t="str">
            <v>قورزلي</v>
          </cell>
          <cell r="M7514" t="str">
            <v>C8278</v>
          </cell>
          <cell r="AC7514">
            <v>36.765319820000002</v>
          </cell>
          <cell r="AD7514">
            <v>36.724914550000001</v>
          </cell>
        </row>
        <row r="7515">
          <cell r="L7515" t="str">
            <v>تل برقة</v>
          </cell>
          <cell r="M7515" t="str">
            <v>C8279</v>
          </cell>
          <cell r="AC7515">
            <v>40.12268066</v>
          </cell>
          <cell r="AD7515">
            <v>36.725708009999998</v>
          </cell>
        </row>
        <row r="7516">
          <cell r="L7516" t="str">
            <v>جعنكا</v>
          </cell>
          <cell r="M7516" t="str">
            <v>C8280</v>
          </cell>
          <cell r="AC7516">
            <v>36.673706060000001</v>
          </cell>
          <cell r="AD7516">
            <v>36.731506349999997</v>
          </cell>
        </row>
        <row r="7517">
          <cell r="L7517" t="str">
            <v>جرتي مللانة</v>
          </cell>
          <cell r="M7517" t="str">
            <v>C8281</v>
          </cell>
          <cell r="AC7517">
            <v>38.330505369999997</v>
          </cell>
          <cell r="AD7517">
            <v>36.736877440000001</v>
          </cell>
        </row>
        <row r="7518">
          <cell r="L7518" t="str">
            <v>خربة موسى</v>
          </cell>
          <cell r="M7518" t="str">
            <v>C8282</v>
          </cell>
          <cell r="AC7518">
            <v>41.413696289999997</v>
          </cell>
          <cell r="AD7518">
            <v>36.737670899999998</v>
          </cell>
        </row>
        <row r="7519">
          <cell r="L7519" t="str">
            <v>خربة سلوك</v>
          </cell>
          <cell r="M7519" t="str">
            <v>C8283</v>
          </cell>
          <cell r="AC7519">
            <v>36.65393066</v>
          </cell>
          <cell r="AD7519">
            <v>36.740478520000003</v>
          </cell>
        </row>
        <row r="7520">
          <cell r="L7520" t="str">
            <v>تل احمد حرب</v>
          </cell>
          <cell r="M7520" t="str">
            <v>C8284</v>
          </cell>
          <cell r="AC7520">
            <v>41.298706060000001</v>
          </cell>
          <cell r="AD7520">
            <v>36.741088869999999</v>
          </cell>
        </row>
        <row r="7521">
          <cell r="L7521" t="str">
            <v>دوبيرة</v>
          </cell>
          <cell r="M7521" t="str">
            <v>C8285</v>
          </cell>
          <cell r="AC7521">
            <v>36.78747559</v>
          </cell>
          <cell r="AD7521">
            <v>36.742126470000002</v>
          </cell>
        </row>
        <row r="7522">
          <cell r="L7522" t="str">
            <v>علي جارو</v>
          </cell>
          <cell r="M7522" t="str">
            <v>C8286</v>
          </cell>
          <cell r="AC7522">
            <v>36.871521000000001</v>
          </cell>
          <cell r="AD7522">
            <v>36.743286130000001</v>
          </cell>
        </row>
        <row r="7523">
          <cell r="L7523" t="str">
            <v>قرة بابا</v>
          </cell>
          <cell r="M7523" t="str">
            <v>C8287</v>
          </cell>
          <cell r="AC7523">
            <v>36.629272460000003</v>
          </cell>
          <cell r="AD7523">
            <v>36.74768066</v>
          </cell>
        </row>
        <row r="7524">
          <cell r="L7524" t="str">
            <v>كويك حبيب</v>
          </cell>
          <cell r="M7524" t="str">
            <v>C8288</v>
          </cell>
          <cell r="AC7524">
            <v>38.263122559999999</v>
          </cell>
          <cell r="AD7524">
            <v>36.748107910000002</v>
          </cell>
        </row>
        <row r="7525">
          <cell r="L7525" t="str">
            <v>حفتارو</v>
          </cell>
          <cell r="M7525" t="str">
            <v>C8289</v>
          </cell>
          <cell r="AC7525">
            <v>36.910705569999998</v>
          </cell>
          <cell r="AD7525">
            <v>36.750122070000003</v>
          </cell>
        </row>
        <row r="7526">
          <cell r="L7526" t="str">
            <v>قوجلي تحتاني</v>
          </cell>
          <cell r="M7526" t="str">
            <v>C8290</v>
          </cell>
          <cell r="AC7526">
            <v>38.176879880000001</v>
          </cell>
          <cell r="AD7526">
            <v>36.751708979999997</v>
          </cell>
        </row>
        <row r="7527">
          <cell r="L7527" t="str">
            <v>عكر</v>
          </cell>
          <cell r="M7527" t="str">
            <v>C8291</v>
          </cell>
          <cell r="AC7527">
            <v>41.045471190000001</v>
          </cell>
          <cell r="AD7527">
            <v>36.75231934</v>
          </cell>
        </row>
        <row r="7528">
          <cell r="L7528" t="str">
            <v>شلتاح</v>
          </cell>
          <cell r="M7528" t="str">
            <v>C8292</v>
          </cell>
          <cell r="AC7528">
            <v>36.986877440000001</v>
          </cell>
          <cell r="AD7528">
            <v>36.755920410000002</v>
          </cell>
        </row>
        <row r="7529">
          <cell r="L7529" t="str">
            <v>هياملي</v>
          </cell>
          <cell r="M7529" t="str">
            <v>C8293</v>
          </cell>
          <cell r="AC7529">
            <v>36.78747559</v>
          </cell>
          <cell r="AD7529">
            <v>36.777526860000002</v>
          </cell>
        </row>
        <row r="7530">
          <cell r="L7530" t="str">
            <v>قومي</v>
          </cell>
          <cell r="M7530" t="str">
            <v>C8294</v>
          </cell>
          <cell r="AC7530">
            <v>38.215881349999997</v>
          </cell>
          <cell r="AD7530">
            <v>36.780273440000002</v>
          </cell>
        </row>
        <row r="7531">
          <cell r="L7531" t="str">
            <v>أبو كبير</v>
          </cell>
          <cell r="M7531" t="str">
            <v>C8295</v>
          </cell>
          <cell r="AC7531">
            <v>41.38671875</v>
          </cell>
          <cell r="AD7531">
            <v>36.798889160000002</v>
          </cell>
        </row>
        <row r="7532">
          <cell r="L7532" t="str">
            <v>الفيج</v>
          </cell>
          <cell r="M7532" t="str">
            <v>C8296</v>
          </cell>
          <cell r="AC7532">
            <v>41.108520509999998</v>
          </cell>
          <cell r="AD7532">
            <v>36.80169678</v>
          </cell>
        </row>
        <row r="7533">
          <cell r="L7533" t="str">
            <v>قاطش</v>
          </cell>
          <cell r="M7533" t="str">
            <v>C8297</v>
          </cell>
          <cell r="AC7533">
            <v>38.085327149999998</v>
          </cell>
          <cell r="AD7533">
            <v>36.807312009999997</v>
          </cell>
        </row>
        <row r="7534">
          <cell r="L7534" t="str">
            <v>كورده</v>
          </cell>
          <cell r="M7534" t="str">
            <v>C8298</v>
          </cell>
          <cell r="AC7534">
            <v>38.37731934</v>
          </cell>
          <cell r="AD7534">
            <v>36.810729979999998</v>
          </cell>
        </row>
        <row r="7535">
          <cell r="L7535" t="str">
            <v>دربزن حوزان</v>
          </cell>
          <cell r="M7535" t="str">
            <v>C8299</v>
          </cell>
          <cell r="AC7535">
            <v>38.129089360000002</v>
          </cell>
          <cell r="AD7535">
            <v>36.812316899999999</v>
          </cell>
        </row>
        <row r="7536">
          <cell r="L7536" t="str">
            <v>اصفر نجار</v>
          </cell>
          <cell r="M7536" t="str">
            <v>C8300</v>
          </cell>
          <cell r="AC7536">
            <v>40.060729979999998</v>
          </cell>
          <cell r="AD7536">
            <v>36.822509770000003</v>
          </cell>
        </row>
        <row r="7537">
          <cell r="L7537" t="str">
            <v>زرزوري</v>
          </cell>
          <cell r="M7537" t="str">
            <v>C8301</v>
          </cell>
          <cell r="AC7537">
            <v>38.504699709999997</v>
          </cell>
          <cell r="AD7537">
            <v>36.833923339999998</v>
          </cell>
        </row>
        <row r="7538">
          <cell r="L7538" t="str">
            <v>بياضة</v>
          </cell>
          <cell r="M7538" t="str">
            <v>C8302</v>
          </cell>
          <cell r="AC7538">
            <v>38.059082029999999</v>
          </cell>
          <cell r="AD7538">
            <v>36.837280270000001</v>
          </cell>
        </row>
        <row r="7539">
          <cell r="L7539" t="str">
            <v>ام العزام</v>
          </cell>
          <cell r="M7539" t="str">
            <v>C8303</v>
          </cell>
          <cell r="AC7539">
            <v>41.504516600000002</v>
          </cell>
          <cell r="AD7539">
            <v>36.842102050000001</v>
          </cell>
        </row>
        <row r="7540">
          <cell r="L7540" t="str">
            <v>كوركي</v>
          </cell>
          <cell r="M7540" t="str">
            <v>C8304</v>
          </cell>
          <cell r="AC7540">
            <v>38.36810303</v>
          </cell>
          <cell r="AD7540">
            <v>36.843872070000003</v>
          </cell>
        </row>
        <row r="7541">
          <cell r="L7541" t="str">
            <v>واوية</v>
          </cell>
          <cell r="M7541" t="str">
            <v>C8305</v>
          </cell>
          <cell r="AC7541">
            <v>41.455688479999999</v>
          </cell>
          <cell r="AD7541">
            <v>36.852905270000001</v>
          </cell>
        </row>
        <row r="7542">
          <cell r="L7542" t="str">
            <v>نهاب</v>
          </cell>
          <cell r="M7542" t="str">
            <v>C8306</v>
          </cell>
          <cell r="AC7542">
            <v>41.481506349999997</v>
          </cell>
          <cell r="AD7542">
            <v>36.856506349999997</v>
          </cell>
        </row>
        <row r="7543">
          <cell r="L7543" t="str">
            <v>علوك الشرقي</v>
          </cell>
          <cell r="M7543" t="str">
            <v>C8307</v>
          </cell>
          <cell r="AC7543">
            <v>40.150085449999999</v>
          </cell>
          <cell r="AD7543">
            <v>36.858520509999998</v>
          </cell>
        </row>
        <row r="7544">
          <cell r="L7544" t="str">
            <v>علوك الغربي</v>
          </cell>
          <cell r="M7544" t="str">
            <v>C8308</v>
          </cell>
          <cell r="AC7544">
            <v>40.129272460000003</v>
          </cell>
          <cell r="AD7544">
            <v>36.86328125</v>
          </cell>
        </row>
        <row r="7545">
          <cell r="L7545" t="str">
            <v>أبو كبيرة</v>
          </cell>
          <cell r="M7545" t="str">
            <v>C8309</v>
          </cell>
          <cell r="AC7545">
            <v>40.244323729999998</v>
          </cell>
          <cell r="AD7545">
            <v>36.87109375</v>
          </cell>
        </row>
        <row r="7546">
          <cell r="L7546" t="str">
            <v>عليشار</v>
          </cell>
          <cell r="M7546" t="str">
            <v>C8310</v>
          </cell>
          <cell r="AC7546">
            <v>38.456298830000001</v>
          </cell>
          <cell r="AD7546">
            <v>36.873718259999997</v>
          </cell>
        </row>
        <row r="7547">
          <cell r="L7547" t="str">
            <v>سالم</v>
          </cell>
          <cell r="M7547" t="str">
            <v>C8311</v>
          </cell>
          <cell r="AC7547">
            <v>38.17211914</v>
          </cell>
          <cell r="AD7547">
            <v>36.88189697</v>
          </cell>
        </row>
        <row r="7548">
          <cell r="L7548" t="str">
            <v>مزرعة الصغيرة</v>
          </cell>
          <cell r="M7548" t="str">
            <v>C8312</v>
          </cell>
          <cell r="AC7548">
            <v>38.296325680000002</v>
          </cell>
          <cell r="AD7548">
            <v>36.882080080000001</v>
          </cell>
        </row>
        <row r="7549">
          <cell r="L7549" t="str">
            <v>جرنيك التحتاني</v>
          </cell>
          <cell r="M7549" t="str">
            <v>C8313</v>
          </cell>
          <cell r="AC7549">
            <v>40.687316899999999</v>
          </cell>
          <cell r="AD7549">
            <v>36.886108399999998</v>
          </cell>
        </row>
        <row r="7550">
          <cell r="L7550" t="str">
            <v>مزرر داود</v>
          </cell>
          <cell r="M7550" t="str">
            <v>C8314</v>
          </cell>
          <cell r="AC7550">
            <v>38.402526860000002</v>
          </cell>
          <cell r="AD7550">
            <v>36.892883300000001</v>
          </cell>
        </row>
        <row r="7551">
          <cell r="L7551" t="str">
            <v>جان تمر غربي</v>
          </cell>
          <cell r="M7551" t="str">
            <v>C8315</v>
          </cell>
          <cell r="AC7551">
            <v>40.236083979999997</v>
          </cell>
          <cell r="AD7551">
            <v>36.895080569999998</v>
          </cell>
        </row>
        <row r="7552">
          <cell r="L7552" t="str">
            <v>سيبركا</v>
          </cell>
          <cell r="M7552" t="str">
            <v>C8316</v>
          </cell>
          <cell r="AC7552">
            <v>40.590271000000001</v>
          </cell>
          <cell r="AD7552">
            <v>36.981872559999999</v>
          </cell>
        </row>
        <row r="7553">
          <cell r="L7553" t="str">
            <v>قيروان</v>
          </cell>
          <cell r="M7553" t="str">
            <v>C8317</v>
          </cell>
          <cell r="AC7553">
            <v>40.512084960000003</v>
          </cell>
          <cell r="AD7553">
            <v>36.98669434</v>
          </cell>
        </row>
        <row r="7554">
          <cell r="L7554" t="str">
            <v>ذبانة</v>
          </cell>
          <cell r="M7554" t="str">
            <v>C8318</v>
          </cell>
          <cell r="AC7554">
            <v>41.263122559999999</v>
          </cell>
          <cell r="AD7554">
            <v>36.996276860000002</v>
          </cell>
        </row>
        <row r="7555">
          <cell r="L7555" t="str">
            <v>الحميرة</v>
          </cell>
          <cell r="M7555" t="str">
            <v>C8319</v>
          </cell>
          <cell r="AC7555">
            <v>41.256286619999997</v>
          </cell>
          <cell r="AD7555">
            <v>37.0255127</v>
          </cell>
        </row>
        <row r="7556">
          <cell r="L7556" t="str">
            <v>الكهف الأسود</v>
          </cell>
          <cell r="M7556" t="str">
            <v>C8320</v>
          </cell>
          <cell r="AC7556">
            <v>42.285278320000003</v>
          </cell>
          <cell r="AD7556">
            <v>37.029479979999998</v>
          </cell>
        </row>
        <row r="7557">
          <cell r="L7557" t="str">
            <v>هرم رش</v>
          </cell>
          <cell r="M7557" t="str">
            <v>C8321</v>
          </cell>
          <cell r="AC7557">
            <v>41.095886229999998</v>
          </cell>
          <cell r="AD7557">
            <v>37.030517580000001</v>
          </cell>
        </row>
        <row r="7558">
          <cell r="L7558" t="str">
            <v>دوكر</v>
          </cell>
          <cell r="M7558" t="str">
            <v>C8322</v>
          </cell>
          <cell r="AC7558">
            <v>41.497497559999999</v>
          </cell>
          <cell r="AD7558">
            <v>37.0333252</v>
          </cell>
        </row>
        <row r="7559">
          <cell r="L7559" t="str">
            <v>هيمو</v>
          </cell>
          <cell r="M7559" t="str">
            <v>C8323</v>
          </cell>
          <cell r="AC7559">
            <v>41.160705569999998</v>
          </cell>
          <cell r="AD7559">
            <v>37.047485350000002</v>
          </cell>
        </row>
        <row r="7560">
          <cell r="L7560" t="str">
            <v>مزكفت</v>
          </cell>
          <cell r="M7560" t="str">
            <v>C8324</v>
          </cell>
          <cell r="AC7560">
            <v>41.589477539999997</v>
          </cell>
          <cell r="AD7560">
            <v>37.063293459999997</v>
          </cell>
        </row>
        <row r="7561">
          <cell r="L7561" t="str">
            <v>لطيفية</v>
          </cell>
          <cell r="M7561" t="str">
            <v>C8325</v>
          </cell>
          <cell r="AC7561">
            <v>41.293518069999998</v>
          </cell>
          <cell r="AD7561">
            <v>37.076477050000001</v>
          </cell>
        </row>
        <row r="7562">
          <cell r="L7562" t="str">
            <v>طوكة</v>
          </cell>
          <cell r="M7562" t="str">
            <v>C8326</v>
          </cell>
          <cell r="AC7562">
            <v>41.041076660000002</v>
          </cell>
          <cell r="AD7562">
            <v>37.090515140000001</v>
          </cell>
        </row>
        <row r="7563">
          <cell r="L7563" t="str">
            <v>هسدة</v>
          </cell>
          <cell r="M7563" t="str">
            <v>C8327</v>
          </cell>
          <cell r="AC7563">
            <v>40.987304690000002</v>
          </cell>
          <cell r="AD7563">
            <v>37.107116699999999</v>
          </cell>
        </row>
        <row r="7564">
          <cell r="L7564" t="str">
            <v>جيريك</v>
          </cell>
          <cell r="M7564" t="str">
            <v>C8328</v>
          </cell>
          <cell r="AC7564">
            <v>41.023925779999999</v>
          </cell>
          <cell r="AD7564">
            <v>37.108276369999999</v>
          </cell>
        </row>
        <row r="7565">
          <cell r="L7565" t="str">
            <v>بهيرة</v>
          </cell>
          <cell r="M7565" t="str">
            <v>C8329</v>
          </cell>
          <cell r="AC7565">
            <v>40.862915039999997</v>
          </cell>
          <cell r="AD7565">
            <v>37.10913086</v>
          </cell>
        </row>
        <row r="7566">
          <cell r="L7566" t="str">
            <v>سويديك</v>
          </cell>
          <cell r="M7566" t="str">
            <v>C8330</v>
          </cell>
          <cell r="AC7566">
            <v>42.167114259999998</v>
          </cell>
          <cell r="AD7566">
            <v>37.112915039999997</v>
          </cell>
        </row>
        <row r="7567">
          <cell r="L7567" t="str">
            <v>تل منبطح</v>
          </cell>
          <cell r="M7567" t="str">
            <v>C8331</v>
          </cell>
          <cell r="AC7567">
            <v>39.057128910000003</v>
          </cell>
          <cell r="AD7567">
            <v>36.373718259999997</v>
          </cell>
        </row>
        <row r="7568">
          <cell r="L7568" t="str">
            <v>منبطح</v>
          </cell>
          <cell r="M7568" t="str">
            <v>C8332</v>
          </cell>
          <cell r="AC7568">
            <v>38.941528320000003</v>
          </cell>
          <cell r="AD7568">
            <v>36.701477050000001</v>
          </cell>
        </row>
        <row r="7569">
          <cell r="L7569" t="str">
            <v>العريضة</v>
          </cell>
          <cell r="M7569" t="str">
            <v>C8333</v>
          </cell>
          <cell r="AC7569">
            <v>38.607727050000001</v>
          </cell>
          <cell r="AD7569">
            <v>36.231506349999997</v>
          </cell>
        </row>
        <row r="7570">
          <cell r="L7570" t="str">
            <v>مشرفه التعبان</v>
          </cell>
          <cell r="M7570" t="str">
            <v>C8334</v>
          </cell>
          <cell r="AC7570">
            <v>38.791503910000003</v>
          </cell>
          <cell r="AD7570">
            <v>36.409301759999998</v>
          </cell>
        </row>
        <row r="7571">
          <cell r="L7571" t="str">
            <v>خربة كرم</v>
          </cell>
          <cell r="M7571" t="str">
            <v>C8335</v>
          </cell>
          <cell r="AC7571">
            <v>38.796875</v>
          </cell>
          <cell r="AD7571">
            <v>36.445678710000003</v>
          </cell>
        </row>
        <row r="7572">
          <cell r="L7572" t="str">
            <v>شعيب الغبية</v>
          </cell>
          <cell r="M7572" t="str">
            <v>C8336</v>
          </cell>
          <cell r="AC7572">
            <v>38.650878910000003</v>
          </cell>
          <cell r="AD7572">
            <v>36.18267822</v>
          </cell>
        </row>
        <row r="7573">
          <cell r="L7573" t="str">
            <v>طويرش
طويرش
طةيسرش</v>
          </cell>
          <cell r="M7573" t="str">
            <v>C8337</v>
          </cell>
          <cell r="AC7573">
            <v>41.935485839999998</v>
          </cell>
          <cell r="AD7573">
            <v>36.716491699999999</v>
          </cell>
        </row>
        <row r="7574">
          <cell r="L7574" t="str">
            <v>الحفرية</v>
          </cell>
          <cell r="M7574" t="str">
            <v>C8338</v>
          </cell>
          <cell r="AC7574">
            <v>36.384277339999997</v>
          </cell>
          <cell r="AD7574">
            <v>36.013488770000002</v>
          </cell>
        </row>
        <row r="7575">
          <cell r="L7575" t="str">
            <v>الحج نايف</v>
          </cell>
          <cell r="M7575" t="str">
            <v>C8339</v>
          </cell>
          <cell r="AC7575">
            <v>36.415100099999997</v>
          </cell>
          <cell r="AD7575">
            <v>36.031677250000001</v>
          </cell>
        </row>
        <row r="7576">
          <cell r="L7576" t="str">
            <v>بصيرا الجديدة</v>
          </cell>
          <cell r="M7576" t="str">
            <v>C8340</v>
          </cell>
          <cell r="AC7576">
            <v>35.889892580000001</v>
          </cell>
          <cell r="AD7576">
            <v>34.997314449999998</v>
          </cell>
        </row>
        <row r="7577">
          <cell r="L7577" t="str">
            <v>راس البسيط</v>
          </cell>
          <cell r="M7577" t="str">
            <v>C8341</v>
          </cell>
          <cell r="AC7577">
            <v>35.839721679999997</v>
          </cell>
          <cell r="AD7577">
            <v>35.84790039</v>
          </cell>
        </row>
        <row r="7578">
          <cell r="L7578" t="str">
            <v>أبو ضنة</v>
          </cell>
          <cell r="M7578" t="str">
            <v>C1276</v>
          </cell>
          <cell r="AC7578">
            <v>37.429504399999999</v>
          </cell>
          <cell r="AD7578">
            <v>36.184875490000003</v>
          </cell>
        </row>
        <row r="7579">
          <cell r="L7579" t="str">
            <v>الهاشم</v>
          </cell>
          <cell r="M7579" t="str">
            <v>C8342</v>
          </cell>
          <cell r="AC7579">
            <v>39.128723149999999</v>
          </cell>
          <cell r="AD7579">
            <v>36.226928710000003</v>
          </cell>
        </row>
        <row r="7580">
          <cell r="L7580" t="str">
            <v>الهوي</v>
          </cell>
          <cell r="M7580" t="str">
            <v>C8343</v>
          </cell>
          <cell r="AC7580">
            <v>39.213500979999999</v>
          </cell>
          <cell r="AD7580">
            <v>36.282897949999999</v>
          </cell>
        </row>
        <row r="7581">
          <cell r="L7581" t="str">
            <v>جب ابراهيم</v>
          </cell>
          <cell r="M7581" t="str">
            <v>C8344</v>
          </cell>
          <cell r="AC7581">
            <v>38.350097660000003</v>
          </cell>
          <cell r="AD7581">
            <v>35.803894040000003</v>
          </cell>
        </row>
        <row r="7582">
          <cell r="L7582" t="str">
            <v>مزيونة</v>
          </cell>
          <cell r="M7582" t="str">
            <v>C8345</v>
          </cell>
          <cell r="AC7582">
            <v>38.846923830000001</v>
          </cell>
          <cell r="AD7582">
            <v>35.965515140000001</v>
          </cell>
        </row>
        <row r="7583">
          <cell r="L7583" t="str">
            <v>تل بيا</v>
          </cell>
          <cell r="M7583" t="str">
            <v>C8346</v>
          </cell>
          <cell r="AC7583">
            <v>39.044494630000003</v>
          </cell>
          <cell r="AD7583">
            <v>35.955688479999999</v>
          </cell>
        </row>
        <row r="7584">
          <cell r="L7584" t="str">
            <v>الكشكية</v>
          </cell>
          <cell r="M7584" t="str">
            <v>C8365</v>
          </cell>
          <cell r="AC7584">
            <v>40.694702149999998</v>
          </cell>
          <cell r="AD7584">
            <v>34.811706540000003</v>
          </cell>
        </row>
        <row r="7585">
          <cell r="L7585" t="str">
            <v>أبو شارب</v>
          </cell>
          <cell r="M7585" t="str">
            <v>C8368</v>
          </cell>
          <cell r="AC7585">
            <v>38.996887209999997</v>
          </cell>
          <cell r="AD7585">
            <v>36.144897460000003</v>
          </cell>
        </row>
        <row r="7586">
          <cell r="L7586" t="str">
            <v>باير نايف</v>
          </cell>
          <cell r="M7586" t="str">
            <v>C8369</v>
          </cell>
          <cell r="AC7586">
            <v>38.208923339999998</v>
          </cell>
          <cell r="AD7586">
            <v>36.180725099999997</v>
          </cell>
        </row>
        <row r="7587">
          <cell r="L7587" t="str">
            <v>العبادية</v>
          </cell>
          <cell r="M7587" t="str">
            <v>C8370</v>
          </cell>
          <cell r="AC7587">
            <v>38.996704100000002</v>
          </cell>
          <cell r="AD7587">
            <v>36.335083009999998</v>
          </cell>
        </row>
        <row r="7588">
          <cell r="L7588" t="str">
            <v>سعيدة</v>
          </cell>
          <cell r="M7588" t="str">
            <v>C8372</v>
          </cell>
          <cell r="AC7588">
            <v>38.866699220000001</v>
          </cell>
          <cell r="AD7588">
            <v>36.516723630000001</v>
          </cell>
        </row>
        <row r="7589">
          <cell r="L7589" t="str">
            <v>قبة صالحية</v>
          </cell>
          <cell r="M7589" t="str">
            <v>C8373</v>
          </cell>
          <cell r="AC7589">
            <v>38.968872070000003</v>
          </cell>
          <cell r="AD7589">
            <v>36.5625</v>
          </cell>
        </row>
        <row r="7590">
          <cell r="L7590" t="str">
            <v>خارجة</v>
          </cell>
          <cell r="M7590" t="str">
            <v>C8374</v>
          </cell>
          <cell r="AC7590">
            <v>41.40509033</v>
          </cell>
          <cell r="AD7590">
            <v>36.939880369999997</v>
          </cell>
        </row>
        <row r="7591">
          <cell r="L7591" t="str">
            <v>شيخ كيني</v>
          </cell>
          <cell r="M7591" t="str">
            <v>C8375</v>
          </cell>
          <cell r="AC7591">
            <v>40.790283199999998</v>
          </cell>
          <cell r="AD7591">
            <v>37.001892089999998</v>
          </cell>
        </row>
        <row r="7592">
          <cell r="L7592" t="str">
            <v>نعمة</v>
          </cell>
          <cell r="M7592" t="str">
            <v>C8376</v>
          </cell>
          <cell r="AC7592">
            <v>41.344482419999999</v>
          </cell>
          <cell r="AD7592">
            <v>37.03607178</v>
          </cell>
        </row>
        <row r="7593">
          <cell r="L7593" t="str">
            <v>قارين</v>
          </cell>
          <cell r="M7593" t="str">
            <v>C8378</v>
          </cell>
          <cell r="AC7593">
            <v>40.89727783</v>
          </cell>
          <cell r="AD7593">
            <v>37.12731934</v>
          </cell>
        </row>
        <row r="7594">
          <cell r="L7594" t="str">
            <v>دمشق</v>
          </cell>
          <cell r="M7594" t="str">
            <v>C1001</v>
          </cell>
          <cell r="AC7594">
            <v>36.286682130000003</v>
          </cell>
          <cell r="AD7594">
            <v>33.464477539999997</v>
          </cell>
        </row>
        <row r="7595">
          <cell r="L7595" t="str">
            <v>دمشق</v>
          </cell>
          <cell r="M7595" t="str">
            <v>C1001</v>
          </cell>
          <cell r="AC7595">
            <v>36.29412842</v>
          </cell>
          <cell r="AD7595">
            <v>33.465515140000001</v>
          </cell>
        </row>
        <row r="7596">
          <cell r="L7596" t="str">
            <v>دمشق</v>
          </cell>
          <cell r="M7596" t="str">
            <v>C1001</v>
          </cell>
          <cell r="AC7596">
            <v>36.281677250000001</v>
          </cell>
          <cell r="AD7596">
            <v>33.467102050000001</v>
          </cell>
        </row>
        <row r="7597">
          <cell r="L7597" t="str">
            <v>دمشق</v>
          </cell>
          <cell r="M7597" t="str">
            <v>C1001</v>
          </cell>
          <cell r="AC7597">
            <v>36.284301759999998</v>
          </cell>
          <cell r="AD7597">
            <v>33.474487310000001</v>
          </cell>
        </row>
        <row r="7598">
          <cell r="L7598" t="str">
            <v>دمشق</v>
          </cell>
          <cell r="M7598" t="str">
            <v>C1001</v>
          </cell>
          <cell r="AC7598">
            <v>36.293518069999998</v>
          </cell>
          <cell r="AD7598">
            <v>33.474487310000001</v>
          </cell>
        </row>
        <row r="7599">
          <cell r="L7599" t="str">
            <v>دمشق</v>
          </cell>
          <cell r="M7599" t="str">
            <v>C1001</v>
          </cell>
          <cell r="AC7599">
            <v>36.311889649999998</v>
          </cell>
          <cell r="AD7599">
            <v>33.47747803</v>
          </cell>
        </row>
        <row r="7600">
          <cell r="L7600" t="str">
            <v>دمشق</v>
          </cell>
          <cell r="M7600" t="str">
            <v>C1001</v>
          </cell>
          <cell r="AC7600">
            <v>36.286926270000002</v>
          </cell>
          <cell r="AD7600">
            <v>33.47888184</v>
          </cell>
        </row>
        <row r="7601">
          <cell r="L7601" t="str">
            <v>دمشق</v>
          </cell>
          <cell r="M7601" t="str">
            <v>C1001</v>
          </cell>
          <cell r="AC7601">
            <v>36.26287842</v>
          </cell>
          <cell r="AD7601">
            <v>33.480285649999999</v>
          </cell>
        </row>
        <row r="7602">
          <cell r="L7602" t="str">
            <v>دمشق</v>
          </cell>
          <cell r="M7602" t="str">
            <v>C1001</v>
          </cell>
          <cell r="AC7602">
            <v>36.29571533</v>
          </cell>
          <cell r="AD7602">
            <v>33.482482910000002</v>
          </cell>
        </row>
        <row r="7603">
          <cell r="L7603" t="str">
            <v>دمشق</v>
          </cell>
          <cell r="M7603" t="str">
            <v>C1001</v>
          </cell>
          <cell r="AC7603">
            <v>36.21508789</v>
          </cell>
          <cell r="AD7603">
            <v>33.483886720000001</v>
          </cell>
        </row>
        <row r="7604">
          <cell r="L7604" t="str">
            <v>دمشق</v>
          </cell>
          <cell r="M7604" t="str">
            <v>C1001</v>
          </cell>
          <cell r="AC7604">
            <v>36.27893066</v>
          </cell>
          <cell r="AD7604">
            <v>33.484313970000002</v>
          </cell>
        </row>
        <row r="7605">
          <cell r="L7605" t="str">
            <v>دمشق</v>
          </cell>
          <cell r="M7605" t="str">
            <v>C1001</v>
          </cell>
          <cell r="AC7605">
            <v>36.233520509999998</v>
          </cell>
          <cell r="AD7605">
            <v>33.484680179999998</v>
          </cell>
        </row>
        <row r="7606">
          <cell r="L7606" t="str">
            <v>دمشق</v>
          </cell>
          <cell r="M7606" t="str">
            <v>C1001</v>
          </cell>
          <cell r="AC7606">
            <v>36.288085940000002</v>
          </cell>
          <cell r="AD7606">
            <v>33.485107419999999</v>
          </cell>
        </row>
        <row r="7607">
          <cell r="L7607" t="str">
            <v>دمشق</v>
          </cell>
          <cell r="M7607" t="str">
            <v>C1001</v>
          </cell>
          <cell r="AC7607">
            <v>36.29711914</v>
          </cell>
          <cell r="AD7607">
            <v>33.486083979999997</v>
          </cell>
        </row>
        <row r="7608">
          <cell r="L7608" t="str">
            <v>دمشق</v>
          </cell>
          <cell r="M7608" t="str">
            <v>C1001</v>
          </cell>
          <cell r="AC7608">
            <v>36.31549072</v>
          </cell>
          <cell r="AD7608">
            <v>33.487670899999998</v>
          </cell>
        </row>
        <row r="7609">
          <cell r="L7609" t="str">
            <v>دمشق</v>
          </cell>
          <cell r="M7609" t="str">
            <v>C1001</v>
          </cell>
          <cell r="AC7609">
            <v>36.29272461</v>
          </cell>
          <cell r="AD7609">
            <v>33.48828125</v>
          </cell>
        </row>
        <row r="7610">
          <cell r="L7610" t="str">
            <v>دمشق</v>
          </cell>
          <cell r="M7610" t="str">
            <v>C1001</v>
          </cell>
          <cell r="AC7610">
            <v>36.298706060000001</v>
          </cell>
          <cell r="AD7610">
            <v>33.490112310000001</v>
          </cell>
        </row>
        <row r="7611">
          <cell r="L7611" t="str">
            <v>دمشق</v>
          </cell>
          <cell r="M7611" t="str">
            <v>C1001</v>
          </cell>
          <cell r="AC7611">
            <v>36.30310059</v>
          </cell>
          <cell r="AD7611">
            <v>33.490722660000003</v>
          </cell>
        </row>
        <row r="7612">
          <cell r="L7612" t="str">
            <v>دمشق</v>
          </cell>
          <cell r="M7612" t="str">
            <v>C1001</v>
          </cell>
          <cell r="AC7612">
            <v>36.308105470000001</v>
          </cell>
          <cell r="AD7612">
            <v>33.494689940000001</v>
          </cell>
        </row>
        <row r="7613">
          <cell r="L7613" t="str">
            <v>دمشق</v>
          </cell>
          <cell r="M7613" t="str">
            <v>C1001</v>
          </cell>
          <cell r="AC7613">
            <v>36.296081540000003</v>
          </cell>
          <cell r="AD7613">
            <v>33.495910649999999</v>
          </cell>
        </row>
        <row r="7614">
          <cell r="L7614" t="str">
            <v>دمشق</v>
          </cell>
          <cell r="M7614" t="str">
            <v>C1001</v>
          </cell>
          <cell r="AC7614">
            <v>36.283508300000001</v>
          </cell>
          <cell r="AD7614">
            <v>33.49609375</v>
          </cell>
        </row>
        <row r="7615">
          <cell r="L7615" t="str">
            <v>دمشق</v>
          </cell>
          <cell r="M7615" t="str">
            <v>C1001</v>
          </cell>
          <cell r="AC7615">
            <v>36.234680179999998</v>
          </cell>
          <cell r="AD7615">
            <v>33.496704100000002</v>
          </cell>
        </row>
        <row r="7616">
          <cell r="L7616" t="str">
            <v>دمشق</v>
          </cell>
          <cell r="M7616" t="str">
            <v>C1001</v>
          </cell>
          <cell r="AC7616">
            <v>36.315673830000001</v>
          </cell>
          <cell r="AD7616">
            <v>33.496704100000002</v>
          </cell>
        </row>
        <row r="7617">
          <cell r="L7617" t="str">
            <v>دمشق</v>
          </cell>
          <cell r="M7617" t="str">
            <v>C1001</v>
          </cell>
          <cell r="AC7617">
            <v>36.324523929999998</v>
          </cell>
          <cell r="AD7617">
            <v>33.496887209999997</v>
          </cell>
        </row>
        <row r="7618">
          <cell r="L7618" t="str">
            <v>دمشق</v>
          </cell>
          <cell r="M7618" t="str">
            <v>C1001</v>
          </cell>
          <cell r="AC7618">
            <v>36.255676270000002</v>
          </cell>
          <cell r="AD7618">
            <v>33.497070309999998</v>
          </cell>
        </row>
        <row r="7619">
          <cell r="L7619" t="str">
            <v>دمشق</v>
          </cell>
          <cell r="M7619" t="str">
            <v>C1001</v>
          </cell>
          <cell r="AC7619">
            <v>36.264282229999999</v>
          </cell>
          <cell r="AD7619">
            <v>33.497497559999999</v>
          </cell>
        </row>
        <row r="7620">
          <cell r="L7620" t="str">
            <v>دمشق</v>
          </cell>
          <cell r="M7620" t="str">
            <v>C1001</v>
          </cell>
          <cell r="AC7620">
            <v>36.249877929999997</v>
          </cell>
          <cell r="AD7620">
            <v>33.499328609999999</v>
          </cell>
        </row>
        <row r="7621">
          <cell r="L7621" t="str">
            <v>دمشق</v>
          </cell>
          <cell r="M7621" t="str">
            <v>C1001</v>
          </cell>
          <cell r="AC7621">
            <v>36.27893066</v>
          </cell>
          <cell r="AD7621">
            <v>33.499694820000002</v>
          </cell>
        </row>
        <row r="7622">
          <cell r="L7622" t="str">
            <v>دمشق</v>
          </cell>
          <cell r="M7622" t="str">
            <v>C1001</v>
          </cell>
          <cell r="AC7622">
            <v>36.298706060000001</v>
          </cell>
          <cell r="AD7622">
            <v>33.500122070000003</v>
          </cell>
        </row>
        <row r="7623">
          <cell r="L7623" t="str">
            <v>دمشق</v>
          </cell>
          <cell r="M7623" t="str">
            <v>C1001</v>
          </cell>
          <cell r="AC7623">
            <v>36.32928467</v>
          </cell>
          <cell r="AD7623">
            <v>33.501098630000001</v>
          </cell>
        </row>
        <row r="7624">
          <cell r="L7624" t="str">
            <v>دمشق</v>
          </cell>
          <cell r="M7624" t="str">
            <v>C1001</v>
          </cell>
          <cell r="AC7624">
            <v>36.311096190000001</v>
          </cell>
          <cell r="AD7624">
            <v>33.501892089999998</v>
          </cell>
        </row>
        <row r="7625">
          <cell r="L7625" t="str">
            <v>دمشق</v>
          </cell>
          <cell r="M7625" t="str">
            <v>C1001</v>
          </cell>
          <cell r="AC7625">
            <v>36.300476070000002</v>
          </cell>
          <cell r="AD7625">
            <v>33.5020752</v>
          </cell>
        </row>
        <row r="7626">
          <cell r="L7626" t="str">
            <v>دمشق</v>
          </cell>
          <cell r="M7626" t="str">
            <v>C1001</v>
          </cell>
          <cell r="AC7626">
            <v>36.297485350000002</v>
          </cell>
          <cell r="AD7626">
            <v>33.502929690000002</v>
          </cell>
        </row>
        <row r="7627">
          <cell r="L7627" t="str">
            <v>دمشق</v>
          </cell>
          <cell r="M7627" t="str">
            <v>C1001</v>
          </cell>
          <cell r="AC7627">
            <v>36.24908447</v>
          </cell>
          <cell r="AD7627">
            <v>33.502929690000002</v>
          </cell>
        </row>
        <row r="7628">
          <cell r="L7628" t="str">
            <v>دمشق</v>
          </cell>
          <cell r="M7628" t="str">
            <v>C1001</v>
          </cell>
          <cell r="AC7628">
            <v>36.307312009999997</v>
          </cell>
          <cell r="AD7628">
            <v>33.503295899999998</v>
          </cell>
        </row>
        <row r="7629">
          <cell r="L7629" t="str">
            <v>دمشق</v>
          </cell>
          <cell r="M7629" t="str">
            <v>C1001</v>
          </cell>
          <cell r="AC7629">
            <v>36.29412842</v>
          </cell>
          <cell r="AD7629">
            <v>33.504272460000003</v>
          </cell>
        </row>
        <row r="7630">
          <cell r="L7630" t="str">
            <v>دمشق</v>
          </cell>
          <cell r="M7630" t="str">
            <v>C1001</v>
          </cell>
          <cell r="AC7630">
            <v>36.323486330000001</v>
          </cell>
          <cell r="AD7630">
            <v>33.505126949999998</v>
          </cell>
        </row>
        <row r="7631">
          <cell r="L7631" t="str">
            <v>دمشق</v>
          </cell>
          <cell r="M7631" t="str">
            <v>C1001</v>
          </cell>
          <cell r="AC7631">
            <v>36.301513669999999</v>
          </cell>
          <cell r="AD7631">
            <v>33.50549316</v>
          </cell>
        </row>
        <row r="7632">
          <cell r="L7632" t="str">
            <v>دمشق</v>
          </cell>
          <cell r="M7632" t="str">
            <v>C1001</v>
          </cell>
          <cell r="AC7632">
            <v>36.297912599999997</v>
          </cell>
          <cell r="AD7632">
            <v>33.50549316</v>
          </cell>
        </row>
        <row r="7633">
          <cell r="L7633" t="str">
            <v>دمشق</v>
          </cell>
          <cell r="M7633" t="str">
            <v>C1001</v>
          </cell>
          <cell r="AC7633">
            <v>36.286926270000002</v>
          </cell>
          <cell r="AD7633">
            <v>33.505676270000002</v>
          </cell>
        </row>
        <row r="7634">
          <cell r="L7634" t="str">
            <v>دمشق</v>
          </cell>
          <cell r="M7634" t="str">
            <v>C1001</v>
          </cell>
          <cell r="AC7634">
            <v>36.313293459999997</v>
          </cell>
          <cell r="AD7634">
            <v>33.507080080000001</v>
          </cell>
        </row>
        <row r="7635">
          <cell r="L7635" t="str">
            <v>دمشق</v>
          </cell>
          <cell r="M7635" t="str">
            <v>C1001</v>
          </cell>
          <cell r="AC7635">
            <v>36.260314940000001</v>
          </cell>
          <cell r="AD7635">
            <v>33.507080080000001</v>
          </cell>
        </row>
        <row r="7636">
          <cell r="L7636" t="str">
            <v>دمشق</v>
          </cell>
          <cell r="M7636" t="str">
            <v>C1001</v>
          </cell>
          <cell r="AC7636">
            <v>36.308715820000003</v>
          </cell>
          <cell r="AD7636">
            <v>33.507080080000001</v>
          </cell>
        </row>
        <row r="7637">
          <cell r="L7637" t="str">
            <v>دمشق</v>
          </cell>
          <cell r="M7637" t="str">
            <v>C1001</v>
          </cell>
          <cell r="AC7637">
            <v>36.304504399999999</v>
          </cell>
          <cell r="AD7637">
            <v>33.507324220000001</v>
          </cell>
        </row>
        <row r="7638">
          <cell r="L7638" t="str">
            <v>دمشق</v>
          </cell>
          <cell r="M7638" t="str">
            <v>C1001</v>
          </cell>
          <cell r="AC7638">
            <v>36.242675779999999</v>
          </cell>
          <cell r="AD7638">
            <v>33.508483890000001</v>
          </cell>
        </row>
        <row r="7639">
          <cell r="L7639" t="str">
            <v>دمشق</v>
          </cell>
          <cell r="M7639" t="str">
            <v>C1001</v>
          </cell>
          <cell r="AC7639">
            <v>36.298522949999999</v>
          </cell>
          <cell r="AD7639">
            <v>33.508911130000001</v>
          </cell>
        </row>
        <row r="7640">
          <cell r="L7640" t="str">
            <v>دمشق</v>
          </cell>
          <cell r="M7640" t="str">
            <v>C1001</v>
          </cell>
          <cell r="AC7640">
            <v>36.327514649999998</v>
          </cell>
          <cell r="AD7640">
            <v>33.509704589999998</v>
          </cell>
        </row>
        <row r="7641">
          <cell r="L7641" t="str">
            <v>دمشق</v>
          </cell>
          <cell r="M7641" t="str">
            <v>C1001</v>
          </cell>
          <cell r="AC7641">
            <v>36.303710940000002</v>
          </cell>
          <cell r="AD7641">
            <v>33.509704589999998</v>
          </cell>
        </row>
        <row r="7642">
          <cell r="L7642" t="str">
            <v>دمشق</v>
          </cell>
          <cell r="M7642" t="str">
            <v>C1001</v>
          </cell>
          <cell r="AC7642">
            <v>36.315307619999999</v>
          </cell>
          <cell r="AD7642">
            <v>33.510498050000002</v>
          </cell>
        </row>
        <row r="7643">
          <cell r="L7643" t="str">
            <v>دمشق</v>
          </cell>
          <cell r="M7643" t="str">
            <v>C1001</v>
          </cell>
          <cell r="AC7643">
            <v>36.30950928</v>
          </cell>
          <cell r="AD7643">
            <v>33.510681150000003</v>
          </cell>
        </row>
        <row r="7644">
          <cell r="L7644" t="str">
            <v>دمشق</v>
          </cell>
          <cell r="M7644" t="str">
            <v>C1001</v>
          </cell>
          <cell r="AC7644">
            <v>36.269714360000002</v>
          </cell>
          <cell r="AD7644">
            <v>33.510681150000003</v>
          </cell>
        </row>
        <row r="7645">
          <cell r="L7645" t="str">
            <v>دمشق</v>
          </cell>
          <cell r="M7645" t="str">
            <v>C1001</v>
          </cell>
          <cell r="AC7645">
            <v>36.288879399999999</v>
          </cell>
          <cell r="AD7645">
            <v>33.511291499999999</v>
          </cell>
        </row>
        <row r="7646">
          <cell r="L7646" t="str">
            <v>دمشق</v>
          </cell>
          <cell r="M7646" t="str">
            <v>C1001</v>
          </cell>
          <cell r="AC7646">
            <v>36.304321289999997</v>
          </cell>
          <cell r="AD7646">
            <v>33.51147461</v>
          </cell>
        </row>
        <row r="7647">
          <cell r="L7647" t="str">
            <v>دمشق</v>
          </cell>
          <cell r="M7647" t="str">
            <v>C1001</v>
          </cell>
          <cell r="AC7647">
            <v>36.231506349999997</v>
          </cell>
          <cell r="AD7647">
            <v>33.51287842</v>
          </cell>
        </row>
        <row r="7648">
          <cell r="L7648" t="str">
            <v>دمشق</v>
          </cell>
          <cell r="M7648" t="str">
            <v>C1001</v>
          </cell>
          <cell r="AC7648">
            <v>36.30767822</v>
          </cell>
          <cell r="AD7648">
            <v>33.51287842</v>
          </cell>
        </row>
        <row r="7649">
          <cell r="L7649" t="str">
            <v>دمشق</v>
          </cell>
          <cell r="M7649" t="str">
            <v>C1001</v>
          </cell>
          <cell r="AC7649">
            <v>36.313110350000002</v>
          </cell>
          <cell r="AD7649">
            <v>33.513671879999997</v>
          </cell>
        </row>
        <row r="7650">
          <cell r="L7650" t="str">
            <v>دمشق</v>
          </cell>
          <cell r="M7650" t="str">
            <v>C1001</v>
          </cell>
          <cell r="AC7650">
            <v>36.305908199999998</v>
          </cell>
          <cell r="AD7650">
            <v>33.513916020000003</v>
          </cell>
        </row>
        <row r="7651">
          <cell r="L7651" t="str">
            <v>دمشق</v>
          </cell>
          <cell r="M7651" t="str">
            <v>C1001</v>
          </cell>
          <cell r="AC7651">
            <v>36.296875</v>
          </cell>
          <cell r="AD7651">
            <v>33.516479490000002</v>
          </cell>
        </row>
        <row r="7652">
          <cell r="L7652" t="str">
            <v>دمشق</v>
          </cell>
          <cell r="M7652" t="str">
            <v>C1001</v>
          </cell>
          <cell r="AC7652">
            <v>36.30352783</v>
          </cell>
          <cell r="AD7652">
            <v>33.516479490000002</v>
          </cell>
        </row>
        <row r="7653">
          <cell r="L7653" t="str">
            <v>دمشق</v>
          </cell>
          <cell r="M7653" t="str">
            <v>C1001</v>
          </cell>
          <cell r="AC7653">
            <v>36.310729979999998</v>
          </cell>
          <cell r="AD7653">
            <v>33.516479490000002</v>
          </cell>
        </row>
        <row r="7654">
          <cell r="L7654" t="str">
            <v>دمشق</v>
          </cell>
          <cell r="M7654" t="str">
            <v>C1001</v>
          </cell>
          <cell r="AC7654">
            <v>36.289489750000001</v>
          </cell>
          <cell r="AD7654">
            <v>33.517272949999999</v>
          </cell>
        </row>
        <row r="7655">
          <cell r="L7655" t="str">
            <v>دمشق</v>
          </cell>
          <cell r="M7655" t="str">
            <v>C1001</v>
          </cell>
          <cell r="AC7655">
            <v>36.271301270000002</v>
          </cell>
          <cell r="AD7655">
            <v>33.518310550000002</v>
          </cell>
        </row>
        <row r="7656">
          <cell r="L7656" t="str">
            <v>دمشق</v>
          </cell>
          <cell r="M7656" t="str">
            <v>C1001</v>
          </cell>
          <cell r="AC7656">
            <v>36.282470699999998</v>
          </cell>
          <cell r="AD7656">
            <v>33.518493650000003</v>
          </cell>
        </row>
        <row r="7657">
          <cell r="L7657" t="str">
            <v>دمشق</v>
          </cell>
          <cell r="M7657" t="str">
            <v>C1001</v>
          </cell>
          <cell r="AC7657">
            <v>36.316711429999998</v>
          </cell>
          <cell r="AD7657">
            <v>33.518676759999998</v>
          </cell>
        </row>
        <row r="7658">
          <cell r="L7658" t="str">
            <v>دمشق</v>
          </cell>
          <cell r="M7658" t="str">
            <v>C1001</v>
          </cell>
          <cell r="AC7658">
            <v>36.292480470000001</v>
          </cell>
          <cell r="AD7658">
            <v>33.521301270000002</v>
          </cell>
        </row>
        <row r="7659">
          <cell r="L7659" t="str">
            <v>دمشق</v>
          </cell>
          <cell r="M7659" t="str">
            <v>C1001</v>
          </cell>
          <cell r="AC7659">
            <v>36.323486330000001</v>
          </cell>
          <cell r="AD7659">
            <v>33.521911619999997</v>
          </cell>
        </row>
        <row r="7660">
          <cell r="L7660" t="str">
            <v>دمشق</v>
          </cell>
          <cell r="M7660" t="str">
            <v>C1001</v>
          </cell>
          <cell r="AC7660">
            <v>36.28631592</v>
          </cell>
          <cell r="AD7660">
            <v>33.522094729999999</v>
          </cell>
        </row>
        <row r="7661">
          <cell r="L7661" t="str">
            <v>دمشق</v>
          </cell>
          <cell r="M7661" t="str">
            <v>C1001</v>
          </cell>
          <cell r="AC7661">
            <v>36.33087158</v>
          </cell>
          <cell r="AD7661">
            <v>33.522705080000001</v>
          </cell>
        </row>
        <row r="7662">
          <cell r="L7662" t="str">
            <v>دمشق</v>
          </cell>
          <cell r="M7662" t="str">
            <v>C1001</v>
          </cell>
          <cell r="AC7662">
            <v>36.306091309999999</v>
          </cell>
          <cell r="AD7662">
            <v>33.523071289999997</v>
          </cell>
        </row>
        <row r="7663">
          <cell r="L7663" t="str">
            <v>دمشق</v>
          </cell>
          <cell r="M7663" t="str">
            <v>C1001</v>
          </cell>
          <cell r="AC7663">
            <v>36.296875</v>
          </cell>
          <cell r="AD7663">
            <v>33.524108890000001</v>
          </cell>
        </row>
        <row r="7664">
          <cell r="L7664" t="str">
            <v>دمشق</v>
          </cell>
          <cell r="M7664" t="str">
            <v>C1001</v>
          </cell>
          <cell r="AC7664">
            <v>36.266906740000003</v>
          </cell>
          <cell r="AD7664">
            <v>33.524902339999997</v>
          </cell>
        </row>
        <row r="7665">
          <cell r="L7665" t="str">
            <v>دمشق</v>
          </cell>
          <cell r="M7665" t="str">
            <v>C1001</v>
          </cell>
          <cell r="AC7665">
            <v>36.314270020000002</v>
          </cell>
          <cell r="AD7665">
            <v>33.525085449999999</v>
          </cell>
        </row>
        <row r="7666">
          <cell r="L7666" t="str">
            <v>دمشق</v>
          </cell>
          <cell r="M7666" t="str">
            <v>C1001</v>
          </cell>
          <cell r="AC7666">
            <v>36.341491699999999</v>
          </cell>
          <cell r="AD7666">
            <v>33.525085449999999</v>
          </cell>
        </row>
        <row r="7667">
          <cell r="L7667" t="str">
            <v>دمشق</v>
          </cell>
          <cell r="M7667" t="str">
            <v>C1001</v>
          </cell>
          <cell r="AC7667">
            <v>36.219116210000003</v>
          </cell>
          <cell r="AD7667">
            <v>33.525085449999999</v>
          </cell>
        </row>
        <row r="7668">
          <cell r="L7668" t="str">
            <v>دمشق</v>
          </cell>
          <cell r="M7668" t="str">
            <v>C1001</v>
          </cell>
          <cell r="AC7668">
            <v>36.275878910000003</v>
          </cell>
          <cell r="AD7668">
            <v>33.525878910000003</v>
          </cell>
        </row>
        <row r="7669">
          <cell r="L7669" t="str">
            <v>دمشق</v>
          </cell>
          <cell r="M7669" t="str">
            <v>C1001</v>
          </cell>
          <cell r="AC7669">
            <v>36.279113770000002</v>
          </cell>
          <cell r="AD7669">
            <v>33.527526860000002</v>
          </cell>
        </row>
        <row r="7670">
          <cell r="L7670" t="str">
            <v>دمشق</v>
          </cell>
          <cell r="M7670" t="str">
            <v>C1001</v>
          </cell>
          <cell r="AC7670">
            <v>36.284484859999999</v>
          </cell>
          <cell r="AD7670">
            <v>33.527526860000002</v>
          </cell>
        </row>
        <row r="7671">
          <cell r="L7671" t="str">
            <v>دمشق</v>
          </cell>
          <cell r="M7671" t="str">
            <v>C1001</v>
          </cell>
          <cell r="AC7671">
            <v>36.210083009999998</v>
          </cell>
          <cell r="AD7671">
            <v>33.528076169999999</v>
          </cell>
        </row>
        <row r="7672">
          <cell r="L7672" t="str">
            <v>دمشق</v>
          </cell>
          <cell r="M7672" t="str">
            <v>C1001</v>
          </cell>
          <cell r="AC7672">
            <v>36.288513180000002</v>
          </cell>
          <cell r="AD7672">
            <v>33.528686520000001</v>
          </cell>
        </row>
        <row r="7673">
          <cell r="L7673" t="str">
            <v>دمشق</v>
          </cell>
          <cell r="M7673" t="str">
            <v>C1001</v>
          </cell>
          <cell r="AC7673">
            <v>36.320922850000002</v>
          </cell>
          <cell r="AD7673">
            <v>33.530273440000002</v>
          </cell>
        </row>
        <row r="7674">
          <cell r="L7674" t="str">
            <v>دمشق</v>
          </cell>
          <cell r="M7674" t="str">
            <v>C1001</v>
          </cell>
          <cell r="AC7674">
            <v>36.291320800000001</v>
          </cell>
          <cell r="AD7674">
            <v>33.531127929999997</v>
          </cell>
        </row>
        <row r="7675">
          <cell r="L7675" t="str">
            <v>دمشق</v>
          </cell>
          <cell r="M7675" t="str">
            <v>C1001</v>
          </cell>
          <cell r="AC7675">
            <v>36.299926759999998</v>
          </cell>
          <cell r="AD7675">
            <v>33.532287599999997</v>
          </cell>
        </row>
        <row r="7676">
          <cell r="L7676" t="str">
            <v>دمشق</v>
          </cell>
          <cell r="M7676" t="str">
            <v>C1001</v>
          </cell>
          <cell r="AC7676">
            <v>36.313476559999998</v>
          </cell>
          <cell r="AD7676">
            <v>33.53607178</v>
          </cell>
        </row>
        <row r="7677">
          <cell r="L7677" t="str">
            <v>دمشق</v>
          </cell>
          <cell r="M7677" t="str">
            <v>C1001</v>
          </cell>
          <cell r="AC7677">
            <v>36.284484859999999</v>
          </cell>
          <cell r="AD7677">
            <v>33.537109379999997</v>
          </cell>
        </row>
        <row r="7678">
          <cell r="L7678" t="str">
            <v>دمشق</v>
          </cell>
          <cell r="M7678" t="str">
            <v>C1001</v>
          </cell>
          <cell r="AC7678">
            <v>36.301086429999998</v>
          </cell>
          <cell r="AD7678">
            <v>33.538513180000002</v>
          </cell>
        </row>
        <row r="7679">
          <cell r="L7679" t="str">
            <v>دمشق</v>
          </cell>
          <cell r="M7679" t="str">
            <v>C1001</v>
          </cell>
          <cell r="AC7679">
            <v>36.226501470000002</v>
          </cell>
          <cell r="AD7679">
            <v>33.538879399999999</v>
          </cell>
        </row>
        <row r="7680">
          <cell r="L7680" t="str">
            <v>دمشق</v>
          </cell>
          <cell r="M7680" t="str">
            <v>C1001</v>
          </cell>
          <cell r="AC7680">
            <v>36.339111330000001</v>
          </cell>
          <cell r="AD7680">
            <v>33.539123539999999</v>
          </cell>
        </row>
        <row r="7681">
          <cell r="L7681" t="str">
            <v>دمشق</v>
          </cell>
          <cell r="M7681" t="str">
            <v>C1001</v>
          </cell>
          <cell r="AC7681">
            <v>36.26470947</v>
          </cell>
          <cell r="AD7681">
            <v>33.541076660000002</v>
          </cell>
        </row>
        <row r="7682">
          <cell r="L7682" t="str">
            <v>دمشق</v>
          </cell>
          <cell r="M7682" t="str">
            <v>C1001</v>
          </cell>
          <cell r="AC7682">
            <v>36.292907720000002</v>
          </cell>
          <cell r="AD7682">
            <v>33.541503910000003</v>
          </cell>
        </row>
        <row r="7683">
          <cell r="L7683" t="str">
            <v>دمشق</v>
          </cell>
          <cell r="M7683" t="str">
            <v>C1001</v>
          </cell>
          <cell r="AC7683">
            <v>36.317687990000003</v>
          </cell>
          <cell r="AD7683">
            <v>33.544494630000003</v>
          </cell>
        </row>
        <row r="7684">
          <cell r="L7684" t="str">
            <v>دمشق</v>
          </cell>
          <cell r="M7684" t="str">
            <v>C1001</v>
          </cell>
          <cell r="AC7684">
            <v>36.340271000000001</v>
          </cell>
          <cell r="AD7684">
            <v>33.546081540000003</v>
          </cell>
        </row>
        <row r="7685">
          <cell r="L7685" t="str">
            <v>دمشق</v>
          </cell>
          <cell r="M7685" t="str">
            <v>C1001</v>
          </cell>
          <cell r="AC7685">
            <v>36.300109859999999</v>
          </cell>
          <cell r="AD7685">
            <v>33.546875</v>
          </cell>
        </row>
        <row r="7686">
          <cell r="L7686" t="str">
            <v>دمشق</v>
          </cell>
          <cell r="M7686" t="str">
            <v>C1001</v>
          </cell>
          <cell r="AC7686">
            <v>36.319091800000002</v>
          </cell>
          <cell r="AD7686">
            <v>33.549072270000003</v>
          </cell>
        </row>
        <row r="7687">
          <cell r="L7687" t="str">
            <v>دمشق</v>
          </cell>
          <cell r="M7687" t="str">
            <v>C1001</v>
          </cell>
          <cell r="AC7687">
            <v>36.337280270000001</v>
          </cell>
          <cell r="AD7687">
            <v>33.552490229999997</v>
          </cell>
        </row>
        <row r="7688">
          <cell r="L7688" t="str">
            <v>دمشق</v>
          </cell>
          <cell r="M7688" t="str">
            <v>C1001</v>
          </cell>
          <cell r="AC7688">
            <v>36.304077149999998</v>
          </cell>
          <cell r="AD7688">
            <v>33.556091309999999</v>
          </cell>
        </row>
        <row r="7689">
          <cell r="L7689" t="str">
            <v>دمشق</v>
          </cell>
          <cell r="M7689" t="str">
            <v>C1001</v>
          </cell>
          <cell r="AC7689">
            <v>36.320495610000002</v>
          </cell>
          <cell r="AD7689">
            <v>33.558471679999997</v>
          </cell>
        </row>
        <row r="7690">
          <cell r="L7690" t="str">
            <v>دمشق</v>
          </cell>
          <cell r="M7690" t="str">
            <v>C1001</v>
          </cell>
          <cell r="AC7690">
            <v>36.327270509999998</v>
          </cell>
          <cell r="AD7690">
            <v>33.563903809999999</v>
          </cell>
        </row>
        <row r="7691">
          <cell r="L7691" t="str">
            <v>اليرموك</v>
          </cell>
          <cell r="M7691" t="str">
            <v>C1002</v>
          </cell>
          <cell r="AC7691">
            <v>36.301330569999998</v>
          </cell>
          <cell r="AD7691">
            <v>33.470886229999998</v>
          </cell>
        </row>
        <row r="7692">
          <cell r="L7692" t="str">
            <v>اليرموك</v>
          </cell>
          <cell r="M7692" t="str">
            <v>C1002</v>
          </cell>
          <cell r="AC7692">
            <v>36.306701660000002</v>
          </cell>
          <cell r="AD7692">
            <v>33.471130369999997</v>
          </cell>
        </row>
        <row r="7693">
          <cell r="L7693" t="str">
            <v>اليرموك</v>
          </cell>
          <cell r="M7693" t="str">
            <v>C1002</v>
          </cell>
          <cell r="AC7693">
            <v>36.301513669999999</v>
          </cell>
          <cell r="AD7693">
            <v>33.47772217</v>
          </cell>
        </row>
        <row r="7694">
          <cell r="L7694" t="str">
            <v>حلب</v>
          </cell>
          <cell r="M7694" t="str">
            <v>C1007</v>
          </cell>
          <cell r="AC7694">
            <v>37.12890625</v>
          </cell>
          <cell r="AD7694">
            <v>36.156677250000001</v>
          </cell>
        </row>
        <row r="7695">
          <cell r="L7695" t="str">
            <v>حلب</v>
          </cell>
          <cell r="M7695" t="str">
            <v>C1007</v>
          </cell>
          <cell r="AC7695">
            <v>37.15393066</v>
          </cell>
          <cell r="AD7695">
            <v>36.164916990000002</v>
          </cell>
        </row>
        <row r="7696">
          <cell r="L7696" t="str">
            <v>حلب</v>
          </cell>
          <cell r="M7696" t="str">
            <v>C1007</v>
          </cell>
          <cell r="AC7696">
            <v>37.136291499999999</v>
          </cell>
          <cell r="AD7696">
            <v>36.167907720000002</v>
          </cell>
        </row>
        <row r="7697">
          <cell r="L7697" t="str">
            <v>حلب</v>
          </cell>
          <cell r="M7697" t="str">
            <v>C1007</v>
          </cell>
          <cell r="AC7697">
            <v>37.225280759999997</v>
          </cell>
          <cell r="AD7697">
            <v>36.167907720000002</v>
          </cell>
        </row>
        <row r="7698">
          <cell r="L7698" t="str">
            <v>حلب</v>
          </cell>
          <cell r="M7698" t="str">
            <v>C1007</v>
          </cell>
          <cell r="AC7698">
            <v>37.126281740000003</v>
          </cell>
          <cell r="AD7698">
            <v>36.17028809</v>
          </cell>
        </row>
        <row r="7699">
          <cell r="L7699" t="str">
            <v>حلب</v>
          </cell>
          <cell r="M7699" t="str">
            <v>C1007</v>
          </cell>
          <cell r="AC7699">
            <v>37.098693849999997</v>
          </cell>
          <cell r="AD7699">
            <v>36.172485350000002</v>
          </cell>
        </row>
        <row r="7700">
          <cell r="L7700" t="str">
            <v>حلب</v>
          </cell>
          <cell r="M7700" t="str">
            <v>C1007</v>
          </cell>
          <cell r="AC7700">
            <v>37.125488279999999</v>
          </cell>
          <cell r="AD7700">
            <v>36.175476070000002</v>
          </cell>
        </row>
        <row r="7701">
          <cell r="L7701" t="str">
            <v>حلب</v>
          </cell>
          <cell r="M7701" t="str">
            <v>C1007</v>
          </cell>
          <cell r="AC7701">
            <v>37.142089839999997</v>
          </cell>
          <cell r="AD7701">
            <v>36.175476070000002</v>
          </cell>
        </row>
        <row r="7702">
          <cell r="L7702" t="str">
            <v>حلب</v>
          </cell>
          <cell r="M7702" t="str">
            <v>C1007</v>
          </cell>
          <cell r="AC7702">
            <v>37.13372803</v>
          </cell>
          <cell r="AD7702">
            <v>36.17810059</v>
          </cell>
        </row>
        <row r="7703">
          <cell r="L7703" t="str">
            <v>حلب</v>
          </cell>
          <cell r="M7703" t="str">
            <v>C1007</v>
          </cell>
          <cell r="AC7703">
            <v>37.153686520000001</v>
          </cell>
          <cell r="AD7703">
            <v>36.17852783</v>
          </cell>
        </row>
        <row r="7704">
          <cell r="L7704" t="str">
            <v>حلب</v>
          </cell>
          <cell r="M7704" t="str">
            <v>C1007</v>
          </cell>
          <cell r="AC7704">
            <v>37.112915039999997</v>
          </cell>
          <cell r="AD7704">
            <v>36.180480959999997</v>
          </cell>
        </row>
        <row r="7705">
          <cell r="L7705" t="str">
            <v>حلب</v>
          </cell>
          <cell r="M7705" t="str">
            <v>C1007</v>
          </cell>
          <cell r="AC7705">
            <v>37.141296390000001</v>
          </cell>
          <cell r="AD7705">
            <v>36.180908199999998</v>
          </cell>
        </row>
        <row r="7706">
          <cell r="L7706" t="str">
            <v>حلب</v>
          </cell>
          <cell r="M7706" t="str">
            <v>C1007</v>
          </cell>
          <cell r="AC7706">
            <v>37.122924810000001</v>
          </cell>
          <cell r="AD7706">
            <v>36.181518560000001</v>
          </cell>
        </row>
        <row r="7707">
          <cell r="L7707" t="str">
            <v>حلب</v>
          </cell>
          <cell r="M7707" t="str">
            <v>C1007</v>
          </cell>
          <cell r="AC7707">
            <v>37.176086429999998</v>
          </cell>
          <cell r="AD7707">
            <v>36.181884770000003</v>
          </cell>
        </row>
        <row r="7708">
          <cell r="L7708" t="str">
            <v>حلب</v>
          </cell>
          <cell r="M7708" t="str">
            <v>C1007</v>
          </cell>
          <cell r="AC7708">
            <v>37.254699709999997</v>
          </cell>
          <cell r="AD7708">
            <v>36.183105470000001</v>
          </cell>
        </row>
        <row r="7709">
          <cell r="L7709" t="str">
            <v>حلب</v>
          </cell>
          <cell r="M7709" t="str">
            <v>C1007</v>
          </cell>
          <cell r="AC7709">
            <v>37.165100099999997</v>
          </cell>
          <cell r="AD7709">
            <v>36.183898929999998</v>
          </cell>
        </row>
        <row r="7710">
          <cell r="L7710" t="str">
            <v>حلب</v>
          </cell>
          <cell r="M7710" t="str">
            <v>C1007</v>
          </cell>
          <cell r="AC7710">
            <v>37.180725099999997</v>
          </cell>
          <cell r="AD7710">
            <v>36.186279300000002</v>
          </cell>
        </row>
        <row r="7711">
          <cell r="L7711" t="str">
            <v>حلب</v>
          </cell>
          <cell r="M7711" t="str">
            <v>C1007</v>
          </cell>
          <cell r="AC7711">
            <v>37.150878910000003</v>
          </cell>
          <cell r="AD7711">
            <v>36.187072749999999</v>
          </cell>
        </row>
        <row r="7712">
          <cell r="L7712" t="str">
            <v>حلب</v>
          </cell>
          <cell r="M7712" t="str">
            <v>C1007</v>
          </cell>
          <cell r="AC7712">
            <v>37.136291499999999</v>
          </cell>
          <cell r="AD7712">
            <v>36.1875</v>
          </cell>
        </row>
        <row r="7713">
          <cell r="L7713" t="str">
            <v>حلب</v>
          </cell>
          <cell r="M7713" t="str">
            <v>C1007</v>
          </cell>
          <cell r="AC7713">
            <v>37.156677250000001</v>
          </cell>
          <cell r="AD7713">
            <v>36.188293459999997</v>
          </cell>
        </row>
        <row r="7714">
          <cell r="L7714" t="str">
            <v>حلب</v>
          </cell>
          <cell r="M7714" t="str">
            <v>C1007</v>
          </cell>
          <cell r="AC7714">
            <v>37.246521000000001</v>
          </cell>
          <cell r="AD7714">
            <v>36.188720699999998</v>
          </cell>
        </row>
        <row r="7715">
          <cell r="L7715" t="str">
            <v>حلب</v>
          </cell>
          <cell r="M7715" t="str">
            <v>C1007</v>
          </cell>
          <cell r="AC7715">
            <v>37.172302250000001</v>
          </cell>
          <cell r="AD7715">
            <v>36.190673830000001</v>
          </cell>
        </row>
        <row r="7716">
          <cell r="L7716" t="str">
            <v>حلب</v>
          </cell>
          <cell r="M7716" t="str">
            <v>C1007</v>
          </cell>
          <cell r="AC7716">
            <v>37.143310550000002</v>
          </cell>
          <cell r="AD7716">
            <v>36.190673830000001</v>
          </cell>
        </row>
        <row r="7717">
          <cell r="L7717" t="str">
            <v>حلب</v>
          </cell>
          <cell r="M7717" t="str">
            <v>C1007</v>
          </cell>
          <cell r="AC7717">
            <v>37.1270752</v>
          </cell>
          <cell r="AD7717">
            <v>36.190673830000001</v>
          </cell>
        </row>
        <row r="7718">
          <cell r="L7718" t="str">
            <v>حلب</v>
          </cell>
          <cell r="M7718" t="str">
            <v>C1007</v>
          </cell>
          <cell r="AC7718">
            <v>37.118896479999997</v>
          </cell>
          <cell r="AD7718">
            <v>36.191711429999998</v>
          </cell>
        </row>
        <row r="7719">
          <cell r="L7719" t="str">
            <v>حلب</v>
          </cell>
          <cell r="M7719" t="str">
            <v>C1007</v>
          </cell>
          <cell r="AC7719">
            <v>37.16430664</v>
          </cell>
          <cell r="AD7719">
            <v>36.192687990000003</v>
          </cell>
        </row>
        <row r="7720">
          <cell r="L7720" t="str">
            <v>حلب</v>
          </cell>
          <cell r="M7720" t="str">
            <v>C1007</v>
          </cell>
          <cell r="AC7720">
            <v>37.153686520000001</v>
          </cell>
          <cell r="AD7720">
            <v>36.192687990000003</v>
          </cell>
        </row>
        <row r="7721">
          <cell r="L7721" t="str">
            <v>حلب</v>
          </cell>
          <cell r="M7721" t="str">
            <v>C1007</v>
          </cell>
          <cell r="AC7721">
            <v>37.160522460000003</v>
          </cell>
          <cell r="AD7721">
            <v>36.193908690000001</v>
          </cell>
        </row>
        <row r="7722">
          <cell r="L7722" t="str">
            <v>حلب</v>
          </cell>
          <cell r="M7722" t="str">
            <v>C1007</v>
          </cell>
          <cell r="AC7722">
            <v>37.158081060000001</v>
          </cell>
          <cell r="AD7722">
            <v>36.193908690000001</v>
          </cell>
        </row>
        <row r="7723">
          <cell r="L7723" t="str">
            <v>حلب</v>
          </cell>
          <cell r="M7723" t="str">
            <v>C1007</v>
          </cell>
          <cell r="AC7723">
            <v>37.149108890000001</v>
          </cell>
          <cell r="AD7723">
            <v>36.194091800000002</v>
          </cell>
        </row>
        <row r="7724">
          <cell r="L7724" t="str">
            <v>حلب</v>
          </cell>
          <cell r="M7724" t="str">
            <v>C1007</v>
          </cell>
          <cell r="AC7724">
            <v>37.180480959999997</v>
          </cell>
          <cell r="AD7724">
            <v>36.196105959999997</v>
          </cell>
        </row>
        <row r="7725">
          <cell r="L7725" t="str">
            <v>حلب</v>
          </cell>
          <cell r="M7725" t="str">
            <v>C1007</v>
          </cell>
          <cell r="AC7725">
            <v>37.131103520000003</v>
          </cell>
          <cell r="AD7725">
            <v>36.196105959999997</v>
          </cell>
        </row>
        <row r="7726">
          <cell r="L7726" t="str">
            <v>حلب</v>
          </cell>
          <cell r="M7726" t="str">
            <v>C1007</v>
          </cell>
          <cell r="AC7726">
            <v>37.188903809999999</v>
          </cell>
          <cell r="AD7726">
            <v>36.196105959999997</v>
          </cell>
        </row>
        <row r="7727">
          <cell r="L7727" t="str">
            <v>حلب</v>
          </cell>
          <cell r="M7727" t="str">
            <v>C1007</v>
          </cell>
          <cell r="AC7727">
            <v>37.139099119999997</v>
          </cell>
          <cell r="AD7727">
            <v>36.196105959999997</v>
          </cell>
        </row>
        <row r="7728">
          <cell r="L7728" t="str">
            <v>حلب</v>
          </cell>
          <cell r="M7728" t="str">
            <v>C1007</v>
          </cell>
          <cell r="AC7728">
            <v>37.166687009999997</v>
          </cell>
          <cell r="AD7728">
            <v>36.19647217</v>
          </cell>
        </row>
        <row r="7729">
          <cell r="L7729" t="str">
            <v>حلب</v>
          </cell>
          <cell r="M7729" t="str">
            <v>C1007</v>
          </cell>
          <cell r="AC7729">
            <v>37.173706060000001</v>
          </cell>
          <cell r="AD7729">
            <v>36.19647217</v>
          </cell>
        </row>
        <row r="7730">
          <cell r="L7730" t="str">
            <v>حلب</v>
          </cell>
          <cell r="M7730" t="str">
            <v>C1007</v>
          </cell>
          <cell r="AC7730">
            <v>37.163513180000002</v>
          </cell>
          <cell r="AD7730">
            <v>36.19647217</v>
          </cell>
        </row>
        <row r="7731">
          <cell r="L7731" t="str">
            <v>حلب</v>
          </cell>
          <cell r="M7731" t="str">
            <v>C1007</v>
          </cell>
          <cell r="AC7731">
            <v>37.154479979999998</v>
          </cell>
          <cell r="AD7731">
            <v>36.19647217</v>
          </cell>
        </row>
        <row r="7732">
          <cell r="L7732" t="str">
            <v>حلب</v>
          </cell>
          <cell r="M7732" t="str">
            <v>C1007</v>
          </cell>
          <cell r="AC7732">
            <v>37.169311520000001</v>
          </cell>
          <cell r="AD7732">
            <v>36.19689941</v>
          </cell>
        </row>
        <row r="7733">
          <cell r="L7733" t="str">
            <v>حلب</v>
          </cell>
          <cell r="M7733" t="str">
            <v>C1007</v>
          </cell>
          <cell r="AC7733">
            <v>37.199707029999999</v>
          </cell>
          <cell r="AD7733">
            <v>36.197509770000003</v>
          </cell>
        </row>
        <row r="7734">
          <cell r="L7734" t="str">
            <v>حلب</v>
          </cell>
          <cell r="M7734" t="str">
            <v>C1007</v>
          </cell>
          <cell r="AC7734">
            <v>37.166320800000001</v>
          </cell>
          <cell r="AD7734">
            <v>36.198120119999999</v>
          </cell>
        </row>
        <row r="7735">
          <cell r="L7735" t="str">
            <v>حلب</v>
          </cell>
          <cell r="M7735" t="str">
            <v>C1007</v>
          </cell>
          <cell r="AC7735">
            <v>37.160278320000003</v>
          </cell>
          <cell r="AD7735">
            <v>36.198730470000001</v>
          </cell>
        </row>
        <row r="7736">
          <cell r="L7736" t="str">
            <v>حلب</v>
          </cell>
          <cell r="M7736" t="str">
            <v>C1007</v>
          </cell>
          <cell r="AC7736">
            <v>37.093872070000003</v>
          </cell>
          <cell r="AD7736">
            <v>36.200317380000001</v>
          </cell>
        </row>
        <row r="7737">
          <cell r="L7737" t="str">
            <v>حلب</v>
          </cell>
          <cell r="M7737" t="str">
            <v>C1007</v>
          </cell>
          <cell r="AC7737">
            <v>37.21069336</v>
          </cell>
          <cell r="AD7737">
            <v>36.200500490000003</v>
          </cell>
        </row>
        <row r="7738">
          <cell r="L7738" t="str">
            <v>حلب</v>
          </cell>
          <cell r="M7738" t="str">
            <v>C1007</v>
          </cell>
          <cell r="AC7738">
            <v>37.143310550000002</v>
          </cell>
          <cell r="AD7738">
            <v>36.200500490000003</v>
          </cell>
        </row>
        <row r="7739">
          <cell r="L7739" t="str">
            <v>حلب</v>
          </cell>
          <cell r="M7739" t="str">
            <v>C1007</v>
          </cell>
          <cell r="AC7739">
            <v>37.112915039999997</v>
          </cell>
          <cell r="AD7739">
            <v>36.200927729999997</v>
          </cell>
        </row>
        <row r="7740">
          <cell r="L7740" t="str">
            <v>حلب</v>
          </cell>
          <cell r="M7740" t="str">
            <v>C1007</v>
          </cell>
          <cell r="AC7740">
            <v>37.171875</v>
          </cell>
          <cell r="AD7740">
            <v>36.20129395</v>
          </cell>
        </row>
        <row r="7741">
          <cell r="L7741" t="str">
            <v>حلب</v>
          </cell>
          <cell r="M7741" t="str">
            <v>C1007</v>
          </cell>
          <cell r="AC7741">
            <v>37.189514160000002</v>
          </cell>
          <cell r="AD7741">
            <v>36.201721190000001</v>
          </cell>
        </row>
        <row r="7742">
          <cell r="L7742" t="str">
            <v>حلب</v>
          </cell>
          <cell r="M7742" t="str">
            <v>C1007</v>
          </cell>
          <cell r="AC7742">
            <v>37.165527339999997</v>
          </cell>
          <cell r="AD7742">
            <v>36.201721190000001</v>
          </cell>
        </row>
        <row r="7743">
          <cell r="L7743" t="str">
            <v>حلب</v>
          </cell>
          <cell r="M7743" t="str">
            <v>C1007</v>
          </cell>
          <cell r="AC7743">
            <v>37.181884770000003</v>
          </cell>
          <cell r="AD7743">
            <v>36.201721190000001</v>
          </cell>
        </row>
        <row r="7744">
          <cell r="L7744" t="str">
            <v>حلب</v>
          </cell>
          <cell r="M7744" t="str">
            <v>C1007</v>
          </cell>
          <cell r="AC7744">
            <v>37.120727539999997</v>
          </cell>
          <cell r="AD7744">
            <v>36.201904300000002</v>
          </cell>
        </row>
        <row r="7745">
          <cell r="L7745" t="str">
            <v>حلب</v>
          </cell>
          <cell r="M7745" t="str">
            <v>C1007</v>
          </cell>
          <cell r="AC7745">
            <v>37.15209961</v>
          </cell>
          <cell r="AD7745">
            <v>36.202087400000003</v>
          </cell>
        </row>
        <row r="7746">
          <cell r="L7746" t="str">
            <v>حلب</v>
          </cell>
          <cell r="M7746" t="str">
            <v>C1007</v>
          </cell>
          <cell r="AC7746">
            <v>37.173889160000002</v>
          </cell>
          <cell r="AD7746">
            <v>36.202087400000003</v>
          </cell>
        </row>
        <row r="7747">
          <cell r="L7747" t="str">
            <v>حلب</v>
          </cell>
          <cell r="M7747" t="str">
            <v>C1007</v>
          </cell>
          <cell r="AC7747">
            <v>37.13787842</v>
          </cell>
          <cell r="AD7747">
            <v>36.202087400000003</v>
          </cell>
        </row>
        <row r="7748">
          <cell r="L7748" t="str">
            <v>حلب</v>
          </cell>
          <cell r="M7748" t="str">
            <v>C1007</v>
          </cell>
          <cell r="AC7748">
            <v>37.10571289</v>
          </cell>
          <cell r="AD7748">
            <v>36.202087400000003</v>
          </cell>
        </row>
        <row r="7749">
          <cell r="L7749" t="str">
            <v>حلب</v>
          </cell>
          <cell r="M7749" t="str">
            <v>C1007</v>
          </cell>
          <cell r="AC7749">
            <v>37.16912842</v>
          </cell>
          <cell r="AD7749">
            <v>36.202270509999998</v>
          </cell>
        </row>
        <row r="7750">
          <cell r="L7750" t="str">
            <v>حلب</v>
          </cell>
          <cell r="M7750" t="str">
            <v>C1007</v>
          </cell>
          <cell r="AC7750">
            <v>37.159484859999999</v>
          </cell>
          <cell r="AD7750">
            <v>36.202514649999998</v>
          </cell>
        </row>
        <row r="7751">
          <cell r="L7751" t="str">
            <v>حلب</v>
          </cell>
          <cell r="M7751" t="str">
            <v>C1007</v>
          </cell>
          <cell r="AC7751">
            <v>37.129882809999998</v>
          </cell>
          <cell r="AD7751">
            <v>36.204101559999998</v>
          </cell>
        </row>
        <row r="7752">
          <cell r="L7752" t="str">
            <v>حلب</v>
          </cell>
          <cell r="M7752" t="str">
            <v>C1007</v>
          </cell>
          <cell r="AC7752">
            <v>37.188903809999999</v>
          </cell>
          <cell r="AD7752">
            <v>36.204895020000002</v>
          </cell>
        </row>
        <row r="7753">
          <cell r="L7753" t="str">
            <v>حلب</v>
          </cell>
          <cell r="M7753" t="str">
            <v>C1007</v>
          </cell>
          <cell r="AC7753">
            <v>37.176513669999999</v>
          </cell>
          <cell r="AD7753">
            <v>36.204895020000002</v>
          </cell>
        </row>
        <row r="7754">
          <cell r="L7754" t="str">
            <v>حلب</v>
          </cell>
          <cell r="M7754" t="str">
            <v>C1007</v>
          </cell>
          <cell r="AC7754">
            <v>37.168518069999998</v>
          </cell>
          <cell r="AD7754">
            <v>36.205078129999997</v>
          </cell>
        </row>
        <row r="7755">
          <cell r="L7755" t="str">
            <v>حلب</v>
          </cell>
          <cell r="M7755" t="str">
            <v>C1007</v>
          </cell>
          <cell r="AC7755">
            <v>37.164123539999999</v>
          </cell>
          <cell r="AD7755">
            <v>36.20587158</v>
          </cell>
        </row>
        <row r="7756">
          <cell r="L7756" t="str">
            <v>حلب</v>
          </cell>
          <cell r="M7756" t="str">
            <v>C1007</v>
          </cell>
          <cell r="AC7756">
            <v>37.171691899999999</v>
          </cell>
          <cell r="AD7756">
            <v>36.20611572</v>
          </cell>
        </row>
        <row r="7757">
          <cell r="L7757" t="str">
            <v>حلب</v>
          </cell>
          <cell r="M7757" t="str">
            <v>C1007</v>
          </cell>
          <cell r="AC7757">
            <v>37.157470699999998</v>
          </cell>
          <cell r="AD7757">
            <v>36.206481930000002</v>
          </cell>
        </row>
        <row r="7758">
          <cell r="L7758" t="str">
            <v>حلب</v>
          </cell>
          <cell r="M7758" t="str">
            <v>C1007</v>
          </cell>
          <cell r="AC7758">
            <v>37.213073729999998</v>
          </cell>
          <cell r="AD7758">
            <v>36.207519529999999</v>
          </cell>
        </row>
        <row r="7759">
          <cell r="L7759" t="str">
            <v>حلب</v>
          </cell>
          <cell r="M7759" t="str">
            <v>C1007</v>
          </cell>
          <cell r="AC7759">
            <v>37.143920899999998</v>
          </cell>
          <cell r="AD7759">
            <v>36.208129880000001</v>
          </cell>
        </row>
        <row r="7760">
          <cell r="L7760" t="str">
            <v>حلب</v>
          </cell>
          <cell r="M7760" t="str">
            <v>C1007</v>
          </cell>
          <cell r="AC7760">
            <v>37.15209961</v>
          </cell>
          <cell r="AD7760">
            <v>36.208129880000001</v>
          </cell>
        </row>
        <row r="7761">
          <cell r="L7761" t="str">
            <v>حلب</v>
          </cell>
          <cell r="M7761" t="str">
            <v>C1007</v>
          </cell>
          <cell r="AC7761">
            <v>37.174499509999997</v>
          </cell>
          <cell r="AD7761">
            <v>36.208129880000001</v>
          </cell>
        </row>
        <row r="7762">
          <cell r="L7762" t="str">
            <v>حلب</v>
          </cell>
          <cell r="M7762" t="str">
            <v>C1007</v>
          </cell>
          <cell r="AC7762">
            <v>37.16290283</v>
          </cell>
          <cell r="AD7762">
            <v>36.208679199999999</v>
          </cell>
        </row>
        <row r="7763">
          <cell r="L7763" t="str">
            <v>حلب</v>
          </cell>
          <cell r="M7763" t="str">
            <v>C1007</v>
          </cell>
          <cell r="AC7763">
            <v>37.198486330000001</v>
          </cell>
          <cell r="AD7763">
            <v>36.208923339999998</v>
          </cell>
        </row>
        <row r="7764">
          <cell r="L7764" t="str">
            <v>حلب</v>
          </cell>
          <cell r="M7764" t="str">
            <v>C1007</v>
          </cell>
          <cell r="AC7764">
            <v>37.185485839999998</v>
          </cell>
          <cell r="AD7764">
            <v>36.20910645</v>
          </cell>
        </row>
        <row r="7765">
          <cell r="L7765" t="str">
            <v>حلب</v>
          </cell>
          <cell r="M7765" t="str">
            <v>C1007</v>
          </cell>
          <cell r="AC7765">
            <v>37.168701169999999</v>
          </cell>
          <cell r="AD7765">
            <v>36.209289550000001</v>
          </cell>
        </row>
        <row r="7766">
          <cell r="L7766" t="str">
            <v>حلب</v>
          </cell>
          <cell r="M7766" t="str">
            <v>C1007</v>
          </cell>
          <cell r="AC7766">
            <v>37.158081060000001</v>
          </cell>
          <cell r="AD7766">
            <v>36.209472660000003</v>
          </cell>
        </row>
        <row r="7767">
          <cell r="L7767" t="str">
            <v>حلب</v>
          </cell>
          <cell r="M7767" t="str">
            <v>C1007</v>
          </cell>
          <cell r="AC7767">
            <v>37.119323729999998</v>
          </cell>
          <cell r="AD7767">
            <v>36.210083009999998</v>
          </cell>
        </row>
        <row r="7768">
          <cell r="L7768" t="str">
            <v>حلب</v>
          </cell>
          <cell r="M7768" t="str">
            <v>C1007</v>
          </cell>
          <cell r="AC7768">
            <v>37.176879880000001</v>
          </cell>
          <cell r="AD7768">
            <v>36.21069336</v>
          </cell>
        </row>
        <row r="7769">
          <cell r="L7769" t="str">
            <v>حلب</v>
          </cell>
          <cell r="M7769" t="str">
            <v>C1007</v>
          </cell>
          <cell r="AC7769">
            <v>37.135681150000003</v>
          </cell>
          <cell r="AD7769">
            <v>36.21069336</v>
          </cell>
        </row>
        <row r="7770">
          <cell r="L7770" t="str">
            <v>حلب</v>
          </cell>
          <cell r="M7770" t="str">
            <v>C1007</v>
          </cell>
          <cell r="AC7770">
            <v>37.160888669999999</v>
          </cell>
          <cell r="AD7770">
            <v>36.212280270000001</v>
          </cell>
        </row>
        <row r="7771">
          <cell r="L7771" t="str">
            <v>حلب</v>
          </cell>
          <cell r="M7771" t="str">
            <v>C1007</v>
          </cell>
          <cell r="AC7771">
            <v>37.152893069999998</v>
          </cell>
          <cell r="AD7771">
            <v>36.21368408</v>
          </cell>
        </row>
        <row r="7772">
          <cell r="L7772" t="str">
            <v>حلب</v>
          </cell>
          <cell r="M7772" t="str">
            <v>C1007</v>
          </cell>
          <cell r="AC7772">
            <v>37.175292970000001</v>
          </cell>
          <cell r="AD7772">
            <v>36.21392822</v>
          </cell>
        </row>
        <row r="7773">
          <cell r="L7773" t="str">
            <v>حلب</v>
          </cell>
          <cell r="M7773" t="str">
            <v>C1007</v>
          </cell>
          <cell r="AC7773">
            <v>37.167907720000002</v>
          </cell>
          <cell r="AD7773">
            <v>36.214904789999999</v>
          </cell>
        </row>
        <row r="7774">
          <cell r="L7774" t="str">
            <v>حلب</v>
          </cell>
          <cell r="M7774" t="str">
            <v>C1007</v>
          </cell>
          <cell r="AC7774">
            <v>37.205078129999997</v>
          </cell>
          <cell r="AD7774">
            <v>36.215271000000001</v>
          </cell>
        </row>
        <row r="7775">
          <cell r="L7775" t="str">
            <v>حلب</v>
          </cell>
          <cell r="M7775" t="str">
            <v>C1007</v>
          </cell>
          <cell r="AC7775">
            <v>37.163879399999999</v>
          </cell>
          <cell r="AD7775">
            <v>36.215515140000001</v>
          </cell>
        </row>
        <row r="7776">
          <cell r="L7776" t="str">
            <v>حلب</v>
          </cell>
          <cell r="M7776" t="str">
            <v>C1007</v>
          </cell>
          <cell r="AC7776">
            <v>37.117309570000003</v>
          </cell>
          <cell r="AD7776">
            <v>36.217102050000001</v>
          </cell>
        </row>
        <row r="7777">
          <cell r="L7777" t="str">
            <v>حلب</v>
          </cell>
          <cell r="M7777" t="str">
            <v>C1007</v>
          </cell>
          <cell r="AC7777">
            <v>37.13189697</v>
          </cell>
          <cell r="AD7777">
            <v>36.217712400000003</v>
          </cell>
        </row>
        <row r="7778">
          <cell r="L7778" t="str">
            <v>حلب</v>
          </cell>
          <cell r="M7778" t="str">
            <v>C1007</v>
          </cell>
          <cell r="AC7778">
            <v>37.173278809999999</v>
          </cell>
          <cell r="AD7778">
            <v>36.218078609999999</v>
          </cell>
        </row>
        <row r="7779">
          <cell r="L7779" t="str">
            <v>حلب</v>
          </cell>
          <cell r="M7779" t="str">
            <v>C1007</v>
          </cell>
          <cell r="AC7779">
            <v>37.14868164</v>
          </cell>
          <cell r="AD7779">
            <v>36.21850586</v>
          </cell>
        </row>
        <row r="7780">
          <cell r="L7780" t="str">
            <v>حلب</v>
          </cell>
          <cell r="M7780" t="str">
            <v>C1007</v>
          </cell>
          <cell r="AC7780">
            <v>37.157287599999997</v>
          </cell>
          <cell r="AD7780">
            <v>36.218688970000002</v>
          </cell>
        </row>
        <row r="7781">
          <cell r="L7781" t="str">
            <v>حلب</v>
          </cell>
          <cell r="M7781" t="str">
            <v>C1007</v>
          </cell>
          <cell r="AC7781">
            <v>37.189880369999997</v>
          </cell>
          <cell r="AD7781">
            <v>36.219482419999999</v>
          </cell>
        </row>
        <row r="7782">
          <cell r="L7782" t="str">
            <v>حلب</v>
          </cell>
          <cell r="M7782" t="str">
            <v>C1007</v>
          </cell>
          <cell r="AC7782">
            <v>37.166076660000002</v>
          </cell>
          <cell r="AD7782">
            <v>36.220275880000003</v>
          </cell>
        </row>
        <row r="7783">
          <cell r="L7783" t="str">
            <v>حلب</v>
          </cell>
          <cell r="M7783" t="str">
            <v>C1007</v>
          </cell>
          <cell r="AC7783">
            <v>37.144470220000002</v>
          </cell>
          <cell r="AD7783">
            <v>36.222290039999997</v>
          </cell>
        </row>
        <row r="7784">
          <cell r="L7784" t="str">
            <v>حلب</v>
          </cell>
          <cell r="M7784" t="str">
            <v>C1007</v>
          </cell>
          <cell r="AC7784">
            <v>37.135498050000002</v>
          </cell>
          <cell r="AD7784">
            <v>36.222717289999999</v>
          </cell>
        </row>
        <row r="7785">
          <cell r="L7785" t="str">
            <v>حلب</v>
          </cell>
          <cell r="M7785" t="str">
            <v>C1007</v>
          </cell>
          <cell r="AC7785">
            <v>37.098693849999997</v>
          </cell>
          <cell r="AD7785">
            <v>36.222717289999999</v>
          </cell>
        </row>
        <row r="7786">
          <cell r="L7786" t="str">
            <v>حلب</v>
          </cell>
          <cell r="M7786" t="str">
            <v>C1007</v>
          </cell>
          <cell r="AC7786">
            <v>37.18450928</v>
          </cell>
          <cell r="AD7786">
            <v>36.223083500000001</v>
          </cell>
        </row>
        <row r="7787">
          <cell r="L7787" t="str">
            <v>حلب</v>
          </cell>
          <cell r="M7787" t="str">
            <v>C1007</v>
          </cell>
          <cell r="AC7787">
            <v>37.11627197</v>
          </cell>
          <cell r="AD7787">
            <v>36.223083500000001</v>
          </cell>
        </row>
        <row r="7788">
          <cell r="L7788" t="str">
            <v>حلب</v>
          </cell>
          <cell r="M7788" t="str">
            <v>C1007</v>
          </cell>
          <cell r="AC7788">
            <v>37.175476070000002</v>
          </cell>
          <cell r="AD7788">
            <v>36.223876949999998</v>
          </cell>
        </row>
        <row r="7789">
          <cell r="L7789" t="str">
            <v>حلب</v>
          </cell>
          <cell r="M7789" t="str">
            <v>C1007</v>
          </cell>
          <cell r="AC7789">
            <v>37.127685550000002</v>
          </cell>
          <cell r="AD7789">
            <v>36.224914550000001</v>
          </cell>
        </row>
        <row r="7790">
          <cell r="L7790" t="str">
            <v>حلب</v>
          </cell>
          <cell r="M7790" t="str">
            <v>C1007</v>
          </cell>
          <cell r="AC7790">
            <v>37.165527339999997</v>
          </cell>
          <cell r="AD7790">
            <v>36.225280759999997</v>
          </cell>
        </row>
        <row r="7791">
          <cell r="L7791" t="str">
            <v>حلب</v>
          </cell>
          <cell r="M7791" t="str">
            <v>C1007</v>
          </cell>
          <cell r="AC7791">
            <v>37.202697749999999</v>
          </cell>
          <cell r="AD7791">
            <v>36.227111819999998</v>
          </cell>
        </row>
        <row r="7792">
          <cell r="L7792" t="str">
            <v>حلب</v>
          </cell>
          <cell r="M7792" t="str">
            <v>C1007</v>
          </cell>
          <cell r="AC7792">
            <v>37.147094729999999</v>
          </cell>
          <cell r="AD7792">
            <v>36.227905270000001</v>
          </cell>
        </row>
        <row r="7793">
          <cell r="L7793" t="str">
            <v>حلب</v>
          </cell>
          <cell r="M7793" t="str">
            <v>C1007</v>
          </cell>
          <cell r="AC7793">
            <v>37.117675779999999</v>
          </cell>
          <cell r="AD7793">
            <v>36.229492190000002</v>
          </cell>
        </row>
        <row r="7794">
          <cell r="L7794" t="str">
            <v>حلب</v>
          </cell>
          <cell r="M7794" t="str">
            <v>C1007</v>
          </cell>
          <cell r="AC7794">
            <v>37.169921879999997</v>
          </cell>
          <cell r="AD7794">
            <v>36.230285649999999</v>
          </cell>
        </row>
        <row r="7795">
          <cell r="L7795" t="str">
            <v>حلب</v>
          </cell>
          <cell r="M7795" t="str">
            <v>C1007</v>
          </cell>
          <cell r="AC7795">
            <v>37.183105470000001</v>
          </cell>
          <cell r="AD7795">
            <v>36.234924319999998</v>
          </cell>
        </row>
        <row r="7796">
          <cell r="L7796" t="str">
            <v>حلب</v>
          </cell>
          <cell r="M7796" t="str">
            <v>C1007</v>
          </cell>
          <cell r="AC7796">
            <v>37.129272460000003</v>
          </cell>
          <cell r="AD7796">
            <v>36.235473630000001</v>
          </cell>
        </row>
        <row r="7797">
          <cell r="L7797" t="str">
            <v>حلب</v>
          </cell>
          <cell r="M7797" t="str">
            <v>C1007</v>
          </cell>
          <cell r="AC7797">
            <v>37.152893069999998</v>
          </cell>
          <cell r="AD7797">
            <v>36.23669434</v>
          </cell>
        </row>
        <row r="7798">
          <cell r="L7798" t="str">
            <v>حلب</v>
          </cell>
          <cell r="M7798" t="str">
            <v>C1007</v>
          </cell>
          <cell r="AC7798">
            <v>37.192504880000001</v>
          </cell>
          <cell r="AD7798">
            <v>36.23669434</v>
          </cell>
        </row>
        <row r="7799">
          <cell r="L7799" t="str">
            <v>حلب</v>
          </cell>
          <cell r="M7799" t="str">
            <v>C1007</v>
          </cell>
          <cell r="AC7799">
            <v>37.10913086</v>
          </cell>
          <cell r="AD7799">
            <v>36.241088869999999</v>
          </cell>
        </row>
        <row r="7800">
          <cell r="L7800" t="str">
            <v>حلب</v>
          </cell>
          <cell r="M7800" t="str">
            <v>C1007</v>
          </cell>
          <cell r="AC7800">
            <v>37.17211914</v>
          </cell>
          <cell r="AD7800">
            <v>36.241516109999999</v>
          </cell>
        </row>
        <row r="7801">
          <cell r="L7801" t="str">
            <v>حلب</v>
          </cell>
          <cell r="M7801" t="str">
            <v>C1007</v>
          </cell>
          <cell r="AC7801">
            <v>37.136291499999999</v>
          </cell>
          <cell r="AD7801">
            <v>36.242492679999998</v>
          </cell>
        </row>
        <row r="7802">
          <cell r="L7802" t="str">
            <v>حلب</v>
          </cell>
          <cell r="M7802" t="str">
            <v>C1007</v>
          </cell>
          <cell r="AC7802">
            <v>37.17669678</v>
          </cell>
          <cell r="AD7802">
            <v>36.28149414</v>
          </cell>
        </row>
        <row r="7803">
          <cell r="L7803" t="str">
            <v>حمص</v>
          </cell>
          <cell r="M7803" t="str">
            <v>C2528</v>
          </cell>
          <cell r="AC7803">
            <v>36.719116210000003</v>
          </cell>
          <cell r="AD7803">
            <v>34.70129395</v>
          </cell>
        </row>
        <row r="7804">
          <cell r="L7804" t="str">
            <v>حمص</v>
          </cell>
          <cell r="M7804" t="str">
            <v>C2528</v>
          </cell>
          <cell r="AC7804">
            <v>36.732299810000001</v>
          </cell>
          <cell r="AD7804">
            <v>34.702087400000003</v>
          </cell>
        </row>
        <row r="7805">
          <cell r="L7805" t="str">
            <v>حمص</v>
          </cell>
          <cell r="M7805" t="str">
            <v>C2528</v>
          </cell>
          <cell r="AC7805">
            <v>36.701477050000001</v>
          </cell>
          <cell r="AD7805">
            <v>34.705505369999997</v>
          </cell>
        </row>
        <row r="7806">
          <cell r="L7806" t="str">
            <v>حمص</v>
          </cell>
          <cell r="M7806" t="str">
            <v>C2528</v>
          </cell>
          <cell r="AC7806">
            <v>36.742309570000003</v>
          </cell>
          <cell r="AD7806">
            <v>34.706298830000001</v>
          </cell>
        </row>
        <row r="7807">
          <cell r="L7807" t="str">
            <v>حمص</v>
          </cell>
          <cell r="M7807" t="str">
            <v>C2528</v>
          </cell>
          <cell r="AC7807">
            <v>36.69049072</v>
          </cell>
          <cell r="AD7807">
            <v>34.71069336</v>
          </cell>
        </row>
        <row r="7808">
          <cell r="L7808" t="str">
            <v>حمص</v>
          </cell>
          <cell r="M7808" t="str">
            <v>C2528</v>
          </cell>
          <cell r="AC7808">
            <v>36.716491699999999</v>
          </cell>
          <cell r="AD7808">
            <v>34.710876470000002</v>
          </cell>
        </row>
        <row r="7809">
          <cell r="L7809" t="str">
            <v>حمص</v>
          </cell>
          <cell r="M7809" t="str">
            <v>C2528</v>
          </cell>
          <cell r="AC7809">
            <v>36.724121089999997</v>
          </cell>
          <cell r="AD7809">
            <v>34.714477539999997</v>
          </cell>
        </row>
        <row r="7810">
          <cell r="L7810" t="str">
            <v>حمص</v>
          </cell>
          <cell r="M7810" t="str">
            <v>C2528</v>
          </cell>
          <cell r="AC7810">
            <v>36.718688970000002</v>
          </cell>
          <cell r="AD7810">
            <v>34.716674810000001</v>
          </cell>
        </row>
        <row r="7811">
          <cell r="L7811" t="str">
            <v>حمص</v>
          </cell>
          <cell r="M7811" t="str">
            <v>C2528</v>
          </cell>
          <cell r="AC7811">
            <v>36.731872559999999</v>
          </cell>
          <cell r="AD7811">
            <v>34.718322749999999</v>
          </cell>
        </row>
        <row r="7812">
          <cell r="L7812" t="str">
            <v>حمص</v>
          </cell>
          <cell r="M7812" t="str">
            <v>C2528</v>
          </cell>
          <cell r="AC7812">
            <v>36.714721679999997</v>
          </cell>
          <cell r="AD7812">
            <v>34.718688970000002</v>
          </cell>
        </row>
        <row r="7813">
          <cell r="L7813" t="str">
            <v>حمص</v>
          </cell>
          <cell r="M7813" t="str">
            <v>C2528</v>
          </cell>
          <cell r="AC7813">
            <v>36.695678710000003</v>
          </cell>
          <cell r="AD7813">
            <v>34.720886229999998</v>
          </cell>
        </row>
        <row r="7814">
          <cell r="L7814" t="str">
            <v>حمص</v>
          </cell>
          <cell r="M7814" t="str">
            <v>C2528</v>
          </cell>
          <cell r="AC7814">
            <v>36.723083500000001</v>
          </cell>
          <cell r="AD7814">
            <v>34.721130369999997</v>
          </cell>
        </row>
        <row r="7815">
          <cell r="L7815" t="str">
            <v>حمص</v>
          </cell>
          <cell r="M7815" t="str">
            <v>C2528</v>
          </cell>
          <cell r="AC7815">
            <v>36.717285160000003</v>
          </cell>
          <cell r="AD7815">
            <v>34.722473149999999</v>
          </cell>
        </row>
        <row r="7816">
          <cell r="L7816" t="str">
            <v>حمص</v>
          </cell>
          <cell r="M7816" t="str">
            <v>C2528</v>
          </cell>
          <cell r="AC7816">
            <v>36.70587158</v>
          </cell>
          <cell r="AD7816">
            <v>34.72290039</v>
          </cell>
        </row>
        <row r="7817">
          <cell r="L7817" t="str">
            <v>حمص</v>
          </cell>
          <cell r="M7817" t="str">
            <v>C2528</v>
          </cell>
          <cell r="AC7817">
            <v>36.731323240000002</v>
          </cell>
          <cell r="AD7817">
            <v>34.725280759999997</v>
          </cell>
        </row>
        <row r="7818">
          <cell r="L7818" t="str">
            <v>حمص</v>
          </cell>
          <cell r="M7818" t="str">
            <v>C2528</v>
          </cell>
          <cell r="AC7818">
            <v>36.720520020000002</v>
          </cell>
          <cell r="AD7818">
            <v>34.727294919999999</v>
          </cell>
        </row>
        <row r="7819">
          <cell r="L7819" t="str">
            <v>حمص</v>
          </cell>
          <cell r="M7819" t="str">
            <v>C2528</v>
          </cell>
          <cell r="AC7819">
            <v>36.723693849999997</v>
          </cell>
          <cell r="AD7819">
            <v>34.727294919999999</v>
          </cell>
        </row>
        <row r="7820">
          <cell r="L7820" t="str">
            <v>حمص</v>
          </cell>
          <cell r="M7820" t="str">
            <v>C2528</v>
          </cell>
          <cell r="AC7820">
            <v>36.717285160000003</v>
          </cell>
          <cell r="AD7820">
            <v>34.72772217</v>
          </cell>
        </row>
        <row r="7821">
          <cell r="L7821" t="str">
            <v>حمص</v>
          </cell>
          <cell r="M7821" t="str">
            <v>C2528</v>
          </cell>
          <cell r="AC7821">
            <v>36.712707520000002</v>
          </cell>
          <cell r="AD7821">
            <v>34.728088380000003</v>
          </cell>
        </row>
        <row r="7822">
          <cell r="L7822" t="str">
            <v>حمص</v>
          </cell>
          <cell r="M7822" t="str">
            <v>C2528</v>
          </cell>
          <cell r="AC7822">
            <v>36.741699220000001</v>
          </cell>
          <cell r="AD7822">
            <v>34.72930908</v>
          </cell>
        </row>
        <row r="7823">
          <cell r="L7823" t="str">
            <v>حمص</v>
          </cell>
          <cell r="M7823" t="str">
            <v>C2528</v>
          </cell>
          <cell r="AC7823">
            <v>36.723876949999998</v>
          </cell>
          <cell r="AD7823">
            <v>34.730285649999999</v>
          </cell>
        </row>
        <row r="7824">
          <cell r="L7824" t="str">
            <v>حمص</v>
          </cell>
          <cell r="M7824" t="str">
            <v>C2528</v>
          </cell>
          <cell r="AC7824">
            <v>36.70587158</v>
          </cell>
          <cell r="AD7824">
            <v>34.730529789999999</v>
          </cell>
        </row>
        <row r="7825">
          <cell r="L7825" t="str">
            <v>حمص</v>
          </cell>
          <cell r="M7825" t="str">
            <v>C2528</v>
          </cell>
          <cell r="AC7825">
            <v>36.701904300000002</v>
          </cell>
          <cell r="AD7825">
            <v>34.732299810000001</v>
          </cell>
        </row>
        <row r="7826">
          <cell r="L7826" t="str">
            <v>حمص</v>
          </cell>
          <cell r="M7826" t="str">
            <v>C2528</v>
          </cell>
          <cell r="AC7826">
            <v>36.718688970000002</v>
          </cell>
          <cell r="AD7826">
            <v>34.732299810000001</v>
          </cell>
        </row>
        <row r="7827">
          <cell r="L7827" t="str">
            <v>حمص</v>
          </cell>
          <cell r="M7827" t="str">
            <v>C2528</v>
          </cell>
          <cell r="AC7827">
            <v>36.722717289999999</v>
          </cell>
          <cell r="AD7827">
            <v>34.73529053</v>
          </cell>
        </row>
        <row r="7828">
          <cell r="L7828" t="str">
            <v>حمص</v>
          </cell>
          <cell r="M7828" t="str">
            <v>C2528</v>
          </cell>
          <cell r="AC7828">
            <v>36.748291020000003</v>
          </cell>
          <cell r="AD7828">
            <v>34.737304690000002</v>
          </cell>
        </row>
        <row r="7829">
          <cell r="L7829" t="str">
            <v>حمص</v>
          </cell>
          <cell r="M7829" t="str">
            <v>C2528</v>
          </cell>
          <cell r="AC7829">
            <v>36.666076660000002</v>
          </cell>
          <cell r="AD7829">
            <v>34.73828125</v>
          </cell>
        </row>
        <row r="7830">
          <cell r="L7830" t="str">
            <v>حمص</v>
          </cell>
          <cell r="M7830" t="str">
            <v>C2528</v>
          </cell>
          <cell r="AC7830">
            <v>36.730102539999997</v>
          </cell>
          <cell r="AD7830">
            <v>34.73828125</v>
          </cell>
        </row>
        <row r="7831">
          <cell r="L7831" t="str">
            <v>حمص</v>
          </cell>
          <cell r="M7831" t="str">
            <v>C2528</v>
          </cell>
          <cell r="AC7831">
            <v>36.70727539</v>
          </cell>
          <cell r="AD7831">
            <v>34.739074709999997</v>
          </cell>
        </row>
        <row r="7832">
          <cell r="L7832" t="str">
            <v>حمص</v>
          </cell>
          <cell r="M7832" t="str">
            <v>C2528</v>
          </cell>
          <cell r="AC7832">
            <v>36.708496089999997</v>
          </cell>
          <cell r="AD7832">
            <v>34.744689940000001</v>
          </cell>
        </row>
        <row r="7833">
          <cell r="L7833" t="str">
            <v>حمص</v>
          </cell>
          <cell r="M7833" t="str">
            <v>C2528</v>
          </cell>
          <cell r="AC7833">
            <v>36.682495119999999</v>
          </cell>
          <cell r="AD7833">
            <v>34.744873050000002</v>
          </cell>
        </row>
        <row r="7834">
          <cell r="L7834" t="str">
            <v>حمص</v>
          </cell>
          <cell r="M7834" t="str">
            <v>C2528</v>
          </cell>
          <cell r="AC7834">
            <v>36.748107910000002</v>
          </cell>
          <cell r="AD7834">
            <v>34.748107910000002</v>
          </cell>
        </row>
        <row r="7835">
          <cell r="L7835" t="str">
            <v>حمص</v>
          </cell>
          <cell r="M7835" t="str">
            <v>C2528</v>
          </cell>
          <cell r="AC7835">
            <v>36.728271479999997</v>
          </cell>
          <cell r="AD7835">
            <v>34.754089360000002</v>
          </cell>
        </row>
        <row r="7836">
          <cell r="L7836" t="str">
            <v>حمص</v>
          </cell>
          <cell r="M7836" t="str">
            <v>C2528</v>
          </cell>
          <cell r="AC7836">
            <v>36.720275880000003</v>
          </cell>
          <cell r="AD7836">
            <v>34.756103520000003</v>
          </cell>
        </row>
        <row r="7837">
          <cell r="L7837" t="str">
            <v>حمص</v>
          </cell>
          <cell r="M7837" t="str">
            <v>C2528</v>
          </cell>
          <cell r="AC7837">
            <v>36.70727539</v>
          </cell>
          <cell r="AD7837">
            <v>34.757507320000002</v>
          </cell>
        </row>
        <row r="7838">
          <cell r="L7838" t="str">
            <v>حمص</v>
          </cell>
          <cell r="M7838" t="str">
            <v>C2528</v>
          </cell>
          <cell r="AC7838">
            <v>36.744873050000002</v>
          </cell>
          <cell r="AD7838">
            <v>34.760498050000002</v>
          </cell>
        </row>
        <row r="7839">
          <cell r="L7839" t="str">
            <v>حماة</v>
          </cell>
          <cell r="M7839" t="str">
            <v>C2987</v>
          </cell>
          <cell r="AC7839">
            <v>36.76287842</v>
          </cell>
          <cell r="AD7839">
            <v>35.103515629999997</v>
          </cell>
        </row>
        <row r="7840">
          <cell r="L7840" t="str">
            <v>حماة</v>
          </cell>
          <cell r="M7840" t="str">
            <v>C2987</v>
          </cell>
          <cell r="AC7840">
            <v>36.741088869999999</v>
          </cell>
          <cell r="AD7840">
            <v>35.114685059999999</v>
          </cell>
        </row>
        <row r="7841">
          <cell r="L7841" t="str">
            <v>حماة</v>
          </cell>
          <cell r="M7841" t="str">
            <v>C2987</v>
          </cell>
          <cell r="AC7841">
            <v>36.751281740000003</v>
          </cell>
          <cell r="AD7841">
            <v>35.114929199999999</v>
          </cell>
        </row>
        <row r="7842">
          <cell r="L7842" t="str">
            <v>حماة</v>
          </cell>
          <cell r="M7842" t="str">
            <v>C2987</v>
          </cell>
          <cell r="AC7842">
            <v>36.766723630000001</v>
          </cell>
          <cell r="AD7842">
            <v>35.115112310000001</v>
          </cell>
        </row>
        <row r="7843">
          <cell r="L7843" t="str">
            <v>حماة</v>
          </cell>
          <cell r="M7843" t="str">
            <v>C2987</v>
          </cell>
          <cell r="AC7843">
            <v>36.76147461</v>
          </cell>
          <cell r="AD7843">
            <v>35.122314449999998</v>
          </cell>
        </row>
        <row r="7844">
          <cell r="L7844" t="str">
            <v>حماة</v>
          </cell>
          <cell r="M7844" t="str">
            <v>C2987</v>
          </cell>
          <cell r="AC7844">
            <v>36.742919919999999</v>
          </cell>
          <cell r="AD7844">
            <v>35.123107910000002</v>
          </cell>
        </row>
        <row r="7845">
          <cell r="L7845" t="str">
            <v>حماة</v>
          </cell>
          <cell r="M7845" t="str">
            <v>C2987</v>
          </cell>
          <cell r="AC7845">
            <v>36.753723149999999</v>
          </cell>
          <cell r="AD7845">
            <v>35.125122070000003</v>
          </cell>
        </row>
        <row r="7846">
          <cell r="L7846" t="str">
            <v>حماة</v>
          </cell>
          <cell r="M7846" t="str">
            <v>C2987</v>
          </cell>
          <cell r="AC7846">
            <v>36.746887209999997</v>
          </cell>
          <cell r="AD7846">
            <v>35.125488279999999</v>
          </cell>
        </row>
        <row r="7847">
          <cell r="L7847" t="str">
            <v>حماة</v>
          </cell>
          <cell r="M7847" t="str">
            <v>C2987</v>
          </cell>
          <cell r="AC7847">
            <v>36.76928711</v>
          </cell>
          <cell r="AD7847">
            <v>35.126281740000003</v>
          </cell>
        </row>
        <row r="7848">
          <cell r="L7848" t="str">
            <v>حماة</v>
          </cell>
          <cell r="M7848" t="str">
            <v>C2987</v>
          </cell>
          <cell r="AC7848">
            <v>36.737487790000003</v>
          </cell>
          <cell r="AD7848">
            <v>35.1270752</v>
          </cell>
        </row>
        <row r="7849">
          <cell r="L7849" t="str">
            <v>حماة</v>
          </cell>
          <cell r="M7849" t="str">
            <v>C2987</v>
          </cell>
          <cell r="AC7849">
            <v>36.760314940000001</v>
          </cell>
          <cell r="AD7849">
            <v>35.128112790000003</v>
          </cell>
        </row>
        <row r="7850">
          <cell r="L7850" t="str">
            <v>حماة</v>
          </cell>
          <cell r="M7850" t="str">
            <v>C2987</v>
          </cell>
          <cell r="AC7850">
            <v>36.750122070000003</v>
          </cell>
          <cell r="AD7850">
            <v>35.128112790000003</v>
          </cell>
        </row>
        <row r="7851">
          <cell r="L7851" t="str">
            <v>حماة</v>
          </cell>
          <cell r="M7851" t="str">
            <v>C2987</v>
          </cell>
          <cell r="AC7851">
            <v>36.744079589999998</v>
          </cell>
          <cell r="AD7851">
            <v>35.129516600000002</v>
          </cell>
        </row>
        <row r="7852">
          <cell r="L7852" t="str">
            <v>حماة</v>
          </cell>
          <cell r="M7852" t="str">
            <v>C2987</v>
          </cell>
          <cell r="AC7852">
            <v>36.754089360000002</v>
          </cell>
          <cell r="AD7852">
            <v>35.129699709999997</v>
          </cell>
        </row>
        <row r="7853">
          <cell r="L7853" t="str">
            <v>حماة</v>
          </cell>
          <cell r="M7853" t="str">
            <v>C2987</v>
          </cell>
          <cell r="AC7853">
            <v>36.743530270000001</v>
          </cell>
          <cell r="AD7853">
            <v>35.132324220000001</v>
          </cell>
        </row>
        <row r="7854">
          <cell r="L7854" t="str">
            <v>حماة</v>
          </cell>
          <cell r="M7854" t="str">
            <v>C2987</v>
          </cell>
          <cell r="AC7854">
            <v>36.751281740000003</v>
          </cell>
          <cell r="AD7854">
            <v>35.132873539999999</v>
          </cell>
        </row>
        <row r="7855">
          <cell r="L7855" t="str">
            <v>حماة</v>
          </cell>
          <cell r="M7855" t="str">
            <v>C2987</v>
          </cell>
          <cell r="AC7855">
            <v>36.760681150000003</v>
          </cell>
          <cell r="AD7855">
            <v>35.134521479999997</v>
          </cell>
        </row>
        <row r="7856">
          <cell r="L7856" t="str">
            <v>حماة</v>
          </cell>
          <cell r="M7856" t="str">
            <v>C2987</v>
          </cell>
          <cell r="AC7856">
            <v>36.785888669999999</v>
          </cell>
          <cell r="AD7856">
            <v>35.135070800000001</v>
          </cell>
        </row>
        <row r="7857">
          <cell r="L7857" t="str">
            <v>حماة</v>
          </cell>
          <cell r="M7857" t="str">
            <v>C2987</v>
          </cell>
          <cell r="AC7857">
            <v>36.745483399999998</v>
          </cell>
          <cell r="AD7857">
            <v>35.135314940000001</v>
          </cell>
        </row>
        <row r="7858">
          <cell r="L7858" t="str">
            <v>حماة</v>
          </cell>
          <cell r="M7858" t="str">
            <v>C2987</v>
          </cell>
          <cell r="AC7858">
            <v>36.753478999999999</v>
          </cell>
          <cell r="AD7858">
            <v>35.13671875</v>
          </cell>
        </row>
        <row r="7859">
          <cell r="L7859" t="str">
            <v>حماة</v>
          </cell>
          <cell r="M7859" t="str">
            <v>C2987</v>
          </cell>
          <cell r="AC7859">
            <v>36.729492190000002</v>
          </cell>
          <cell r="AD7859">
            <v>35.13787842</v>
          </cell>
        </row>
        <row r="7860">
          <cell r="L7860" t="str">
            <v>حماة</v>
          </cell>
          <cell r="M7860" t="str">
            <v>C2987</v>
          </cell>
          <cell r="AC7860">
            <v>36.746887209999997</v>
          </cell>
          <cell r="AD7860">
            <v>35.13787842</v>
          </cell>
        </row>
        <row r="7861">
          <cell r="L7861" t="str">
            <v>حماة</v>
          </cell>
          <cell r="M7861" t="str">
            <v>C2987</v>
          </cell>
          <cell r="AC7861">
            <v>36.735900880000003</v>
          </cell>
          <cell r="AD7861">
            <v>35.138916020000003</v>
          </cell>
        </row>
        <row r="7862">
          <cell r="L7862" t="str">
            <v>حماة</v>
          </cell>
          <cell r="M7862" t="str">
            <v>C2987</v>
          </cell>
          <cell r="AC7862">
            <v>36.75872803</v>
          </cell>
          <cell r="AD7862">
            <v>35.13970947</v>
          </cell>
        </row>
        <row r="7863">
          <cell r="L7863" t="str">
            <v>حماة</v>
          </cell>
          <cell r="M7863" t="str">
            <v>C2987</v>
          </cell>
          <cell r="AC7863">
            <v>36.741088869999999</v>
          </cell>
          <cell r="AD7863">
            <v>35.140075680000002</v>
          </cell>
        </row>
        <row r="7864">
          <cell r="L7864" t="str">
            <v>حماة</v>
          </cell>
          <cell r="M7864" t="str">
            <v>C2987</v>
          </cell>
          <cell r="AC7864">
            <v>36.765502929999997</v>
          </cell>
          <cell r="AD7864">
            <v>35.140930179999998</v>
          </cell>
        </row>
        <row r="7865">
          <cell r="L7865" t="str">
            <v>حماة</v>
          </cell>
          <cell r="M7865" t="str">
            <v>C2987</v>
          </cell>
          <cell r="AC7865">
            <v>36.774291990000002</v>
          </cell>
          <cell r="AD7865">
            <v>35.1427002</v>
          </cell>
        </row>
        <row r="7866">
          <cell r="L7866" t="str">
            <v>حماة</v>
          </cell>
          <cell r="M7866" t="str">
            <v>C2987</v>
          </cell>
          <cell r="AC7866">
            <v>36.746704100000002</v>
          </cell>
          <cell r="AD7866">
            <v>35.142883300000001</v>
          </cell>
        </row>
        <row r="7867">
          <cell r="L7867" t="str">
            <v>حماة</v>
          </cell>
          <cell r="M7867" t="str">
            <v>C2987</v>
          </cell>
          <cell r="AC7867">
            <v>36.725708009999998</v>
          </cell>
          <cell r="AD7867">
            <v>35.14727783</v>
          </cell>
        </row>
        <row r="7868">
          <cell r="L7868" t="str">
            <v>حماة</v>
          </cell>
          <cell r="M7868" t="str">
            <v>C2987</v>
          </cell>
          <cell r="AC7868">
            <v>36.749511720000001</v>
          </cell>
          <cell r="AD7868">
            <v>35.147888180000002</v>
          </cell>
        </row>
        <row r="7869">
          <cell r="L7869" t="str">
            <v>حماة</v>
          </cell>
          <cell r="M7869" t="str">
            <v>C2987</v>
          </cell>
          <cell r="AC7869">
            <v>36.763916020000003</v>
          </cell>
          <cell r="AD7869">
            <v>35.14868164</v>
          </cell>
        </row>
        <row r="7870">
          <cell r="L7870" t="str">
            <v>حماة</v>
          </cell>
          <cell r="M7870" t="str">
            <v>C2987</v>
          </cell>
          <cell r="AC7870">
            <v>36.786499020000001</v>
          </cell>
          <cell r="AD7870">
            <v>35.154479979999998</v>
          </cell>
        </row>
        <row r="7871">
          <cell r="L7871" t="str">
            <v>حماة</v>
          </cell>
          <cell r="M7871" t="str">
            <v>C2987</v>
          </cell>
          <cell r="AC7871">
            <v>36.765075680000002</v>
          </cell>
          <cell r="AD7871">
            <v>35.156921390000001</v>
          </cell>
        </row>
        <row r="7872">
          <cell r="L7872" t="str">
            <v>حماة</v>
          </cell>
          <cell r="M7872" t="str">
            <v>C2987</v>
          </cell>
          <cell r="AC7872">
            <v>36.7520752</v>
          </cell>
          <cell r="AD7872">
            <v>35.157287599999997</v>
          </cell>
        </row>
        <row r="7873">
          <cell r="L7873" t="str">
            <v>حماة</v>
          </cell>
          <cell r="M7873" t="str">
            <v>C2987</v>
          </cell>
          <cell r="AC7873">
            <v>36.73413086</v>
          </cell>
          <cell r="AD7873">
            <v>35.163085940000002</v>
          </cell>
        </row>
        <row r="7874">
          <cell r="L7874" t="str">
            <v>اللاذقية</v>
          </cell>
          <cell r="M7874" t="str">
            <v>C3480</v>
          </cell>
          <cell r="AC7874">
            <v>35.771911619999997</v>
          </cell>
          <cell r="AD7874">
            <v>35.507873539999999</v>
          </cell>
        </row>
        <row r="7875">
          <cell r="L7875" t="str">
            <v>اللاذقية</v>
          </cell>
          <cell r="M7875" t="str">
            <v>C3480</v>
          </cell>
          <cell r="AC7875">
            <v>35.783691410000003</v>
          </cell>
          <cell r="AD7875">
            <v>35.508300779999999</v>
          </cell>
        </row>
        <row r="7876">
          <cell r="L7876" t="str">
            <v>اللاذقية</v>
          </cell>
          <cell r="M7876" t="str">
            <v>C3480</v>
          </cell>
          <cell r="AC7876">
            <v>35.80950928</v>
          </cell>
          <cell r="AD7876">
            <v>35.512084960000003</v>
          </cell>
        </row>
        <row r="7877">
          <cell r="L7877" t="str">
            <v>اللاذقية</v>
          </cell>
          <cell r="M7877" t="str">
            <v>C3480</v>
          </cell>
          <cell r="AC7877">
            <v>35.786682130000003</v>
          </cell>
          <cell r="AD7877">
            <v>35.52111816</v>
          </cell>
        </row>
        <row r="7878">
          <cell r="L7878" t="str">
            <v>اللاذقية</v>
          </cell>
          <cell r="M7878" t="str">
            <v>C3480</v>
          </cell>
          <cell r="AC7878">
            <v>35.805114750000001</v>
          </cell>
          <cell r="AD7878">
            <v>35.521301270000002</v>
          </cell>
        </row>
        <row r="7879">
          <cell r="L7879" t="str">
            <v>اللاذقية</v>
          </cell>
          <cell r="M7879" t="str">
            <v>C3480</v>
          </cell>
          <cell r="AC7879">
            <v>35.781677250000001</v>
          </cell>
          <cell r="AD7879">
            <v>35.522094729999999</v>
          </cell>
        </row>
        <row r="7880">
          <cell r="L7880" t="str">
            <v>اللاذقية</v>
          </cell>
          <cell r="M7880" t="str">
            <v>C3480</v>
          </cell>
          <cell r="AC7880">
            <v>35.773315429999997</v>
          </cell>
          <cell r="AD7880">
            <v>35.524108890000001</v>
          </cell>
        </row>
        <row r="7881">
          <cell r="L7881" t="str">
            <v>اللاذقية</v>
          </cell>
          <cell r="M7881" t="str">
            <v>C3480</v>
          </cell>
          <cell r="AC7881">
            <v>35.797485350000002</v>
          </cell>
          <cell r="AD7881">
            <v>35.52850342</v>
          </cell>
        </row>
        <row r="7882">
          <cell r="L7882" t="str">
            <v>اللاذقية</v>
          </cell>
          <cell r="M7882" t="str">
            <v>C3480</v>
          </cell>
          <cell r="AC7882">
            <v>35.779296879999997</v>
          </cell>
          <cell r="AD7882">
            <v>35.533691410000003</v>
          </cell>
        </row>
        <row r="7883">
          <cell r="L7883" t="str">
            <v>اللاذقية</v>
          </cell>
          <cell r="M7883" t="str">
            <v>C3480</v>
          </cell>
          <cell r="AC7883">
            <v>35.796691899999999</v>
          </cell>
          <cell r="AD7883">
            <v>35.534728999999999</v>
          </cell>
        </row>
        <row r="7884">
          <cell r="L7884" t="str">
            <v>اللاذقية</v>
          </cell>
          <cell r="M7884" t="str">
            <v>C3480</v>
          </cell>
          <cell r="AC7884">
            <v>35.813110350000002</v>
          </cell>
          <cell r="AD7884">
            <v>35.536499020000001</v>
          </cell>
        </row>
        <row r="7885">
          <cell r="L7885" t="str">
            <v>اللاذقية</v>
          </cell>
          <cell r="M7885" t="str">
            <v>C3480</v>
          </cell>
          <cell r="AC7885">
            <v>35.789123539999999</v>
          </cell>
          <cell r="AD7885">
            <v>35.53747559</v>
          </cell>
        </row>
        <row r="7886">
          <cell r="L7886" t="str">
            <v>اللاذقية</v>
          </cell>
          <cell r="M7886" t="str">
            <v>C3480</v>
          </cell>
          <cell r="AC7886">
            <v>35.829101559999998</v>
          </cell>
          <cell r="AD7886">
            <v>35.541687009999997</v>
          </cell>
        </row>
        <row r="7887">
          <cell r="L7887" t="str">
            <v>اللاذقية</v>
          </cell>
          <cell r="M7887" t="str">
            <v>C3480</v>
          </cell>
          <cell r="AC7887">
            <v>35.804870610000002</v>
          </cell>
          <cell r="AD7887">
            <v>35.552124020000001</v>
          </cell>
        </row>
        <row r="7888">
          <cell r="L7888" t="str">
            <v>اللاذقية</v>
          </cell>
          <cell r="M7888" t="str">
            <v>C3480</v>
          </cell>
          <cell r="AC7888">
            <v>35.790710449999999</v>
          </cell>
          <cell r="AD7888">
            <v>35.55310059</v>
          </cell>
        </row>
        <row r="7889">
          <cell r="L7889" t="str">
            <v>اللاذقية</v>
          </cell>
          <cell r="M7889" t="str">
            <v>C3480</v>
          </cell>
          <cell r="AC7889">
            <v>35.823730470000001</v>
          </cell>
          <cell r="AD7889">
            <v>35.557495119999999</v>
          </cell>
        </row>
        <row r="7890">
          <cell r="L7890" t="str">
            <v>اللاذقية</v>
          </cell>
          <cell r="M7890" t="str">
            <v>C3480</v>
          </cell>
          <cell r="AC7890">
            <v>35.755126949999998</v>
          </cell>
          <cell r="AD7890">
            <v>35.56872559</v>
          </cell>
        </row>
        <row r="7891">
          <cell r="L7891" t="str">
            <v>إدلب</v>
          </cell>
          <cell r="M7891" t="str">
            <v>C3871</v>
          </cell>
          <cell r="AC7891">
            <v>36.63189697</v>
          </cell>
          <cell r="AD7891">
            <v>35.922302250000001</v>
          </cell>
        </row>
        <row r="7892">
          <cell r="L7892" t="str">
            <v>إدلب</v>
          </cell>
          <cell r="M7892" t="str">
            <v>C3871</v>
          </cell>
          <cell r="AC7892">
            <v>36.649475099999997</v>
          </cell>
          <cell r="AD7892">
            <v>35.927673339999998</v>
          </cell>
        </row>
        <row r="7893">
          <cell r="L7893" t="str">
            <v>إدلب</v>
          </cell>
          <cell r="M7893" t="str">
            <v>C3871</v>
          </cell>
          <cell r="AC7893">
            <v>36.623474119999997</v>
          </cell>
          <cell r="AD7893">
            <v>35.928283690000001</v>
          </cell>
        </row>
        <row r="7894">
          <cell r="L7894" t="str">
            <v>إدلب</v>
          </cell>
          <cell r="M7894" t="str">
            <v>C3871</v>
          </cell>
          <cell r="AC7894">
            <v>36.635681150000003</v>
          </cell>
          <cell r="AD7894">
            <v>35.932128910000003</v>
          </cell>
        </row>
        <row r="7895">
          <cell r="L7895" t="str">
            <v>إدلب</v>
          </cell>
          <cell r="M7895" t="str">
            <v>C3871</v>
          </cell>
          <cell r="AC7895">
            <v>36.632873539999999</v>
          </cell>
          <cell r="AD7895">
            <v>35.937683110000002</v>
          </cell>
        </row>
        <row r="7896">
          <cell r="L7896" t="str">
            <v>الحسكة</v>
          </cell>
          <cell r="M7896" t="str">
            <v>C4360</v>
          </cell>
          <cell r="AC7896">
            <v>40.760498050000002</v>
          </cell>
          <cell r="AD7896">
            <v>36.474487310000001</v>
          </cell>
        </row>
        <row r="7897">
          <cell r="L7897" t="str">
            <v>الحسكة</v>
          </cell>
          <cell r="M7897" t="str">
            <v>C4360</v>
          </cell>
          <cell r="AC7897">
            <v>40.749877929999997</v>
          </cell>
          <cell r="AD7897">
            <v>36.476684570000003</v>
          </cell>
        </row>
        <row r="7898">
          <cell r="L7898" t="str">
            <v>الحسكة</v>
          </cell>
          <cell r="M7898" t="str">
            <v>C4360</v>
          </cell>
          <cell r="AC7898">
            <v>40.736328129999997</v>
          </cell>
          <cell r="AD7898">
            <v>36.483093259999997</v>
          </cell>
        </row>
        <row r="7899">
          <cell r="L7899" t="str">
            <v>الحسكة</v>
          </cell>
          <cell r="M7899" t="str">
            <v>C4360</v>
          </cell>
          <cell r="AC7899">
            <v>40.7598877</v>
          </cell>
          <cell r="AD7899">
            <v>36.486877440000001</v>
          </cell>
        </row>
        <row r="7900">
          <cell r="L7900" t="str">
            <v>الحسكة</v>
          </cell>
          <cell r="M7900" t="str">
            <v>C4360</v>
          </cell>
          <cell r="AC7900">
            <v>40.720092770000001</v>
          </cell>
          <cell r="AD7900">
            <v>36.48828125</v>
          </cell>
        </row>
        <row r="7901">
          <cell r="L7901" t="str">
            <v>الحسكة</v>
          </cell>
          <cell r="M7901" t="str">
            <v>C4360</v>
          </cell>
          <cell r="AC7901">
            <v>40.738708500000001</v>
          </cell>
          <cell r="AD7901">
            <v>36.48852539</v>
          </cell>
        </row>
        <row r="7902">
          <cell r="L7902" t="str">
            <v>الحسكة</v>
          </cell>
          <cell r="M7902" t="str">
            <v>C4360</v>
          </cell>
          <cell r="AC7902">
            <v>40.74908447</v>
          </cell>
          <cell r="AD7902">
            <v>36.488708500000001</v>
          </cell>
        </row>
        <row r="7903">
          <cell r="L7903" t="str">
            <v>الحسكة</v>
          </cell>
          <cell r="M7903" t="str">
            <v>C4360</v>
          </cell>
          <cell r="AC7903">
            <v>40.780273440000002</v>
          </cell>
          <cell r="AD7903">
            <v>36.489929199999999</v>
          </cell>
        </row>
        <row r="7904">
          <cell r="L7904" t="str">
            <v>الحسكة</v>
          </cell>
          <cell r="M7904" t="str">
            <v>C4360</v>
          </cell>
          <cell r="AC7904">
            <v>40.760681150000003</v>
          </cell>
          <cell r="AD7904">
            <v>36.491882320000002</v>
          </cell>
        </row>
        <row r="7905">
          <cell r="L7905" t="str">
            <v>الحسكة</v>
          </cell>
          <cell r="M7905" t="str">
            <v>C4360</v>
          </cell>
          <cell r="AC7905">
            <v>40.734313970000002</v>
          </cell>
          <cell r="AD7905">
            <v>36.492126470000002</v>
          </cell>
        </row>
        <row r="7906">
          <cell r="L7906" t="str">
            <v>الحسكة</v>
          </cell>
          <cell r="M7906" t="str">
            <v>C4360</v>
          </cell>
          <cell r="AC7906">
            <v>40.753723149999999</v>
          </cell>
          <cell r="AD7906">
            <v>36.492675779999999</v>
          </cell>
        </row>
        <row r="7907">
          <cell r="L7907" t="str">
            <v>الحسكة</v>
          </cell>
          <cell r="M7907" t="str">
            <v>C4360</v>
          </cell>
          <cell r="AC7907">
            <v>40.71990967</v>
          </cell>
          <cell r="AD7907">
            <v>36.49450684</v>
          </cell>
        </row>
        <row r="7908">
          <cell r="L7908" t="str">
            <v>الحسكة</v>
          </cell>
          <cell r="M7908" t="str">
            <v>C4360</v>
          </cell>
          <cell r="AC7908">
            <v>40.739074709999997</v>
          </cell>
          <cell r="AD7908">
            <v>36.497070309999998</v>
          </cell>
        </row>
        <row r="7909">
          <cell r="L7909" t="str">
            <v>الحسكة</v>
          </cell>
          <cell r="M7909" t="str">
            <v>C4360</v>
          </cell>
          <cell r="AC7909">
            <v>40.754089360000002</v>
          </cell>
          <cell r="AD7909">
            <v>36.5020752</v>
          </cell>
        </row>
        <row r="7910">
          <cell r="L7910" t="str">
            <v>الحسكة</v>
          </cell>
          <cell r="M7910" t="str">
            <v>C4360</v>
          </cell>
          <cell r="AC7910">
            <v>40.748718259999997</v>
          </cell>
          <cell r="AD7910">
            <v>36.503478999999999</v>
          </cell>
        </row>
        <row r="7911">
          <cell r="L7911" t="str">
            <v>الحسكة</v>
          </cell>
          <cell r="M7911" t="str">
            <v>C4360</v>
          </cell>
          <cell r="AC7911">
            <v>40.742309570000003</v>
          </cell>
          <cell r="AD7911">
            <v>36.504516600000002</v>
          </cell>
        </row>
        <row r="7912">
          <cell r="L7912" t="str">
            <v>الحسكة</v>
          </cell>
          <cell r="M7912" t="str">
            <v>C4360</v>
          </cell>
          <cell r="AC7912">
            <v>40.771484379999997</v>
          </cell>
          <cell r="AD7912">
            <v>36.504516600000002</v>
          </cell>
        </row>
        <row r="7913">
          <cell r="L7913" t="str">
            <v>الحسكة</v>
          </cell>
          <cell r="M7913" t="str">
            <v>C4360</v>
          </cell>
          <cell r="AC7913">
            <v>40.760314940000001</v>
          </cell>
          <cell r="AD7913">
            <v>36.506286619999997</v>
          </cell>
        </row>
        <row r="7914">
          <cell r="L7914" t="str">
            <v>الحسكة</v>
          </cell>
          <cell r="M7914" t="str">
            <v>C4360</v>
          </cell>
          <cell r="AC7914">
            <v>40.736877440000001</v>
          </cell>
          <cell r="AD7914">
            <v>36.50689697</v>
          </cell>
        </row>
        <row r="7915">
          <cell r="L7915" t="str">
            <v>الحسكة</v>
          </cell>
          <cell r="M7915" t="str">
            <v>C4360</v>
          </cell>
          <cell r="AC7915">
            <v>40.770080569999998</v>
          </cell>
          <cell r="AD7915">
            <v>36.510070800000001</v>
          </cell>
        </row>
        <row r="7916">
          <cell r="L7916" t="str">
            <v>الحسكة</v>
          </cell>
          <cell r="M7916" t="str">
            <v>C4360</v>
          </cell>
          <cell r="AC7916">
            <v>40.724304199999999</v>
          </cell>
          <cell r="AD7916">
            <v>36.510681150000003</v>
          </cell>
        </row>
        <row r="7917">
          <cell r="L7917" t="str">
            <v>الحسكة</v>
          </cell>
          <cell r="M7917" t="str">
            <v>C4360</v>
          </cell>
          <cell r="AC7917">
            <v>40.751281740000003</v>
          </cell>
          <cell r="AD7917">
            <v>36.51171875</v>
          </cell>
        </row>
        <row r="7918">
          <cell r="L7918" t="str">
            <v>الحسكة</v>
          </cell>
          <cell r="M7918" t="str">
            <v>C4360</v>
          </cell>
          <cell r="AC7918">
            <v>40.732910160000003</v>
          </cell>
          <cell r="AD7918">
            <v>36.517883300000001</v>
          </cell>
        </row>
        <row r="7919">
          <cell r="L7919" t="str">
            <v>الحسكة</v>
          </cell>
          <cell r="M7919" t="str">
            <v>C4360</v>
          </cell>
          <cell r="AC7919">
            <v>40.7520752</v>
          </cell>
          <cell r="AD7919">
            <v>36.519470220000002</v>
          </cell>
        </row>
        <row r="7920">
          <cell r="L7920" t="str">
            <v>الحسكة</v>
          </cell>
          <cell r="M7920" t="str">
            <v>C4360</v>
          </cell>
          <cell r="AC7920">
            <v>40.740112310000001</v>
          </cell>
          <cell r="AD7920">
            <v>36.519897460000003</v>
          </cell>
        </row>
        <row r="7921">
          <cell r="L7921" t="str">
            <v>الحسكة</v>
          </cell>
          <cell r="M7921" t="str">
            <v>C4360</v>
          </cell>
          <cell r="AC7921">
            <v>40.72631836</v>
          </cell>
          <cell r="AD7921">
            <v>36.520507809999998</v>
          </cell>
        </row>
        <row r="7922">
          <cell r="L7922" t="str">
            <v>الحسكة</v>
          </cell>
          <cell r="M7922" t="str">
            <v>C4360</v>
          </cell>
          <cell r="AC7922">
            <v>40.766296390000001</v>
          </cell>
          <cell r="AD7922">
            <v>36.520507809999998</v>
          </cell>
        </row>
        <row r="7923">
          <cell r="L7923" t="str">
            <v>الحسكة</v>
          </cell>
          <cell r="M7923" t="str">
            <v>C4360</v>
          </cell>
          <cell r="AC7923">
            <v>40.730285649999999</v>
          </cell>
          <cell r="AD7923">
            <v>36.52368164</v>
          </cell>
        </row>
        <row r="7924">
          <cell r="L7924" t="str">
            <v>الحسكة</v>
          </cell>
          <cell r="M7924" t="str">
            <v>C4360</v>
          </cell>
          <cell r="AC7924">
            <v>40.73071289</v>
          </cell>
          <cell r="AD7924">
            <v>36.528686520000001</v>
          </cell>
        </row>
        <row r="7925">
          <cell r="L7925" t="str">
            <v>الحسكة</v>
          </cell>
          <cell r="M7925" t="str">
            <v>C4360</v>
          </cell>
          <cell r="AC7925">
            <v>40.755676270000002</v>
          </cell>
          <cell r="AD7925">
            <v>36.528686520000001</v>
          </cell>
        </row>
        <row r="7926">
          <cell r="L7926" t="str">
            <v>الحسكة</v>
          </cell>
          <cell r="M7926" t="str">
            <v>C4360</v>
          </cell>
          <cell r="AC7926">
            <v>40.726074220000001</v>
          </cell>
          <cell r="AD7926">
            <v>36.536682130000003</v>
          </cell>
        </row>
        <row r="7927">
          <cell r="L7927" t="str">
            <v>دير الزور</v>
          </cell>
          <cell r="M7927" t="str">
            <v>C5086</v>
          </cell>
          <cell r="AC7927">
            <v>40.163696289999997</v>
          </cell>
          <cell r="AD7927">
            <v>35.308715820000003</v>
          </cell>
        </row>
        <row r="7928">
          <cell r="L7928" t="str">
            <v>دير الزور</v>
          </cell>
          <cell r="M7928" t="str">
            <v>C5086</v>
          </cell>
          <cell r="AC7928">
            <v>40.149108890000001</v>
          </cell>
          <cell r="AD7928">
            <v>35.319519040000003</v>
          </cell>
        </row>
        <row r="7929">
          <cell r="L7929" t="str">
            <v>دير الزور</v>
          </cell>
          <cell r="M7929" t="str">
            <v>C5086</v>
          </cell>
          <cell r="AC7929">
            <v>40.16107178</v>
          </cell>
          <cell r="AD7929">
            <v>35.32147217</v>
          </cell>
        </row>
        <row r="7930">
          <cell r="L7930" t="str">
            <v>دير الزور</v>
          </cell>
          <cell r="M7930" t="str">
            <v>C5086</v>
          </cell>
          <cell r="AC7930">
            <v>40.151916499999999</v>
          </cell>
          <cell r="AD7930">
            <v>35.323730470000001</v>
          </cell>
        </row>
        <row r="7931">
          <cell r="L7931" t="str">
            <v>دير الزور</v>
          </cell>
          <cell r="M7931" t="str">
            <v>C5086</v>
          </cell>
          <cell r="AC7931">
            <v>40.145507809999998</v>
          </cell>
          <cell r="AD7931">
            <v>35.329101559999998</v>
          </cell>
        </row>
        <row r="7932">
          <cell r="L7932" t="str">
            <v>دير الزور</v>
          </cell>
          <cell r="M7932" t="str">
            <v>C5086</v>
          </cell>
          <cell r="AC7932">
            <v>40.13189697</v>
          </cell>
          <cell r="AD7932">
            <v>35.32971191</v>
          </cell>
        </row>
        <row r="7933">
          <cell r="L7933" t="str">
            <v>دير الزور</v>
          </cell>
          <cell r="M7933" t="str">
            <v>C5086</v>
          </cell>
          <cell r="AC7933">
            <v>40.153686520000001</v>
          </cell>
          <cell r="AD7933">
            <v>35.33227539</v>
          </cell>
        </row>
        <row r="7934">
          <cell r="L7934" t="str">
            <v>دير الزور</v>
          </cell>
          <cell r="M7934" t="str">
            <v>C5086</v>
          </cell>
          <cell r="AC7934">
            <v>40.140319820000002</v>
          </cell>
          <cell r="AD7934">
            <v>35.332519529999999</v>
          </cell>
        </row>
        <row r="7935">
          <cell r="L7935" t="str">
            <v>دير الزور</v>
          </cell>
          <cell r="M7935" t="str">
            <v>C5086</v>
          </cell>
          <cell r="AC7935">
            <v>40.135681150000003</v>
          </cell>
          <cell r="AD7935">
            <v>35.333129880000001</v>
          </cell>
        </row>
        <row r="7936">
          <cell r="L7936" t="str">
            <v>دير الزور</v>
          </cell>
          <cell r="M7936" t="str">
            <v>C5086</v>
          </cell>
          <cell r="AC7936">
            <v>40.147705080000001</v>
          </cell>
          <cell r="AD7936">
            <v>35.333679199999999</v>
          </cell>
        </row>
        <row r="7937">
          <cell r="L7937" t="str">
            <v>دير الزور</v>
          </cell>
          <cell r="M7937" t="str">
            <v>C5086</v>
          </cell>
          <cell r="AC7937">
            <v>40.125671390000001</v>
          </cell>
          <cell r="AD7937">
            <v>35.336914059999998</v>
          </cell>
        </row>
        <row r="7938">
          <cell r="L7938" t="str">
            <v>دير الزور</v>
          </cell>
          <cell r="M7938" t="str">
            <v>C5086</v>
          </cell>
          <cell r="AC7938">
            <v>40.135925290000003</v>
          </cell>
          <cell r="AD7938">
            <v>35.337280270000001</v>
          </cell>
        </row>
        <row r="7939">
          <cell r="L7939" t="str">
            <v>دير الزور</v>
          </cell>
          <cell r="M7939" t="str">
            <v>C5086</v>
          </cell>
          <cell r="AC7939">
            <v>40.1875</v>
          </cell>
          <cell r="AD7939">
            <v>35.342285160000003</v>
          </cell>
        </row>
        <row r="7940">
          <cell r="L7940" t="str">
            <v>دير الزور</v>
          </cell>
          <cell r="M7940" t="str">
            <v>C5086</v>
          </cell>
          <cell r="AC7940">
            <v>40.135681150000003</v>
          </cell>
          <cell r="AD7940">
            <v>35.342895509999998</v>
          </cell>
        </row>
        <row r="7941">
          <cell r="L7941" t="str">
            <v>دير الزور</v>
          </cell>
          <cell r="M7941" t="str">
            <v>C5086</v>
          </cell>
          <cell r="AC7941">
            <v>40.140686039999999</v>
          </cell>
          <cell r="AD7941">
            <v>35.345275880000003</v>
          </cell>
        </row>
        <row r="7942">
          <cell r="L7942" t="str">
            <v>دير الزور</v>
          </cell>
          <cell r="M7942" t="str">
            <v>C5086</v>
          </cell>
          <cell r="AC7942">
            <v>40.111877440000001</v>
          </cell>
          <cell r="AD7942">
            <v>35.345275880000003</v>
          </cell>
        </row>
        <row r="7943">
          <cell r="L7943" t="str">
            <v>دير الزور</v>
          </cell>
          <cell r="M7943" t="str">
            <v>C5086</v>
          </cell>
          <cell r="AC7943">
            <v>40.120300290000003</v>
          </cell>
          <cell r="AD7943">
            <v>35.345886229999998</v>
          </cell>
        </row>
        <row r="7944">
          <cell r="L7944" t="str">
            <v>دير الزور</v>
          </cell>
          <cell r="M7944" t="str">
            <v>C5086</v>
          </cell>
          <cell r="AC7944">
            <v>40.164916990000002</v>
          </cell>
          <cell r="AD7944">
            <v>35.35913086</v>
          </cell>
        </row>
        <row r="7945">
          <cell r="L7945" t="str">
            <v>دير الزور</v>
          </cell>
          <cell r="M7945" t="str">
            <v>C5086</v>
          </cell>
          <cell r="AC7945">
            <v>40.091125490000003</v>
          </cell>
          <cell r="AD7945">
            <v>35.379699709999997</v>
          </cell>
        </row>
        <row r="7946">
          <cell r="L7946" t="str">
            <v>طرطوس</v>
          </cell>
          <cell r="M7946" t="str">
            <v>C5221</v>
          </cell>
          <cell r="AC7946">
            <v>35.905517580000001</v>
          </cell>
          <cell r="AD7946">
            <v>34.859680179999998</v>
          </cell>
        </row>
        <row r="7947">
          <cell r="L7947" t="str">
            <v>طرطوس</v>
          </cell>
          <cell r="M7947" t="str">
            <v>C5221</v>
          </cell>
          <cell r="AC7947">
            <v>35.889892580000001</v>
          </cell>
          <cell r="AD7947">
            <v>34.873901369999999</v>
          </cell>
        </row>
        <row r="7948">
          <cell r="L7948" t="str">
            <v>طرطوس</v>
          </cell>
          <cell r="M7948" t="str">
            <v>C5221</v>
          </cell>
          <cell r="AC7948">
            <v>35.884094240000003</v>
          </cell>
          <cell r="AD7948">
            <v>34.881286619999997</v>
          </cell>
        </row>
        <row r="7949">
          <cell r="L7949" t="str">
            <v>طرطوس</v>
          </cell>
          <cell r="M7949" t="str">
            <v>C5221</v>
          </cell>
          <cell r="AC7949">
            <v>35.901123050000002</v>
          </cell>
          <cell r="AD7949">
            <v>34.885070800000001</v>
          </cell>
        </row>
        <row r="7950">
          <cell r="L7950" t="str">
            <v>طرطوس</v>
          </cell>
          <cell r="M7950" t="str">
            <v>C5221</v>
          </cell>
          <cell r="AC7950">
            <v>35.88647461</v>
          </cell>
          <cell r="AD7950">
            <v>34.88787842</v>
          </cell>
        </row>
        <row r="7951">
          <cell r="L7951" t="str">
            <v>طرطوس</v>
          </cell>
          <cell r="M7951" t="str">
            <v>C5221</v>
          </cell>
          <cell r="AC7951">
            <v>35.879699709999997</v>
          </cell>
          <cell r="AD7951">
            <v>34.889892580000001</v>
          </cell>
        </row>
        <row r="7952">
          <cell r="L7952" t="str">
            <v>طرطوس</v>
          </cell>
          <cell r="M7952" t="str">
            <v>C5221</v>
          </cell>
          <cell r="AC7952">
            <v>35.877685550000002</v>
          </cell>
          <cell r="AD7952">
            <v>34.899108890000001</v>
          </cell>
        </row>
        <row r="7953">
          <cell r="L7953" t="str">
            <v>طرطوس</v>
          </cell>
          <cell r="M7953" t="str">
            <v>C5221</v>
          </cell>
          <cell r="AC7953">
            <v>35.883117679999998</v>
          </cell>
          <cell r="AD7953">
            <v>34.899902339999997</v>
          </cell>
        </row>
        <row r="7954">
          <cell r="L7954" t="str">
            <v>طرطوس</v>
          </cell>
          <cell r="M7954" t="str">
            <v>C5221</v>
          </cell>
          <cell r="AC7954">
            <v>35.894470220000002</v>
          </cell>
          <cell r="AD7954">
            <v>34.902709960000003</v>
          </cell>
        </row>
        <row r="7955">
          <cell r="L7955" t="str">
            <v>الرقة</v>
          </cell>
          <cell r="M7955" t="str">
            <v>C5710</v>
          </cell>
          <cell r="AC7955">
            <v>38.981506349999997</v>
          </cell>
          <cell r="AD7955">
            <v>35.938720699999998</v>
          </cell>
        </row>
        <row r="7956">
          <cell r="L7956" t="str">
            <v>الرقة</v>
          </cell>
          <cell r="M7956" t="str">
            <v>C5710</v>
          </cell>
          <cell r="AC7956">
            <v>39.001281740000003</v>
          </cell>
          <cell r="AD7956">
            <v>35.939270020000002</v>
          </cell>
        </row>
        <row r="7957">
          <cell r="L7957" t="str">
            <v>الرقة</v>
          </cell>
          <cell r="M7957" t="str">
            <v>C5710</v>
          </cell>
          <cell r="AC7957">
            <v>39.019714360000002</v>
          </cell>
          <cell r="AD7957">
            <v>35.940917970000001</v>
          </cell>
        </row>
        <row r="7958">
          <cell r="L7958" t="str">
            <v>الرقة</v>
          </cell>
          <cell r="M7958" t="str">
            <v>C5710</v>
          </cell>
          <cell r="AC7958">
            <v>39.049926759999998</v>
          </cell>
          <cell r="AD7958">
            <v>35.94372559</v>
          </cell>
        </row>
        <row r="7959">
          <cell r="L7959" t="str">
            <v>الرقة</v>
          </cell>
          <cell r="M7959" t="str">
            <v>C5710</v>
          </cell>
          <cell r="AC7959">
            <v>39.034118650000003</v>
          </cell>
          <cell r="AD7959">
            <v>35.944885249999999</v>
          </cell>
        </row>
        <row r="7960">
          <cell r="L7960" t="str">
            <v>الرقة</v>
          </cell>
          <cell r="M7960" t="str">
            <v>C5710</v>
          </cell>
          <cell r="AC7960">
            <v>39.02368164</v>
          </cell>
          <cell r="AD7960">
            <v>35.946289059999998</v>
          </cell>
        </row>
        <row r="7961">
          <cell r="L7961" t="str">
            <v>الرقة</v>
          </cell>
          <cell r="M7961" t="str">
            <v>C5710</v>
          </cell>
          <cell r="AC7961">
            <v>39.016723630000001</v>
          </cell>
          <cell r="AD7961">
            <v>35.947326660000002</v>
          </cell>
        </row>
        <row r="7962">
          <cell r="L7962" t="str">
            <v>الرقة</v>
          </cell>
          <cell r="M7962" t="str">
            <v>C5710</v>
          </cell>
          <cell r="AC7962">
            <v>38.994079589999998</v>
          </cell>
          <cell r="AD7962">
            <v>35.947692869999997</v>
          </cell>
        </row>
        <row r="7963">
          <cell r="L7963" t="str">
            <v>الرقة</v>
          </cell>
          <cell r="M7963" t="str">
            <v>C5710</v>
          </cell>
          <cell r="AC7963">
            <v>38.97747803</v>
          </cell>
          <cell r="AD7963">
            <v>35.950317380000001</v>
          </cell>
        </row>
        <row r="7964">
          <cell r="L7964" t="str">
            <v>الرقة</v>
          </cell>
          <cell r="M7964" t="str">
            <v>C5710</v>
          </cell>
          <cell r="AC7964">
            <v>39.007080080000001</v>
          </cell>
          <cell r="AD7964">
            <v>35.951110839999998</v>
          </cell>
        </row>
        <row r="7965">
          <cell r="L7965" t="str">
            <v>الرقة</v>
          </cell>
          <cell r="M7965" t="str">
            <v>C5710</v>
          </cell>
          <cell r="AC7965">
            <v>39.022888180000002</v>
          </cell>
          <cell r="AD7965">
            <v>35.95288086</v>
          </cell>
        </row>
        <row r="7966">
          <cell r="L7966" t="str">
            <v>الرقة</v>
          </cell>
          <cell r="M7966" t="str">
            <v>C5710</v>
          </cell>
          <cell r="AC7966">
            <v>39.03747559</v>
          </cell>
          <cell r="AD7966">
            <v>35.95288086</v>
          </cell>
        </row>
        <row r="7967">
          <cell r="L7967" t="str">
            <v>الرقة</v>
          </cell>
          <cell r="M7967" t="str">
            <v>C5710</v>
          </cell>
          <cell r="AC7967">
            <v>39.015686039999999</v>
          </cell>
          <cell r="AD7967">
            <v>35.953674319999998</v>
          </cell>
        </row>
        <row r="7968">
          <cell r="L7968" t="str">
            <v>الرقة</v>
          </cell>
          <cell r="M7968" t="str">
            <v>C5710</v>
          </cell>
          <cell r="AC7968">
            <v>38.995483399999998</v>
          </cell>
          <cell r="AD7968">
            <v>35.957702640000001</v>
          </cell>
        </row>
        <row r="7969">
          <cell r="L7969" t="str">
            <v>الرقة</v>
          </cell>
          <cell r="M7969" t="str">
            <v>C5710</v>
          </cell>
          <cell r="AC7969">
            <v>39.02069092</v>
          </cell>
          <cell r="AD7969">
            <v>35.958923339999998</v>
          </cell>
        </row>
        <row r="7970">
          <cell r="L7970" t="str">
            <v>الرقة</v>
          </cell>
          <cell r="M7970" t="str">
            <v>C5710</v>
          </cell>
          <cell r="AC7970">
            <v>38.975708009999998</v>
          </cell>
          <cell r="AD7970">
            <v>35.959472660000003</v>
          </cell>
        </row>
        <row r="7971">
          <cell r="L7971" t="str">
            <v>الرقة</v>
          </cell>
          <cell r="M7971" t="str">
            <v>C5710</v>
          </cell>
          <cell r="AC7971">
            <v>39.033508300000001</v>
          </cell>
          <cell r="AD7971">
            <v>35.961303710000003</v>
          </cell>
        </row>
        <row r="7972">
          <cell r="L7972" t="str">
            <v>الرقة</v>
          </cell>
          <cell r="M7972" t="str">
            <v>C5710</v>
          </cell>
          <cell r="AC7972">
            <v>38.985473630000001</v>
          </cell>
          <cell r="AD7972">
            <v>35.961486819999998</v>
          </cell>
        </row>
        <row r="7973">
          <cell r="L7973" t="str">
            <v>الرقة</v>
          </cell>
          <cell r="M7973" t="str">
            <v>C5710</v>
          </cell>
          <cell r="AC7973">
            <v>38.99768066</v>
          </cell>
          <cell r="AD7973">
            <v>35.961730959999997</v>
          </cell>
        </row>
        <row r="7974">
          <cell r="L7974" t="str">
            <v>الرقة</v>
          </cell>
          <cell r="M7974" t="str">
            <v>C5710</v>
          </cell>
          <cell r="AC7974">
            <v>39.005310059999999</v>
          </cell>
          <cell r="AD7974">
            <v>35.96252441</v>
          </cell>
        </row>
        <row r="7975">
          <cell r="L7975" t="str">
            <v>الرقة</v>
          </cell>
          <cell r="M7975" t="str">
            <v>C5710</v>
          </cell>
          <cell r="AC7975">
            <v>39.016479490000002</v>
          </cell>
          <cell r="AD7975">
            <v>35.96368408</v>
          </cell>
        </row>
        <row r="7976">
          <cell r="L7976" t="str">
            <v>الرقة</v>
          </cell>
          <cell r="M7976" t="str">
            <v>C5710</v>
          </cell>
          <cell r="AC7976">
            <v>38.99310303</v>
          </cell>
          <cell r="AD7976">
            <v>35.968078609999999</v>
          </cell>
        </row>
        <row r="7977">
          <cell r="L7977" t="str">
            <v>الرقة</v>
          </cell>
          <cell r="M7977" t="str">
            <v>C5710</v>
          </cell>
          <cell r="AC7977">
            <v>39.019714360000002</v>
          </cell>
          <cell r="AD7977">
            <v>35.970886229999998</v>
          </cell>
        </row>
        <row r="7978">
          <cell r="L7978" t="str">
            <v>درعا</v>
          </cell>
          <cell r="M7978" t="str">
            <v>C5993</v>
          </cell>
          <cell r="AC7978">
            <v>36.10388184</v>
          </cell>
          <cell r="AD7978">
            <v>32.602294919999999</v>
          </cell>
        </row>
        <row r="7979">
          <cell r="L7979" t="str">
            <v>درعا</v>
          </cell>
          <cell r="M7979" t="str">
            <v>C5993</v>
          </cell>
          <cell r="AC7979">
            <v>36.092895509999998</v>
          </cell>
          <cell r="AD7979">
            <v>32.60247803</v>
          </cell>
        </row>
        <row r="7980">
          <cell r="L7980" t="str">
            <v>درعا</v>
          </cell>
          <cell r="M7980" t="str">
            <v>C5993</v>
          </cell>
          <cell r="AC7980">
            <v>36.095275880000003</v>
          </cell>
          <cell r="AD7980">
            <v>32.608886720000001</v>
          </cell>
        </row>
        <row r="7981">
          <cell r="L7981" t="str">
            <v>درعا</v>
          </cell>
          <cell r="M7981" t="str">
            <v>C5993</v>
          </cell>
          <cell r="AC7981">
            <v>36.116882320000002</v>
          </cell>
          <cell r="AD7981">
            <v>32.610107419999999</v>
          </cell>
        </row>
        <row r="7982">
          <cell r="L7982" t="str">
            <v>درعا</v>
          </cell>
          <cell r="M7982" t="str">
            <v>C5993</v>
          </cell>
          <cell r="AC7982">
            <v>36.105529789999999</v>
          </cell>
          <cell r="AD7982">
            <v>32.613098149999999</v>
          </cell>
        </row>
        <row r="7983">
          <cell r="L7983" t="str">
            <v>درعا</v>
          </cell>
          <cell r="M7983" t="str">
            <v>C5993</v>
          </cell>
          <cell r="AC7983">
            <v>36.09191895</v>
          </cell>
          <cell r="AD7983">
            <v>32.61328125</v>
          </cell>
        </row>
        <row r="7984">
          <cell r="L7984" t="str">
            <v>درعا</v>
          </cell>
          <cell r="M7984" t="str">
            <v>C5993</v>
          </cell>
          <cell r="AC7984">
            <v>36.099670410000002</v>
          </cell>
          <cell r="AD7984">
            <v>32.615478520000003</v>
          </cell>
        </row>
        <row r="7985">
          <cell r="L7985" t="str">
            <v>درعا</v>
          </cell>
          <cell r="M7985" t="str">
            <v>C5993</v>
          </cell>
          <cell r="AC7985">
            <v>36.111083979999997</v>
          </cell>
          <cell r="AD7985">
            <v>32.617492679999998</v>
          </cell>
        </row>
        <row r="7986">
          <cell r="L7986" t="str">
            <v>درعا</v>
          </cell>
          <cell r="M7986" t="str">
            <v>C5993</v>
          </cell>
          <cell r="AC7986">
            <v>36.117126470000002</v>
          </cell>
          <cell r="AD7986">
            <v>32.620117190000002</v>
          </cell>
        </row>
        <row r="7987">
          <cell r="L7987" t="str">
            <v>درعا</v>
          </cell>
          <cell r="M7987" t="str">
            <v>C5993</v>
          </cell>
          <cell r="AC7987">
            <v>36.104492190000002</v>
          </cell>
          <cell r="AD7987">
            <v>32.621887209999997</v>
          </cell>
        </row>
        <row r="7988">
          <cell r="L7988" t="str">
            <v>درعا</v>
          </cell>
          <cell r="M7988" t="str">
            <v>C5993</v>
          </cell>
          <cell r="AC7988">
            <v>36.090881349999997</v>
          </cell>
          <cell r="AD7988">
            <v>32.623107910000002</v>
          </cell>
        </row>
        <row r="7989">
          <cell r="L7989" t="str">
            <v>درعا</v>
          </cell>
          <cell r="M7989" t="str">
            <v>C5993</v>
          </cell>
          <cell r="AC7989">
            <v>36.119323729999998</v>
          </cell>
          <cell r="AD7989">
            <v>32.62408447</v>
          </cell>
        </row>
        <row r="7990">
          <cell r="L7990" t="str">
            <v>درعا</v>
          </cell>
          <cell r="M7990" t="str">
            <v>C5993</v>
          </cell>
          <cell r="AC7990">
            <v>36.098327640000001</v>
          </cell>
          <cell r="AD7990">
            <v>32.625122070000003</v>
          </cell>
        </row>
        <row r="7991">
          <cell r="L7991" t="str">
            <v>درعا</v>
          </cell>
          <cell r="M7991" t="str">
            <v>C5993</v>
          </cell>
          <cell r="AC7991">
            <v>36.109497070000003</v>
          </cell>
          <cell r="AD7991">
            <v>32.626281740000003</v>
          </cell>
        </row>
        <row r="7992">
          <cell r="L7992" t="str">
            <v>درعا</v>
          </cell>
          <cell r="M7992" t="str">
            <v>C5993</v>
          </cell>
          <cell r="AC7992">
            <v>36.099914550000001</v>
          </cell>
          <cell r="AD7992">
            <v>32.629882809999998</v>
          </cell>
        </row>
        <row r="7993">
          <cell r="L7993" t="str">
            <v>درعا</v>
          </cell>
          <cell r="M7993" t="str">
            <v>C5993</v>
          </cell>
          <cell r="AC7993">
            <v>36.110900880000003</v>
          </cell>
          <cell r="AD7993">
            <v>32.632873539999999</v>
          </cell>
        </row>
        <row r="7994">
          <cell r="L7994" t="str">
            <v>درعا</v>
          </cell>
          <cell r="M7994" t="str">
            <v>C5993</v>
          </cell>
          <cell r="AC7994">
            <v>36.093322749999999</v>
          </cell>
          <cell r="AD7994">
            <v>32.634521479999997</v>
          </cell>
        </row>
        <row r="7995">
          <cell r="L7995" t="str">
            <v>درعا</v>
          </cell>
          <cell r="M7995" t="str">
            <v>C5993</v>
          </cell>
          <cell r="AC7995">
            <v>36.119873050000002</v>
          </cell>
          <cell r="AD7995">
            <v>32.6348877</v>
          </cell>
        </row>
        <row r="7996">
          <cell r="L7996" t="str">
            <v>درعا</v>
          </cell>
          <cell r="M7996" t="str">
            <v>C5993</v>
          </cell>
          <cell r="AC7996">
            <v>36.103088380000003</v>
          </cell>
          <cell r="AD7996">
            <v>32.635498050000002</v>
          </cell>
        </row>
        <row r="7997">
          <cell r="L7997" t="str">
            <v>درعا</v>
          </cell>
          <cell r="M7997" t="str">
            <v>C5993</v>
          </cell>
          <cell r="AC7997">
            <v>36.082702640000001</v>
          </cell>
          <cell r="AD7997">
            <v>32.638671879999997</v>
          </cell>
        </row>
        <row r="7998">
          <cell r="L7998" t="str">
            <v>السويداء</v>
          </cell>
          <cell r="M7998" t="str">
            <v>C6147</v>
          </cell>
          <cell r="AC7998">
            <v>36.573730470000001</v>
          </cell>
          <cell r="AD7998">
            <v>32.691101070000002</v>
          </cell>
        </row>
        <row r="7999">
          <cell r="L7999" t="str">
            <v>السويداء</v>
          </cell>
          <cell r="M7999" t="str">
            <v>C6147</v>
          </cell>
          <cell r="AC7999">
            <v>36.560485839999998</v>
          </cell>
          <cell r="AD7999">
            <v>32.691528320000003</v>
          </cell>
        </row>
        <row r="8000">
          <cell r="L8000" t="str">
            <v>السويداء</v>
          </cell>
          <cell r="M8000" t="str">
            <v>C6147</v>
          </cell>
          <cell r="AC8000">
            <v>36.574707029999999</v>
          </cell>
          <cell r="AD8000">
            <v>32.699707029999999</v>
          </cell>
        </row>
        <row r="8001">
          <cell r="L8001" t="str">
            <v>السويداء</v>
          </cell>
          <cell r="M8001" t="str">
            <v>C6147</v>
          </cell>
          <cell r="AC8001">
            <v>36.577270509999998</v>
          </cell>
          <cell r="AD8001">
            <v>32.706298830000001</v>
          </cell>
        </row>
        <row r="8002">
          <cell r="L8002" t="str">
            <v>السويداء</v>
          </cell>
          <cell r="M8002" t="str">
            <v>C6147</v>
          </cell>
          <cell r="AC8002">
            <v>36.556884770000003</v>
          </cell>
          <cell r="AD8002">
            <v>32.708129880000001</v>
          </cell>
        </row>
        <row r="8003">
          <cell r="L8003" t="str">
            <v>السويداء</v>
          </cell>
          <cell r="M8003" t="str">
            <v>C6147</v>
          </cell>
          <cell r="AC8003">
            <v>36.555297850000002</v>
          </cell>
          <cell r="AD8003">
            <v>32.717712400000003</v>
          </cell>
        </row>
        <row r="8004">
          <cell r="L8004" t="str">
            <v>السويداء</v>
          </cell>
          <cell r="M8004" t="str">
            <v>C6147</v>
          </cell>
          <cell r="AC8004">
            <v>36.581726070000002</v>
          </cell>
          <cell r="AD8004">
            <v>32.718078609999999</v>
          </cell>
        </row>
        <row r="8005">
          <cell r="L8005" t="str">
            <v>السويداء</v>
          </cell>
          <cell r="M8005" t="str">
            <v>C6147</v>
          </cell>
          <cell r="AC8005">
            <v>36.578918459999997</v>
          </cell>
          <cell r="AD8005">
            <v>32.724304199999999</v>
          </cell>
        </row>
        <row r="8006">
          <cell r="L8006" t="str">
            <v>السويداء</v>
          </cell>
          <cell r="M8006" t="str">
            <v>C6147</v>
          </cell>
          <cell r="AC8006">
            <v>36.561279300000002</v>
          </cell>
          <cell r="AD8006">
            <v>32.725097660000003</v>
          </cell>
        </row>
        <row r="8007">
          <cell r="L8007" t="str">
            <v>السويداء</v>
          </cell>
          <cell r="M8007" t="str">
            <v>C6147</v>
          </cell>
          <cell r="AC8007">
            <v>36.572875979999999</v>
          </cell>
          <cell r="AD8007">
            <v>32.725280759999997</v>
          </cell>
        </row>
        <row r="8008">
          <cell r="L8008" t="str">
            <v>عنيق الهوى</v>
          </cell>
          <cell r="M8008" t="str">
            <v>C7667</v>
          </cell>
          <cell r="AC8008">
            <v>40.312585120000001</v>
          </cell>
          <cell r="AD8008">
            <v>36.779006170000002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torm_GIS"/>
    </sheetNames>
    <sheetDataSet>
      <sheetData sheetId="0">
        <row r="1">
          <cell r="E1" t="str">
            <v>القرية– البلدة</v>
          </cell>
          <cell r="P1" t="str">
            <v>Latitude</v>
          </cell>
        </row>
        <row r="2">
          <cell r="E2" t="str">
            <v>إعزاز</v>
          </cell>
          <cell r="P2">
            <v>36.584899999999998</v>
          </cell>
        </row>
        <row r="3">
          <cell r="E3" t="str">
            <v>عفرين</v>
          </cell>
          <cell r="P3">
            <v>36.508378999999998</v>
          </cell>
        </row>
        <row r="4">
          <cell r="E4" t="str">
            <v>منازل وقرى</v>
          </cell>
          <cell r="P4" t="e">
            <v>#NAME?</v>
          </cell>
        </row>
        <row r="5">
          <cell r="E5" t="str">
            <v>جرابلس</v>
          </cell>
          <cell r="P5">
            <v>36.814514000000003</v>
          </cell>
        </row>
        <row r="6">
          <cell r="E6" t="str">
            <v>منبج</v>
          </cell>
          <cell r="P6">
            <v>36.525879000000003</v>
          </cell>
        </row>
        <row r="7">
          <cell r="E7" t="str">
            <v>جرابلس</v>
          </cell>
          <cell r="P7">
            <v>36.814514000000003</v>
          </cell>
        </row>
        <row r="8">
          <cell r="E8" t="str">
            <v>الغندورة</v>
          </cell>
          <cell r="P8">
            <v>36.677123999999999</v>
          </cell>
        </row>
        <row r="9">
          <cell r="E9" t="str">
            <v>زوغرة</v>
          </cell>
          <cell r="P9">
            <v>36.750565999999999</v>
          </cell>
        </row>
        <row r="10">
          <cell r="E10" t="str">
            <v>الراعي</v>
          </cell>
          <cell r="P10">
            <v>36.601073999999997</v>
          </cell>
        </row>
        <row r="11">
          <cell r="E11" t="str">
            <v>زوغرة</v>
          </cell>
          <cell r="P11">
            <v>36.750565999999999</v>
          </cell>
        </row>
        <row r="12">
          <cell r="E12" t="str">
            <v>مناطق مهددة</v>
          </cell>
          <cell r="P12" t="e">
            <v>#NAME?</v>
          </cell>
        </row>
        <row r="13">
          <cell r="E13" t="str">
            <v>شيخ الحديد</v>
          </cell>
          <cell r="P13">
            <v>36.501708999999998</v>
          </cell>
        </row>
        <row r="14">
          <cell r="E14" t="str">
            <v>جنديرس</v>
          </cell>
          <cell r="P14">
            <v>36.392516999999998</v>
          </cell>
        </row>
        <row r="15">
          <cell r="E15" t="str">
            <v>شيخ حديد</v>
          </cell>
          <cell r="P15">
            <v>35.353515999999999</v>
          </cell>
        </row>
        <row r="16">
          <cell r="E16" t="str">
            <v>جسر البيروتي</v>
          </cell>
          <cell r="P16" t="e">
            <v>#NAME?</v>
          </cell>
        </row>
        <row r="17">
          <cell r="E17" t="str">
            <v>شيخ حديد</v>
          </cell>
          <cell r="P17">
            <v>35.353515999999999</v>
          </cell>
        </row>
        <row r="18">
          <cell r="E18" t="str">
            <v>الجسور</v>
          </cell>
          <cell r="P18" t="e">
            <v>#NAME?</v>
          </cell>
        </row>
        <row r="19">
          <cell r="E19" t="str">
            <v>عفرين</v>
          </cell>
          <cell r="P19">
            <v>36.508378999999998</v>
          </cell>
        </row>
        <row r="20">
          <cell r="E20" t="str">
            <v>راجو</v>
          </cell>
          <cell r="P20">
            <v>36.676879999999997</v>
          </cell>
        </row>
        <row r="21">
          <cell r="E21" t="str">
            <v>عفرين</v>
          </cell>
          <cell r="P21">
            <v>36.508378999999998</v>
          </cell>
        </row>
        <row r="22">
          <cell r="E22" t="str">
            <v>شران</v>
          </cell>
          <cell r="P22">
            <v>36.658507999999998</v>
          </cell>
        </row>
        <row r="23">
          <cell r="E23" t="str">
            <v>عفرين</v>
          </cell>
          <cell r="P23">
            <v>36.508378999999998</v>
          </cell>
        </row>
        <row r="24">
          <cell r="E24" t="str">
            <v>البل</v>
          </cell>
          <cell r="P24">
            <v>36.595092999999999</v>
          </cell>
        </row>
        <row r="25">
          <cell r="E25" t="str">
            <v>عفرين</v>
          </cell>
          <cell r="P25">
            <v>36.508378999999998</v>
          </cell>
        </row>
        <row r="26">
          <cell r="E26" t="str">
            <v>المعبطلي</v>
          </cell>
          <cell r="P26">
            <v>36.562460000000002</v>
          </cell>
        </row>
        <row r="27">
          <cell r="E27" t="str">
            <v>راجو</v>
          </cell>
          <cell r="P27">
            <v>36.676879999999997</v>
          </cell>
        </row>
        <row r="28">
          <cell r="E28" t="str">
            <v>بلبل</v>
          </cell>
          <cell r="P28">
            <v>36.769714</v>
          </cell>
        </row>
        <row r="29">
          <cell r="E29" t="str">
            <v>راجو</v>
          </cell>
          <cell r="P29">
            <v>36.676879999999997</v>
          </cell>
        </row>
        <row r="30">
          <cell r="E30" t="str">
            <v>جنديرس</v>
          </cell>
          <cell r="P30">
            <v>36.392516999999998</v>
          </cell>
        </row>
        <row r="31">
          <cell r="E31" t="str">
            <v>حجي حسنلي</v>
          </cell>
        </row>
        <row r="32">
          <cell r="E32" t="str">
            <v>المزينة_أرندة</v>
          </cell>
          <cell r="P32">
            <v>36.530558999999997</v>
          </cell>
        </row>
        <row r="33">
          <cell r="E33" t="str">
            <v>درمش_درمشكانلي</v>
          </cell>
          <cell r="P33">
            <v>36.527189999999997</v>
          </cell>
        </row>
        <row r="34">
          <cell r="E34" t="str">
            <v>أراضٍ زراعية</v>
          </cell>
          <cell r="P34" t="e">
            <v>#NAME?</v>
          </cell>
        </row>
        <row r="35">
          <cell r="E35" t="str">
            <v>طرق رئيسية</v>
          </cell>
          <cell r="P35" t="e">
            <v>#NAME?</v>
          </cell>
        </row>
        <row r="36">
          <cell r="E36" t="str">
            <v>محور النهر</v>
          </cell>
          <cell r="P36" t="e">
            <v>#NAME?</v>
          </cell>
        </row>
        <row r="37">
          <cell r="E37" t="str">
            <v>مجرى النهر</v>
          </cell>
          <cell r="P37" t="e">
            <v>#NAME?</v>
          </cell>
        </row>
        <row r="38">
          <cell r="E38" t="str">
            <v>نبل</v>
          </cell>
          <cell r="P38">
            <v>36.375121999999998</v>
          </cell>
        </row>
        <row r="39">
          <cell r="E39" t="str">
            <v>حلب</v>
          </cell>
          <cell r="P39">
            <v>36.206116000000002</v>
          </cell>
        </row>
        <row r="40">
          <cell r="E40" t="str">
            <v>دارة عزة</v>
          </cell>
          <cell r="P40">
            <v>36.285094999999998</v>
          </cell>
        </row>
        <row r="41">
          <cell r="E41" t="str">
            <v>عبارات المياه</v>
          </cell>
          <cell r="P41" t="e">
            <v>#NAME?</v>
          </cell>
        </row>
        <row r="42">
          <cell r="E42" t="str">
            <v>دارة عزة</v>
          </cell>
          <cell r="P42">
            <v>36.285094999999998</v>
          </cell>
        </row>
        <row r="43">
          <cell r="E43" t="str">
            <v>غزاوية عفرين</v>
          </cell>
          <cell r="P43">
            <v>36.375892999999998</v>
          </cell>
        </row>
        <row r="44">
          <cell r="E44" t="str">
            <v>شران</v>
          </cell>
          <cell r="P44">
            <v>36.658507999999998</v>
          </cell>
        </row>
        <row r="45">
          <cell r="E45" t="str">
            <v>المحببة_ناز أوشاغي</v>
          </cell>
          <cell r="P45">
            <v>36.660971000000004</v>
          </cell>
        </row>
        <row r="46">
          <cell r="E46" t="str">
            <v>بلدة تل حميس وقرى حنوة والواوية والسيسي وخربة عمر وجسر العاكولة</v>
          </cell>
          <cell r="P46" t="e">
            <v>#NAME?</v>
          </cell>
        </row>
        <row r="47">
          <cell r="E47" t="str">
            <v>المحببة_ناز أوشاغي</v>
          </cell>
          <cell r="P47">
            <v>36.660971000000004</v>
          </cell>
        </row>
        <row r="48">
          <cell r="E48" t="str">
            <v>سيحة المجود/البوثة/حي السكة/محيط مطار اليعربية (رميلان)</v>
          </cell>
          <cell r="P48" t="e">
            <v>#NAME?</v>
          </cell>
        </row>
        <row r="49">
          <cell r="E49" t="str">
            <v>المدللة عفرين_كوتانلي شرقي</v>
          </cell>
        </row>
        <row r="50">
          <cell r="E50" t="str">
            <v>الحلوانية</v>
          </cell>
          <cell r="P50">
            <v>36.789124000000001</v>
          </cell>
        </row>
        <row r="51">
          <cell r="E51" t="str">
            <v>الغندورة</v>
          </cell>
          <cell r="P51">
            <v>36.677123999999999</v>
          </cell>
        </row>
        <row r="52">
          <cell r="E52" t="str">
            <v>كعيبة</v>
          </cell>
          <cell r="P52">
            <v>36.541077000000001</v>
          </cell>
        </row>
        <row r="53">
          <cell r="E53" t="str">
            <v>اخترين</v>
          </cell>
          <cell r="P53">
            <v>36.509704999999997</v>
          </cell>
        </row>
        <row r="54">
          <cell r="E54" t="str">
            <v>كعيبة</v>
          </cell>
          <cell r="P54">
            <v>36.541077000000001</v>
          </cell>
        </row>
        <row r="55">
          <cell r="E55" t="str">
            <v>طرق حيوية</v>
          </cell>
          <cell r="P55" t="e">
            <v>#NAME?</v>
          </cell>
        </row>
        <row r="56">
          <cell r="E56" t="str">
            <v>صندي</v>
          </cell>
          <cell r="P56">
            <v>36.581116000000002</v>
          </cell>
        </row>
        <row r="57">
          <cell r="E57" t="str">
            <v>القسطل</v>
          </cell>
          <cell r="P57">
            <v>36.548895000000002</v>
          </cell>
        </row>
        <row r="58">
          <cell r="E58" t="str">
            <v>قسطل مقداد</v>
          </cell>
          <cell r="P58">
            <v>36.734189999999998</v>
          </cell>
        </row>
        <row r="59">
          <cell r="E59" t="str">
            <v>هوزان</v>
          </cell>
          <cell r="P59">
            <v>36.719481999999999</v>
          </cell>
        </row>
        <row r="60">
          <cell r="E60" t="str">
            <v>كفر جنة</v>
          </cell>
          <cell r="P60">
            <v>36.584105999999998</v>
          </cell>
        </row>
        <row r="61">
          <cell r="E61" t="str">
            <v>الصنوبر</v>
          </cell>
          <cell r="P61">
            <v>35.475340000000003</v>
          </cell>
        </row>
        <row r="62">
          <cell r="E62" t="str">
            <v>كفرروم</v>
          </cell>
          <cell r="P62">
            <v>36.590198000000001</v>
          </cell>
        </row>
        <row r="63">
          <cell r="E63" t="str">
            <v>حلوبي صغير</v>
          </cell>
          <cell r="P63">
            <v>36.603639999999999</v>
          </cell>
        </row>
        <row r="64">
          <cell r="E64" t="str">
            <v>المزرعة</v>
          </cell>
          <cell r="P64">
            <v>32.805908000000002</v>
          </cell>
        </row>
        <row r="65">
          <cell r="E65" t="str">
            <v>أناب</v>
          </cell>
          <cell r="P65">
            <v>36.519103999999999</v>
          </cell>
        </row>
        <row r="66">
          <cell r="E66" t="str">
            <v>مريمين</v>
          </cell>
          <cell r="P66">
            <v>36.528013000000001</v>
          </cell>
        </row>
        <row r="67">
          <cell r="E67" t="str">
            <v>المعبطلي</v>
          </cell>
          <cell r="P67">
            <v>36.562460000000002</v>
          </cell>
        </row>
        <row r="68">
          <cell r="E68" t="str">
            <v>حلب</v>
          </cell>
          <cell r="P68">
            <v>36.206116000000002</v>
          </cell>
        </row>
        <row r="69">
          <cell r="E69" t="str">
            <v>صليب التركمان</v>
          </cell>
          <cell r="P69">
            <v>35.687750000000001</v>
          </cell>
        </row>
        <row r="70">
          <cell r="E70" t="str">
            <v>محلق جبلة</v>
          </cell>
          <cell r="P70">
            <v>35.350764287081503</v>
          </cell>
        </row>
        <row r="71">
          <cell r="E71" t="str">
            <v>صليب التركمان</v>
          </cell>
          <cell r="P71">
            <v>35.687750000000001</v>
          </cell>
        </row>
        <row r="72">
          <cell r="E72" t="str">
            <v>بلبل</v>
          </cell>
          <cell r="P72">
            <v>36.769714</v>
          </cell>
        </row>
        <row r="73">
          <cell r="E73" t="str">
            <v>عبودان</v>
          </cell>
          <cell r="P73">
            <v>36.755127000000002</v>
          </cell>
        </row>
        <row r="74">
          <cell r="E74" t="str">
            <v>الرمل الجنوبي</v>
          </cell>
          <cell r="P74">
            <v>35.50703</v>
          </cell>
        </row>
        <row r="75">
          <cell r="E75" t="str">
            <v>بلبل</v>
          </cell>
          <cell r="P75">
            <v>36.769714</v>
          </cell>
        </row>
        <row r="76">
          <cell r="E76" t="str">
            <v>القميرة</v>
          </cell>
        </row>
        <row r="77">
          <cell r="E77" t="str">
            <v>مشروع القلعة</v>
          </cell>
          <cell r="P77">
            <v>35.522321476400101</v>
          </cell>
        </row>
        <row r="78">
          <cell r="E78" t="str">
            <v>شنكل</v>
          </cell>
          <cell r="P78">
            <v>36.811706000000001</v>
          </cell>
        </row>
        <row r="79">
          <cell r="E79" t="str">
            <v>المعبطلي</v>
          </cell>
          <cell r="P79">
            <v>36.562460000000002</v>
          </cell>
        </row>
        <row r="80">
          <cell r="E80" t="str">
            <v>حي سبيرو</v>
          </cell>
          <cell r="P80">
            <v>35.522411572762699</v>
          </cell>
        </row>
        <row r="81">
          <cell r="E81" t="str">
            <v>الشاليهات</v>
          </cell>
          <cell r="P81">
            <v>35.506031533277699</v>
          </cell>
        </row>
        <row r="82">
          <cell r="E82" t="str">
            <v>ياخور_أيكي أخور</v>
          </cell>
          <cell r="P82">
            <v>36.51493</v>
          </cell>
        </row>
        <row r="83">
          <cell r="E83" t="str">
            <v>شمارين</v>
          </cell>
          <cell r="P83">
            <v>36.661498999999999</v>
          </cell>
        </row>
        <row r="84">
          <cell r="E84" t="str">
            <v>صليب التركمان</v>
          </cell>
          <cell r="P84">
            <v>35.687750000000001</v>
          </cell>
        </row>
        <row r="85">
          <cell r="E85" t="str">
            <v>جبل الأكراد</v>
          </cell>
          <cell r="P85">
            <v>35.650346480191999</v>
          </cell>
        </row>
        <row r="86">
          <cell r="E86" t="str">
            <v>منبج</v>
          </cell>
          <cell r="P86">
            <v>36.525879000000003</v>
          </cell>
        </row>
        <row r="87">
          <cell r="E87" t="str">
            <v>غابات الفرنلق</v>
          </cell>
          <cell r="P87">
            <v>35.847526999999999</v>
          </cell>
        </row>
        <row r="88">
          <cell r="E88" t="str">
            <v>الحفة</v>
          </cell>
          <cell r="P88">
            <v>35.599487000000003</v>
          </cell>
        </row>
        <row r="89">
          <cell r="E89" t="str">
            <v>تل حدية</v>
          </cell>
          <cell r="P89">
            <v>35.995728</v>
          </cell>
        </row>
        <row r="90">
          <cell r="E90" t="str">
            <v>منطقة الصناعة</v>
          </cell>
          <cell r="P90">
            <v>35.538762778733698</v>
          </cell>
        </row>
        <row r="91">
          <cell r="E91" t="str">
            <v>الريان</v>
          </cell>
          <cell r="P91">
            <v>36.153036999999998</v>
          </cell>
        </row>
        <row r="92">
          <cell r="E92" t="str">
            <v>العيدو</v>
          </cell>
          <cell r="P92">
            <v>35.740583000000001</v>
          </cell>
        </row>
        <row r="93">
          <cell r="E93" t="str">
            <v>نيارة</v>
          </cell>
          <cell r="P93">
            <v>36.60792</v>
          </cell>
        </row>
        <row r="94">
          <cell r="E94" t="str">
            <v>معرين</v>
          </cell>
          <cell r="P94">
            <v>36.621650000000002</v>
          </cell>
        </row>
        <row r="95">
          <cell r="E95" t="str">
            <v>كفرروم</v>
          </cell>
          <cell r="P95">
            <v>36.590198000000001</v>
          </cell>
        </row>
        <row r="96">
          <cell r="E96" t="str">
            <v>العون</v>
          </cell>
          <cell r="P96">
            <v>36.556885000000001</v>
          </cell>
        </row>
        <row r="97">
          <cell r="E97" t="str">
            <v>مشروع القلعة</v>
          </cell>
          <cell r="P97">
            <v>35.522321476400101</v>
          </cell>
        </row>
        <row r="98">
          <cell r="E98" t="str">
            <v>المحمدية</v>
          </cell>
          <cell r="P98">
            <v>33.506714000000002</v>
          </cell>
        </row>
        <row r="99">
          <cell r="E99" t="str">
            <v>عاصمية</v>
          </cell>
          <cell r="P99">
            <v>36.112850000000002</v>
          </cell>
        </row>
        <row r="100">
          <cell r="E100" t="str">
            <v>خربة بشير</v>
          </cell>
          <cell r="P100">
            <v>36.696779999999997</v>
          </cell>
        </row>
        <row r="101">
          <cell r="E101" t="str">
            <v>حي سبيرو</v>
          </cell>
          <cell r="P101">
            <v>35.522411572762699</v>
          </cell>
        </row>
        <row r="102">
          <cell r="E102" t="str">
            <v>الشاليهات</v>
          </cell>
          <cell r="P102">
            <v>35.506031533277699</v>
          </cell>
        </row>
        <row r="103">
          <cell r="E103" t="str">
            <v>الخالدية</v>
          </cell>
          <cell r="P103">
            <v>36.124180000000003</v>
          </cell>
        </row>
        <row r="104">
          <cell r="E104" t="str">
            <v>الحفة</v>
          </cell>
          <cell r="P104">
            <v>35.599487000000003</v>
          </cell>
        </row>
        <row r="105">
          <cell r="E105" t="str">
            <v>سلمى</v>
          </cell>
          <cell r="P105">
            <v>35.688110000000002</v>
          </cell>
        </row>
        <row r="106">
          <cell r="E106" t="str">
            <v>جسر الشغور</v>
          </cell>
          <cell r="P106">
            <v>35.814270020000002</v>
          </cell>
        </row>
        <row r="107">
          <cell r="E107" t="str">
            <v>الحفة والتركمان</v>
          </cell>
        </row>
        <row r="108">
          <cell r="E108" t="str">
            <v>جسر الشغور</v>
          </cell>
          <cell r="P108">
            <v>35.814270020000002</v>
          </cell>
        </row>
        <row r="109">
          <cell r="E109" t="str">
            <v>زرزور</v>
          </cell>
          <cell r="P109" t="e">
            <v>#NAME?</v>
          </cell>
        </row>
        <row r="110">
          <cell r="E110" t="str">
            <v>دركوش</v>
          </cell>
          <cell r="P110">
            <v>35.992492679999998</v>
          </cell>
        </row>
        <row r="111">
          <cell r="E111" t="str">
            <v>إدلب</v>
          </cell>
          <cell r="P111">
            <v>35.929077149999998</v>
          </cell>
        </row>
        <row r="112">
          <cell r="E112" t="str">
            <v>دركوش</v>
          </cell>
          <cell r="P112" t="e">
            <v>#NAME?</v>
          </cell>
        </row>
        <row r="113">
          <cell r="E113" t="str">
            <v>كفرلوسين</v>
          </cell>
          <cell r="P113">
            <v>36.255676270000002</v>
          </cell>
        </row>
        <row r="114">
          <cell r="E114" t="str">
            <v>أطمة</v>
          </cell>
          <cell r="P114">
            <v>36.309875490000003</v>
          </cell>
        </row>
        <row r="115">
          <cell r="E115" t="str">
            <v>عقربات</v>
          </cell>
          <cell r="P115" t="e">
            <v>#NAME?</v>
          </cell>
        </row>
        <row r="116">
          <cell r="E116" t="str">
            <v>باب الهوى</v>
          </cell>
          <cell r="P116" t="e">
            <v>#NAME?</v>
          </cell>
        </row>
        <row r="117">
          <cell r="E117" t="str">
            <v>أطمة</v>
          </cell>
          <cell r="P117">
            <v>36.309875490000003</v>
          </cell>
        </row>
        <row r="118">
          <cell r="E118" t="str">
            <v>دير بلوط</v>
          </cell>
          <cell r="P118">
            <v>36.339721679999997</v>
          </cell>
        </row>
        <row r="119">
          <cell r="E119" t="str">
            <v>قورقانيا</v>
          </cell>
          <cell r="P119">
            <v>36.138488770000002</v>
          </cell>
        </row>
        <row r="120">
          <cell r="E120" t="str">
            <v>قلب لوزة</v>
          </cell>
          <cell r="P120">
            <v>36.169311520000001</v>
          </cell>
        </row>
        <row r="121">
          <cell r="E121" t="str">
            <v>بداما</v>
          </cell>
          <cell r="P121">
            <v>35.812072749999999</v>
          </cell>
        </row>
        <row r="122">
          <cell r="E122" t="str">
            <v>أرملا</v>
          </cell>
          <cell r="P122">
            <v>35.899108890000001</v>
          </cell>
        </row>
        <row r="123">
          <cell r="E123" t="str">
            <v>بداما</v>
          </cell>
          <cell r="P123">
            <v>35.812072749999999</v>
          </cell>
        </row>
        <row r="124">
          <cell r="E124" t="str">
            <v>اللاذقية</v>
          </cell>
          <cell r="P124">
            <v>35.539123539999999</v>
          </cell>
        </row>
        <row r="125">
          <cell r="E125" t="str">
            <v>صلوة</v>
          </cell>
          <cell r="P125">
            <v>36.308288570000002</v>
          </cell>
        </row>
        <row r="126">
          <cell r="E126" t="str">
            <v>دارة عزة</v>
          </cell>
          <cell r="P126" t="e">
            <v>#NAME?</v>
          </cell>
        </row>
        <row r="127">
          <cell r="E127" t="str">
            <v>كفر تخاريم</v>
          </cell>
          <cell r="P127">
            <v>36.116516109999999</v>
          </cell>
        </row>
        <row r="128">
          <cell r="E128" t="str">
            <v>سلقين</v>
          </cell>
          <cell r="P128">
            <v>36.139099119999997</v>
          </cell>
        </row>
        <row r="129">
          <cell r="E129" t="str">
            <v>كفر تخاريم</v>
          </cell>
          <cell r="P129">
            <v>36.116516109999999</v>
          </cell>
        </row>
        <row r="130">
          <cell r="E130" t="str">
            <v>جوبة برغال</v>
          </cell>
          <cell r="P130">
            <v>35.49353</v>
          </cell>
        </row>
        <row r="131">
          <cell r="E131" t="str">
            <v>حارم</v>
          </cell>
          <cell r="P131">
            <v>36.212707520000002</v>
          </cell>
        </row>
        <row r="132">
          <cell r="E132" t="str">
            <v>سرمدا</v>
          </cell>
          <cell r="P132">
            <v>36.186706540000003</v>
          </cell>
        </row>
        <row r="133">
          <cell r="E133" t="str">
            <v>حارم</v>
          </cell>
          <cell r="P133">
            <v>36.212707520000002</v>
          </cell>
        </row>
        <row r="134">
          <cell r="E134" t="str">
            <v>الفرنلق</v>
          </cell>
          <cell r="P134">
            <v>35.847526999999999</v>
          </cell>
        </row>
        <row r="135">
          <cell r="E135" t="str">
            <v>صلوة</v>
          </cell>
          <cell r="P135">
            <v>36.308288570000002</v>
          </cell>
        </row>
        <row r="136">
          <cell r="E136" t="str">
            <v>قاح</v>
          </cell>
          <cell r="P136" t="e">
            <v>#NAME?</v>
          </cell>
        </row>
        <row r="137">
          <cell r="E137" t="str">
            <v>كفرلوسين</v>
          </cell>
          <cell r="P137">
            <v>36.255676270000002</v>
          </cell>
        </row>
        <row r="138">
          <cell r="E138" t="str">
            <v>الفوعة</v>
          </cell>
          <cell r="P138">
            <v>35.982116699999999</v>
          </cell>
        </row>
        <row r="139">
          <cell r="E139" t="str">
            <v>أبو الظهور</v>
          </cell>
          <cell r="P139" t="e">
            <v>#NAME?</v>
          </cell>
        </row>
        <row r="140">
          <cell r="E140" t="str">
            <v>الشيخ بركة</v>
          </cell>
          <cell r="P140">
            <v>35.559875490000003</v>
          </cell>
        </row>
        <row r="141">
          <cell r="E141" t="str">
            <v>سرمين</v>
          </cell>
          <cell r="P141">
            <v>35.903686520000001</v>
          </cell>
        </row>
        <row r="142">
          <cell r="E142" t="str">
            <v>تلمنس</v>
          </cell>
          <cell r="P142" t="e">
            <v>#NAME?</v>
          </cell>
        </row>
        <row r="143">
          <cell r="E143" t="str">
            <v>خان شيخون</v>
          </cell>
          <cell r="P143">
            <v>35.46691895</v>
          </cell>
        </row>
        <row r="144">
          <cell r="E144" t="str">
            <v>جبل الأكراد</v>
          </cell>
          <cell r="P144">
            <v>35.650346480191999</v>
          </cell>
        </row>
        <row r="145">
          <cell r="E145" t="str">
            <v>الحسانية_هتيا</v>
          </cell>
          <cell r="P145" t="e">
            <v>#NAME?</v>
          </cell>
        </row>
        <row r="146">
          <cell r="E146" t="str">
            <v>اليعقوبية</v>
          </cell>
          <cell r="P146">
            <v>35.921875</v>
          </cell>
        </row>
        <row r="147">
          <cell r="E147" t="str">
            <v>خربة الجوز</v>
          </cell>
          <cell r="P147">
            <v>35.903076169999999</v>
          </cell>
        </row>
        <row r="148">
          <cell r="E148" t="str">
            <v>أطمة</v>
          </cell>
          <cell r="P148">
            <v>36.309875490000003</v>
          </cell>
        </row>
        <row r="149">
          <cell r="E149" t="str">
            <v>الكفر_كفريحمول</v>
          </cell>
          <cell r="P149" t="e">
            <v>#NAME?</v>
          </cell>
        </row>
        <row r="150">
          <cell r="E150" t="str">
            <v>طعوم</v>
          </cell>
          <cell r="P150">
            <v>35.975280759999997</v>
          </cell>
        </row>
        <row r="151">
          <cell r="E151" t="str">
            <v>سرمدا</v>
          </cell>
          <cell r="P151">
            <v>36.186706540000003</v>
          </cell>
        </row>
        <row r="152">
          <cell r="E152" t="str">
            <v>كللي</v>
          </cell>
          <cell r="P152">
            <v>36.108093259999997</v>
          </cell>
        </row>
        <row r="153">
          <cell r="E153" t="str">
            <v>كوكبة</v>
          </cell>
          <cell r="P153" t="e">
            <v>#NAME?</v>
          </cell>
        </row>
        <row r="154">
          <cell r="E154" t="str">
            <v>بداما</v>
          </cell>
          <cell r="P154">
            <v>35.812072749999999</v>
          </cell>
        </row>
        <row r="155">
          <cell r="E155" t="str">
            <v>بليون</v>
          </cell>
          <cell r="P155" t="e">
            <v>#NAME?</v>
          </cell>
        </row>
        <row r="156">
          <cell r="E156" t="str">
            <v>كفرلوسين</v>
          </cell>
          <cell r="P156">
            <v>36.255676270000002</v>
          </cell>
        </row>
        <row r="157">
          <cell r="E157" t="str">
            <v>شهرناز</v>
          </cell>
          <cell r="P157" t="e">
            <v>#NAME?</v>
          </cell>
        </row>
        <row r="158">
          <cell r="E158" t="str">
            <v>برزة تحتاني</v>
          </cell>
        </row>
        <row r="159">
          <cell r="E159" t="str">
            <v>جبل الأكراد</v>
          </cell>
          <cell r="P159">
            <v>35.650346480191999</v>
          </cell>
        </row>
        <row r="160">
          <cell r="E160" t="str">
            <v>الكفر_كفريحمول</v>
          </cell>
          <cell r="P160" t="e">
            <v>#NAME?</v>
          </cell>
        </row>
        <row r="161">
          <cell r="E161" t="str">
            <v>خان شيخون</v>
          </cell>
          <cell r="P161">
            <v>35.46691895</v>
          </cell>
        </row>
        <row r="162">
          <cell r="E162" t="str">
            <v>الهدى</v>
          </cell>
          <cell r="P162">
            <v>36.606689449999998</v>
          </cell>
        </row>
        <row r="163">
          <cell r="E163" t="str">
            <v>بشرفة</v>
          </cell>
          <cell r="P163">
            <v>35.703941215407497</v>
          </cell>
        </row>
        <row r="164">
          <cell r="E164" t="str">
            <v>حيش</v>
          </cell>
          <cell r="P164">
            <v>35.530700680000002</v>
          </cell>
        </row>
        <row r="165">
          <cell r="E165" t="str">
            <v>برج الإذاعة</v>
          </cell>
          <cell r="P165">
            <v>35.564938585747697</v>
          </cell>
        </row>
        <row r="166">
          <cell r="E166" t="str">
            <v>جوبة برغال</v>
          </cell>
          <cell r="P166">
            <v>35.49353</v>
          </cell>
        </row>
        <row r="167">
          <cell r="E167" t="str">
            <v>الخنساء</v>
          </cell>
          <cell r="P167" t="e">
            <v>#NAME?</v>
          </cell>
        </row>
        <row r="168">
          <cell r="E168" t="str">
            <v>الكبينة</v>
          </cell>
        </row>
        <row r="169">
          <cell r="E169" t="str">
            <v>خربة الجوز</v>
          </cell>
          <cell r="P169">
            <v>35.903076169999999</v>
          </cell>
        </row>
        <row r="170">
          <cell r="E170" t="str">
            <v>بوز الخربة</v>
          </cell>
          <cell r="P170">
            <v>35.707765255761899</v>
          </cell>
        </row>
        <row r="171">
          <cell r="E171" t="str">
            <v>جبلة</v>
          </cell>
          <cell r="P171">
            <v>35.364502000000002</v>
          </cell>
        </row>
        <row r="172">
          <cell r="E172" t="str">
            <v>راس البسيط</v>
          </cell>
          <cell r="P172">
            <v>35.852752000000002</v>
          </cell>
        </row>
        <row r="173">
          <cell r="E173" t="str">
            <v>طعما</v>
          </cell>
        </row>
        <row r="174">
          <cell r="E174" t="str">
            <v>مواقع متعددة</v>
          </cell>
        </row>
        <row r="175">
          <cell r="E175" t="str">
            <v>خان الجوز</v>
          </cell>
          <cell r="P175">
            <v>35.723511000000002</v>
          </cell>
        </row>
        <row r="176">
          <cell r="E176" t="str">
            <v>ربيعة</v>
          </cell>
          <cell r="P176">
            <v>35.790100000000002</v>
          </cell>
        </row>
        <row r="177">
          <cell r="E177" t="str">
            <v>باشورة</v>
          </cell>
          <cell r="P177">
            <v>35.751708999999998</v>
          </cell>
        </row>
        <row r="178">
          <cell r="E178" t="str">
            <v>مواقع متعددة</v>
          </cell>
        </row>
        <row r="179">
          <cell r="E179" t="str">
            <v>جوبة برغال</v>
          </cell>
          <cell r="P179">
            <v>35.49353</v>
          </cell>
        </row>
        <row r="180">
          <cell r="E180" t="str">
            <v>طرق متضررة بالجليد</v>
          </cell>
        </row>
        <row r="181">
          <cell r="E181" t="str">
            <v>الحفة</v>
          </cell>
          <cell r="P181">
            <v>35.599487000000003</v>
          </cell>
        </row>
        <row r="182">
          <cell r="E182" t="str">
            <v>الحفة</v>
          </cell>
          <cell r="P182">
            <v>35.597993927544103</v>
          </cell>
        </row>
        <row r="183">
          <cell r="E183" t="str">
            <v>طريق السرايا</v>
          </cell>
        </row>
        <row r="184">
          <cell r="E184" t="str">
            <v>جبلة</v>
          </cell>
          <cell r="P184">
            <v>35.364502000000002</v>
          </cell>
        </row>
        <row r="185">
          <cell r="E185" t="str">
            <v>عين شقاق</v>
          </cell>
          <cell r="P185">
            <v>35.397095</v>
          </cell>
        </row>
        <row r="186">
          <cell r="E186" t="str">
            <v>منطقة الشاليهات</v>
          </cell>
          <cell r="P186">
            <v>35.506031533277699</v>
          </cell>
        </row>
        <row r="187">
          <cell r="E187" t="str">
            <v>الغراف</v>
          </cell>
          <cell r="P187">
            <v>36.046326000000001</v>
          </cell>
        </row>
        <row r="188">
          <cell r="E188" t="str">
            <v>الحفة</v>
          </cell>
          <cell r="P188">
            <v>35.599487000000003</v>
          </cell>
        </row>
        <row r="189">
          <cell r="E189" t="str">
            <v>الحفة</v>
          </cell>
          <cell r="P189">
            <v>35.599487000000003</v>
          </cell>
        </row>
        <row r="190">
          <cell r="E190" t="str">
            <v>الشاطئ الأزرق</v>
          </cell>
          <cell r="P190">
            <v>35.583947858704903</v>
          </cell>
        </row>
        <row r="191">
          <cell r="E191" t="str">
            <v>طرطوس</v>
          </cell>
          <cell r="P191">
            <v>34.88671875</v>
          </cell>
        </row>
        <row r="192">
          <cell r="E192" t="str">
            <v>بانياس</v>
          </cell>
          <cell r="P192">
            <v>35.198486330000001</v>
          </cell>
        </row>
        <row r="193">
          <cell r="E193" t="str">
            <v>الدرة</v>
          </cell>
          <cell r="P193">
            <v>35.813189696045697</v>
          </cell>
        </row>
        <row r="194">
          <cell r="E194" t="str">
            <v>البدروسية</v>
          </cell>
          <cell r="P194">
            <v>35.892119999999998</v>
          </cell>
        </row>
        <row r="195">
          <cell r="E195" t="str">
            <v>بانياس</v>
          </cell>
          <cell r="P195">
            <v>35.198486330000001</v>
          </cell>
        </row>
        <row r="196">
          <cell r="E196" t="str">
            <v>الدرة</v>
          </cell>
          <cell r="P196">
            <v>35.813189696045697</v>
          </cell>
        </row>
        <row r="197">
          <cell r="E197" t="str">
            <v>جبل الأكراد</v>
          </cell>
          <cell r="P197">
            <v>35.650346480191999</v>
          </cell>
        </row>
        <row r="198">
          <cell r="E198" t="str">
            <v>بحمرة</v>
          </cell>
          <cell r="P198">
            <v>35.465020000000003</v>
          </cell>
        </row>
        <row r="199">
          <cell r="E199" t="str">
            <v>بانياس</v>
          </cell>
          <cell r="P199">
            <v>35.198486330000001</v>
          </cell>
        </row>
        <row r="200">
          <cell r="E200" t="str">
            <v>طرطوس</v>
          </cell>
          <cell r="P200">
            <v>34.88671875</v>
          </cell>
        </row>
        <row r="201">
          <cell r="E201" t="str">
            <v>القدموس</v>
          </cell>
          <cell r="P201">
            <v>35.088317869999997</v>
          </cell>
        </row>
        <row r="202">
          <cell r="E202" t="str">
            <v>خربة الجوزية</v>
          </cell>
          <cell r="P202">
            <v>35.66057</v>
          </cell>
        </row>
        <row r="203">
          <cell r="E203" t="str">
            <v>ساحة الكلية البحرية</v>
          </cell>
        </row>
        <row r="204">
          <cell r="E204" t="str">
            <v>العريمة</v>
          </cell>
          <cell r="P204" t="e">
            <v>#NAME?</v>
          </cell>
        </row>
        <row r="205">
          <cell r="E205" t="str">
            <v>المشروع السابع</v>
          </cell>
          <cell r="P205">
            <v>35.528359999999999</v>
          </cell>
        </row>
        <row r="206">
          <cell r="E206" t="str">
            <v>مناطق متعددة</v>
          </cell>
        </row>
        <row r="207">
          <cell r="E207" t="str">
            <v>كفرزيتا</v>
          </cell>
          <cell r="P207">
            <v>35.353271479999997</v>
          </cell>
        </row>
        <row r="208">
          <cell r="E208" t="str">
            <v>اللطامنة</v>
          </cell>
          <cell r="P208">
            <v>35.320678710000003</v>
          </cell>
        </row>
        <row r="209">
          <cell r="E209" t="str">
            <v>السلمية</v>
          </cell>
          <cell r="P209">
            <v>35.011291499999999</v>
          </cell>
        </row>
        <row r="210">
          <cell r="E210" t="str">
            <v>مناطق متعددة</v>
          </cell>
        </row>
        <row r="211">
          <cell r="E211" t="str">
            <v>عناب</v>
          </cell>
          <cell r="P211">
            <v>35.428894040000003</v>
          </cell>
        </row>
        <row r="212">
          <cell r="E212" t="str">
            <v>التوينة</v>
          </cell>
          <cell r="P212">
            <v>36.55767822</v>
          </cell>
        </row>
        <row r="213">
          <cell r="E213" t="str">
            <v>السقيلبية</v>
          </cell>
          <cell r="P213">
            <v>35.361877440000001</v>
          </cell>
        </row>
        <row r="214">
          <cell r="E214" t="str">
            <v>العزيزية</v>
          </cell>
          <cell r="P214" t="e">
            <v>#NAME?</v>
          </cell>
        </row>
        <row r="215">
          <cell r="E215" t="str">
            <v>الأربعين</v>
          </cell>
          <cell r="P215">
            <v>35.353271479999997</v>
          </cell>
        </row>
        <row r="216">
          <cell r="E216" t="str">
            <v>القاهرة</v>
          </cell>
          <cell r="P216" t="e">
            <v>#NAME?</v>
          </cell>
        </row>
        <row r="217">
          <cell r="E217" t="str">
            <v>الزقوم</v>
          </cell>
          <cell r="P217">
            <v>35.630126949999998</v>
          </cell>
        </row>
        <row r="218">
          <cell r="E218" t="str">
            <v>الحميدية</v>
          </cell>
          <cell r="P218">
            <v>34.664123539999999</v>
          </cell>
        </row>
        <row r="219">
          <cell r="E219" t="str">
            <v>قسطون</v>
          </cell>
          <cell r="P219" t="e">
            <v>#NAME?</v>
          </cell>
        </row>
        <row r="220">
          <cell r="E220" t="str">
            <v>شيزر</v>
          </cell>
          <cell r="P220">
            <v>35.26147461</v>
          </cell>
        </row>
        <row r="221">
          <cell r="E221" t="str">
            <v>حلفايا</v>
          </cell>
          <cell r="P221">
            <v>35.258483890000001</v>
          </cell>
        </row>
        <row r="222">
          <cell r="E222" t="str">
            <v>قمحانة</v>
          </cell>
          <cell r="P222" t="e">
            <v>#NAME?</v>
          </cell>
        </row>
        <row r="223">
          <cell r="E223" t="str">
            <v>مدينة اللاذقية</v>
          </cell>
          <cell r="P223">
            <v>35.539124000000001</v>
          </cell>
        </row>
        <row r="224">
          <cell r="E224" t="str">
            <v>مدينة جبلة</v>
          </cell>
          <cell r="P224">
            <v>35.364502000000002</v>
          </cell>
        </row>
        <row r="225">
          <cell r="E225" t="str">
            <v>الشيحة</v>
          </cell>
          <cell r="P225">
            <v>35.065917970000001</v>
          </cell>
        </row>
        <row r="226">
          <cell r="E226" t="str">
            <v>مناطق متعددة</v>
          </cell>
        </row>
        <row r="227">
          <cell r="E227" t="str">
            <v>دير شميل</v>
          </cell>
          <cell r="P227">
            <v>35.213073729999998</v>
          </cell>
        </row>
        <row r="228">
          <cell r="E228" t="str">
            <v>مناطق متعددة</v>
          </cell>
        </row>
        <row r="229">
          <cell r="E229" t="str">
            <v>التوينة</v>
          </cell>
          <cell r="P229">
            <v>36.55767822</v>
          </cell>
        </row>
        <row r="230">
          <cell r="E230" t="str">
            <v>اللطامنة</v>
          </cell>
          <cell r="P230">
            <v>35.320678710000003</v>
          </cell>
        </row>
        <row r="231">
          <cell r="E231" t="str">
            <v>محردة</v>
          </cell>
          <cell r="P231">
            <v>35.246704100000002</v>
          </cell>
        </row>
        <row r="232">
          <cell r="E232" t="str">
            <v>قصر أبو سمرة</v>
          </cell>
          <cell r="P232">
            <v>35.353515629999997</v>
          </cell>
        </row>
        <row r="233">
          <cell r="E233" t="str">
            <v>طريق داخل المدينة</v>
          </cell>
        </row>
        <row r="234">
          <cell r="E234" t="str">
            <v>طريق</v>
          </cell>
        </row>
        <row r="235">
          <cell r="E235" t="str">
            <v>الزارة</v>
          </cell>
          <cell r="P235">
            <v>34.71368408</v>
          </cell>
        </row>
        <row r="236">
          <cell r="E236" t="str">
            <v>حمص</v>
          </cell>
          <cell r="P236">
            <v>34.730102539999997</v>
          </cell>
        </row>
        <row r="237">
          <cell r="E237" t="str">
            <v>طرطوس</v>
          </cell>
          <cell r="P237">
            <v>34.88671875</v>
          </cell>
        </row>
        <row r="238">
          <cell r="E238" t="str">
            <v>الناصرية</v>
          </cell>
          <cell r="P238" t="e">
            <v>#NAME?</v>
          </cell>
        </row>
        <row r="239">
          <cell r="E239" t="str">
            <v>قلعة الحصن</v>
          </cell>
          <cell r="P239">
            <v>36.976928710000003</v>
          </cell>
        </row>
        <row r="240">
          <cell r="E240" t="str">
            <v>الخالدية</v>
          </cell>
          <cell r="P240" t="e">
            <v>#NAME?</v>
          </cell>
        </row>
        <row r="241">
          <cell r="E241" t="str">
            <v>الطيبة الغربية</v>
          </cell>
          <cell r="P241">
            <v>34.8770752</v>
          </cell>
        </row>
        <row r="242">
          <cell r="E242" t="str">
            <v>بصرة الحرير</v>
          </cell>
          <cell r="P242" t="e">
            <v>#NAME?</v>
          </cell>
        </row>
        <row r="243">
          <cell r="E243" t="str">
            <v>تلبيسة</v>
          </cell>
          <cell r="P243">
            <v>34.842712400000003</v>
          </cell>
        </row>
        <row r="244">
          <cell r="E244" t="str">
            <v>الصمدانية</v>
          </cell>
          <cell r="P244" t="e">
            <v>#NAME?</v>
          </cell>
        </row>
        <row r="245">
          <cell r="E245" t="str">
            <v>حي الوعر</v>
          </cell>
          <cell r="P245">
            <v>34.73828125</v>
          </cell>
        </row>
        <row r="246">
          <cell r="E246" t="str">
            <v>مدينة السلام</v>
          </cell>
          <cell r="P246" t="e">
            <v>#NAME?</v>
          </cell>
        </row>
        <row r="247">
          <cell r="E247" t="str">
            <v>صحنايا</v>
          </cell>
          <cell r="P247">
            <v>33.423889160000002</v>
          </cell>
        </row>
        <row r="248">
          <cell r="E248" t="str">
            <v>داريا</v>
          </cell>
          <cell r="P248">
            <v>33.457092289999999</v>
          </cell>
        </row>
        <row r="249">
          <cell r="E249" t="str">
            <v>التل</v>
          </cell>
          <cell r="P249">
            <v>33.60430908</v>
          </cell>
        </row>
        <row r="250">
          <cell r="E250" t="str">
            <v>جرمانا</v>
          </cell>
          <cell r="P250">
            <v>33.487670899999998</v>
          </cell>
        </row>
        <row r="251">
          <cell r="E251" t="str">
            <v>قدسيا</v>
          </cell>
          <cell r="P251">
            <v>33.548278809999999</v>
          </cell>
        </row>
        <row r="252">
          <cell r="E252" t="str">
            <v>دوما</v>
          </cell>
          <cell r="P252" t="e">
            <v>#NAME?</v>
          </cell>
        </row>
        <row r="253">
          <cell r="E253" t="str">
            <v>داريا</v>
          </cell>
          <cell r="P253">
            <v>33.457092289999999</v>
          </cell>
        </row>
        <row r="254">
          <cell r="E254" t="str">
            <v>عدرا</v>
          </cell>
          <cell r="P254">
            <v>33.604492190000002</v>
          </cell>
        </row>
        <row r="255">
          <cell r="E255" t="str">
            <v>بصرة الحرير</v>
          </cell>
          <cell r="P255" t="e">
            <v>#NAME?</v>
          </cell>
        </row>
        <row r="256">
          <cell r="E256" t="str">
            <v>مخيمات عشوائية</v>
          </cell>
          <cell r="P256" t="e">
            <v>#NAME?</v>
          </cell>
        </row>
        <row r="257">
          <cell r="E257" t="str">
            <v>دوما</v>
          </cell>
          <cell r="P257" t="e">
            <v>#NAME?</v>
          </cell>
        </row>
        <row r="258">
          <cell r="E258" t="str">
            <v>جبانات الخشب</v>
          </cell>
          <cell r="P258" t="e">
            <v>#NAME?</v>
          </cell>
        </row>
        <row r="259">
          <cell r="E259" t="str">
            <v>بلودان</v>
          </cell>
          <cell r="P259">
            <v>33.725524900000003</v>
          </cell>
        </row>
        <row r="260">
          <cell r="E260" t="str">
            <v>الزبداني</v>
          </cell>
          <cell r="P260">
            <v>33.725280759999997</v>
          </cell>
        </row>
        <row r="261">
          <cell r="E261" t="str">
            <v>قبل جسر خبب</v>
          </cell>
          <cell r="P261" t="e">
            <v>#NAME?</v>
          </cell>
        </row>
        <row r="262">
          <cell r="E262" t="str">
            <v>مناطق متفرقة</v>
          </cell>
          <cell r="P262" t="e">
            <v>#NAME?</v>
          </cell>
        </row>
        <row r="263">
          <cell r="E263" t="str">
            <v>الشغر</v>
          </cell>
          <cell r="P263" t="e">
            <v>#NAME?</v>
          </cell>
        </row>
        <row r="264">
          <cell r="E264" t="str">
            <v>جبل السماق</v>
          </cell>
          <cell r="P264" t="e">
            <v>#NAME?</v>
          </cell>
        </row>
        <row r="265">
          <cell r="E265" t="str">
            <v>طرق مخيمات أطمة</v>
          </cell>
          <cell r="P265" t="e">
            <v>#NAME?</v>
          </cell>
        </row>
        <row r="266">
          <cell r="E266" t="str">
            <v>الشيخ سعد</v>
          </cell>
          <cell r="P266" t="e">
            <v>#NAME?</v>
          </cell>
        </row>
        <row r="267">
          <cell r="E267" t="str">
            <v>عين عارة</v>
          </cell>
          <cell r="P267" t="e">
            <v>#NAME?</v>
          </cell>
        </row>
        <row r="268">
          <cell r="E268" t="str">
            <v>حي اللوان</v>
          </cell>
          <cell r="P268">
            <v>33.480285649999999</v>
          </cell>
        </row>
        <row r="269">
          <cell r="E269" t="str">
            <v>النصر</v>
          </cell>
          <cell r="P269" t="e">
            <v>#NAME?</v>
          </cell>
        </row>
        <row r="270">
          <cell r="E270" t="str">
            <v>الجهاد</v>
          </cell>
          <cell r="P270" t="e">
            <v>#NAME?</v>
          </cell>
        </row>
        <row r="271">
          <cell r="E271" t="str">
            <v>سلوى</v>
          </cell>
          <cell r="P271" t="e">
            <v>#NAME?</v>
          </cell>
        </row>
        <row r="272">
          <cell r="E272" t="str">
            <v>السكن الشبابي</v>
          </cell>
          <cell r="P272" t="e">
            <v>#NAME?</v>
          </cell>
        </row>
        <row r="273">
          <cell r="E273" t="str">
            <v>الإخوة</v>
          </cell>
          <cell r="P273" t="e">
            <v>#NAME?</v>
          </cell>
        </row>
        <row r="274">
          <cell r="E274" t="str">
            <v>بنايات الكويتي</v>
          </cell>
          <cell r="P274" t="e">
            <v>#NAME?</v>
          </cell>
        </row>
        <row r="275">
          <cell r="E275" t="str">
            <v>البردقلي</v>
          </cell>
          <cell r="P275" t="e">
            <v>#NAME?</v>
          </cell>
        </row>
        <row r="276">
          <cell r="E276" t="str">
            <v>أم جامع</v>
          </cell>
          <cell r="P276" t="e">
            <v>#NAME?</v>
          </cell>
        </row>
        <row r="277">
          <cell r="E277" t="str">
            <v>دوار سرمدا</v>
          </cell>
          <cell r="P277" t="e">
            <v>#NAME?</v>
          </cell>
        </row>
        <row r="278">
          <cell r="E278" t="str">
            <v>الأتارب</v>
          </cell>
          <cell r="P278">
            <v>36.137878000000001</v>
          </cell>
        </row>
        <row r="279">
          <cell r="E279" t="str">
            <v>التوامة</v>
          </cell>
          <cell r="P279">
            <v>36.194274999999998</v>
          </cell>
        </row>
        <row r="280">
          <cell r="E280" t="str">
            <v>الباب</v>
          </cell>
          <cell r="P280">
            <v>36.369872999999998</v>
          </cell>
        </row>
        <row r="281">
          <cell r="E281" t="str">
            <v>مشمشان</v>
          </cell>
          <cell r="P281" t="e">
            <v>#NAME?</v>
          </cell>
        </row>
        <row r="282">
          <cell r="E282" t="str">
            <v>عفرين</v>
          </cell>
          <cell r="P282">
            <v>36.508378999999998</v>
          </cell>
        </row>
        <row r="283">
          <cell r="E283" t="str">
            <v>جنديرس</v>
          </cell>
          <cell r="P283">
            <v>36.392516999999998</v>
          </cell>
        </row>
        <row r="284">
          <cell r="E284" t="str">
            <v>منبج</v>
          </cell>
          <cell r="P284">
            <v>36.525879000000003</v>
          </cell>
        </row>
        <row r="285">
          <cell r="E285" t="str">
            <v>حلب</v>
          </cell>
          <cell r="P285">
            <v>36.206116000000002</v>
          </cell>
        </row>
        <row r="286">
          <cell r="E286" t="str">
            <v>راعل</v>
          </cell>
          <cell r="P286">
            <v>36.589111000000003</v>
          </cell>
        </row>
        <row r="287">
          <cell r="E287" t="str">
            <v>اللاذقية (الناجية)</v>
          </cell>
          <cell r="P287" t="e">
            <v>#NAME?</v>
          </cell>
        </row>
        <row r="288">
          <cell r="E288" t="str">
            <v>أورم</v>
          </cell>
          <cell r="P288" t="e">
            <v>#NAME?</v>
          </cell>
        </row>
        <row r="289">
          <cell r="E289" t="str">
            <v>معرة مصرين</v>
          </cell>
          <cell r="P289" t="e">
            <v>#NAME?</v>
          </cell>
        </row>
        <row r="290">
          <cell r="E290" t="str">
            <v>الحنبوشية</v>
          </cell>
          <cell r="P290" t="e">
            <v>#NAME?</v>
          </cell>
        </row>
        <row r="291">
          <cell r="E291" t="str">
            <v>إدلب المدينة</v>
          </cell>
          <cell r="P291" t="e">
            <v>#NAME?</v>
          </cell>
        </row>
        <row r="292">
          <cell r="E292" t="str">
            <v>السكن الشبابي</v>
          </cell>
          <cell r="P292" t="e">
            <v>#NAME?</v>
          </cell>
        </row>
        <row r="293">
          <cell r="E293" t="str">
            <v>جرابلس</v>
          </cell>
          <cell r="P293">
            <v>36.814514000000003</v>
          </cell>
        </row>
        <row r="294">
          <cell r="E294" t="str">
            <v>ملحق مخيم خان شيخون</v>
          </cell>
          <cell r="P294" t="e">
            <v>#NAME?</v>
          </cell>
        </row>
        <row r="295">
          <cell r="E295" t="str">
            <v>حزرة</v>
          </cell>
          <cell r="P295" t="e">
            <v>#NAME?</v>
          </cell>
        </row>
        <row r="296">
          <cell r="E296" t="str">
            <v>الراعي</v>
          </cell>
          <cell r="P296">
            <v>36.601073999999997</v>
          </cell>
        </row>
        <row r="297">
          <cell r="E297" t="str">
            <v>جنديرس</v>
          </cell>
          <cell r="P297">
            <v>36.392516999999998</v>
          </cell>
        </row>
        <row r="298">
          <cell r="E298" t="str">
            <v>مخيم التويني</v>
          </cell>
          <cell r="P298" t="e">
            <v>#NAME?</v>
          </cell>
        </row>
        <row r="299">
          <cell r="E299" t="str">
            <v>مخيم النعيمة</v>
          </cell>
          <cell r="P299" t="e">
            <v>#NAME?</v>
          </cell>
        </row>
        <row r="300">
          <cell r="E300" t="str">
            <v>الدانا</v>
          </cell>
          <cell r="P300" t="e">
            <v>#NAME?</v>
          </cell>
        </row>
        <row r="301">
          <cell r="E301" t="str">
            <v>فحيل</v>
          </cell>
          <cell r="P301" t="e">
            <v>#NAME?</v>
          </cell>
        </row>
        <row r="302">
          <cell r="E302" t="str">
            <v>سرمدا</v>
          </cell>
          <cell r="P302">
            <v>36.186706540000003</v>
          </cell>
        </row>
        <row r="303">
          <cell r="E303" t="str">
            <v>النصر</v>
          </cell>
          <cell r="P303" t="e">
            <v>#NAME?</v>
          </cell>
        </row>
        <row r="304">
          <cell r="E304" t="str">
            <v>جسر الشغور</v>
          </cell>
          <cell r="P304">
            <v>35.814270020000002</v>
          </cell>
        </row>
        <row r="305">
          <cell r="E305" t="str">
            <v>الجانودية</v>
          </cell>
          <cell r="P305">
            <v>35.882873539999999</v>
          </cell>
        </row>
        <row r="306">
          <cell r="E306" t="str">
            <v>زرزور</v>
          </cell>
          <cell r="P306" t="e">
            <v>#NAME?</v>
          </cell>
        </row>
        <row r="307">
          <cell r="E307" t="str">
            <v>دركوش</v>
          </cell>
          <cell r="P307">
            <v>35.992492679999998</v>
          </cell>
        </row>
        <row r="308">
          <cell r="E308" t="str">
            <v>جسر الشغور</v>
          </cell>
          <cell r="P308">
            <v>35.814270020000002</v>
          </cell>
        </row>
        <row r="309">
          <cell r="E309" t="str">
            <v>الحفرية</v>
          </cell>
          <cell r="P309">
            <v>36.013488770000002</v>
          </cell>
        </row>
        <row r="310">
          <cell r="E310" t="str">
            <v>بداما</v>
          </cell>
          <cell r="P310">
            <v>35.812072749999999</v>
          </cell>
        </row>
        <row r="311">
          <cell r="E311" t="str">
            <v>الشاتورية</v>
          </cell>
          <cell r="P311">
            <v>35.860900880000003</v>
          </cell>
        </row>
        <row r="312">
          <cell r="E312" t="str">
            <v>البالعة</v>
          </cell>
          <cell r="P312">
            <v>35.917907720000002</v>
          </cell>
        </row>
        <row r="313">
          <cell r="E313" t="str">
            <v>الجهاد</v>
          </cell>
          <cell r="P313" t="e">
            <v>#NAME?</v>
          </cell>
        </row>
        <row r="314">
          <cell r="E314" t="str">
            <v>كفر تخاريم</v>
          </cell>
          <cell r="P314">
            <v>36.116516109999999</v>
          </cell>
        </row>
        <row r="315">
          <cell r="E315" t="str">
            <v>سرغايا</v>
          </cell>
          <cell r="P315">
            <v>33.838073729999998</v>
          </cell>
        </row>
        <row r="316">
          <cell r="E316" t="str">
            <v>بداما</v>
          </cell>
          <cell r="P316">
            <v>35.812072749999999</v>
          </cell>
        </row>
        <row r="317">
          <cell r="E317" t="str">
            <v>كفر يحمول</v>
          </cell>
          <cell r="P317" t="e">
            <v>#NAME?</v>
          </cell>
        </row>
        <row r="318">
          <cell r="E318" t="str">
            <v>أريحا</v>
          </cell>
          <cell r="P318" t="e">
            <v>#NAME?</v>
          </cell>
        </row>
        <row r="319">
          <cell r="E319" t="str">
            <v>النيرب</v>
          </cell>
          <cell r="P319">
            <v>35.869079589999998</v>
          </cell>
        </row>
        <row r="320">
          <cell r="E320" t="str">
            <v>أريحا</v>
          </cell>
          <cell r="P320" t="e">
            <v>#NAME?</v>
          </cell>
        </row>
        <row r="321">
          <cell r="E321" t="str">
            <v>سلوى</v>
          </cell>
          <cell r="P321" t="e">
            <v>#NAME?</v>
          </cell>
        </row>
        <row r="322">
          <cell r="E322" t="str">
            <v>سرمدا</v>
          </cell>
          <cell r="P322">
            <v>36.186706540000003</v>
          </cell>
        </row>
        <row r="323">
          <cell r="E323" t="str">
            <v>الكفير</v>
          </cell>
          <cell r="P323" t="e">
            <v>#NAME?</v>
          </cell>
        </row>
        <row r="324">
          <cell r="E324" t="str">
            <v>قاح</v>
          </cell>
          <cell r="P324" t="e">
            <v>#NAME?</v>
          </cell>
        </row>
        <row r="325">
          <cell r="E325" t="str">
            <v>سرمين</v>
          </cell>
          <cell r="P325">
            <v>35.903686520000001</v>
          </cell>
        </row>
        <row r="326">
          <cell r="E326" t="str">
            <v>معرة النعمان</v>
          </cell>
          <cell r="P326">
            <v>35.647705080000001</v>
          </cell>
        </row>
        <row r="327">
          <cell r="E327" t="str">
            <v>حارم</v>
          </cell>
          <cell r="P327">
            <v>36.212707520000002</v>
          </cell>
        </row>
        <row r="328">
          <cell r="E328" t="str">
            <v>كورين</v>
          </cell>
          <cell r="P328" t="e">
            <v>#NAME?</v>
          </cell>
        </row>
        <row r="329">
          <cell r="E329" t="str">
            <v>السكن الشبابي</v>
          </cell>
          <cell r="P329" t="e">
            <v>#NAME?</v>
          </cell>
        </row>
        <row r="330">
          <cell r="E330" t="str">
            <v>بليون</v>
          </cell>
          <cell r="P330" t="e">
            <v>#NAME?</v>
          </cell>
        </row>
        <row r="331">
          <cell r="E331" t="str">
            <v>خان شيخون</v>
          </cell>
          <cell r="P331">
            <v>35.46691895</v>
          </cell>
        </row>
        <row r="332">
          <cell r="E332" t="str">
            <v>البارة</v>
          </cell>
          <cell r="P332">
            <v>35.685302729999997</v>
          </cell>
        </row>
        <row r="333">
          <cell r="E333" t="str">
            <v>حربنوش</v>
          </cell>
          <cell r="P333" t="e">
            <v>#NAME?</v>
          </cell>
        </row>
        <row r="334">
          <cell r="E334" t="str">
            <v>الإخوة</v>
          </cell>
          <cell r="P334" t="e">
            <v>#NAME?</v>
          </cell>
        </row>
        <row r="335">
          <cell r="E335" t="str">
            <v>قميناس</v>
          </cell>
          <cell r="P335">
            <v>35.883911130000001</v>
          </cell>
        </row>
        <row r="336">
          <cell r="E336" t="str">
            <v>كنصفرة</v>
          </cell>
          <cell r="P336">
            <v>35.65991211</v>
          </cell>
        </row>
        <row r="337">
          <cell r="E337" t="str">
            <v>عين شيب</v>
          </cell>
          <cell r="P337">
            <v>35.90209961</v>
          </cell>
        </row>
        <row r="338">
          <cell r="E338" t="str">
            <v>القصير</v>
          </cell>
          <cell r="P338" t="e">
            <v>#NAME?</v>
          </cell>
        </row>
        <row r="339">
          <cell r="E339" t="str">
            <v>كفرلوسين</v>
          </cell>
          <cell r="P339">
            <v>36.255676270000002</v>
          </cell>
        </row>
        <row r="340">
          <cell r="E340" t="str">
            <v>أريحا</v>
          </cell>
          <cell r="P340" t="e">
            <v>#NAME?</v>
          </cell>
        </row>
        <row r="341">
          <cell r="E341" t="str">
            <v>سرمدا</v>
          </cell>
          <cell r="P341">
            <v>36.186706540000003</v>
          </cell>
        </row>
        <row r="342">
          <cell r="E342" t="str">
            <v>بداما</v>
          </cell>
          <cell r="P342">
            <v>35.812072749999999</v>
          </cell>
        </row>
        <row r="343">
          <cell r="E343" t="str">
            <v>أطمة</v>
          </cell>
          <cell r="P343">
            <v>36.309875490000003</v>
          </cell>
        </row>
        <row r="344">
          <cell r="E344" t="str">
            <v>بنايات الكويتي</v>
          </cell>
          <cell r="P344" t="e">
            <v>#NAME?</v>
          </cell>
        </row>
        <row r="345">
          <cell r="E345" t="str">
            <v>جسر الشغور</v>
          </cell>
          <cell r="P345">
            <v>35.814270020000002</v>
          </cell>
        </row>
        <row r="346">
          <cell r="E346" t="str">
            <v>كفرومة</v>
          </cell>
          <cell r="P346" t="e">
            <v>#NAME?</v>
          </cell>
        </row>
        <row r="347">
          <cell r="E347" t="str">
            <v>ملس</v>
          </cell>
          <cell r="P347">
            <v>36.005126949999998</v>
          </cell>
        </row>
        <row r="348">
          <cell r="E348" t="str">
            <v>البالعة</v>
          </cell>
          <cell r="P348">
            <v>35.917907720000002</v>
          </cell>
        </row>
        <row r="349">
          <cell r="E349" t="str">
            <v>محمبل</v>
          </cell>
          <cell r="P349">
            <v>35.784118650000003</v>
          </cell>
        </row>
        <row r="350">
          <cell r="E350" t="str">
            <v>الدانا</v>
          </cell>
          <cell r="P350" t="e">
            <v>#NAME?</v>
          </cell>
        </row>
        <row r="351">
          <cell r="E351" t="str">
            <v>منزل متضرر</v>
          </cell>
          <cell r="P351" t="e">
            <v>#NAME?</v>
          </cell>
        </row>
        <row r="352">
          <cell r="E352" t="str">
            <v>إدلب</v>
          </cell>
          <cell r="P352">
            <v>35.929077149999998</v>
          </cell>
        </row>
        <row r="353">
          <cell r="E353" t="str">
            <v>أبو ضهور</v>
          </cell>
          <cell r="P353" t="e">
            <v>#NAME?</v>
          </cell>
        </row>
        <row r="354">
          <cell r="E354" t="str">
            <v>مشفى الجبل</v>
          </cell>
          <cell r="P354" t="e">
            <v>#NAME?</v>
          </cell>
        </row>
        <row r="355">
          <cell r="E355" t="str">
            <v>جبل السماق</v>
          </cell>
          <cell r="P355" t="e">
            <v>#NAME?</v>
          </cell>
        </row>
        <row r="356">
          <cell r="E356" t="str">
            <v>جبل حارم</v>
          </cell>
          <cell r="P356" t="e">
            <v>#NAME?</v>
          </cell>
        </row>
        <row r="357">
          <cell r="E357" t="str">
            <v>العجمة</v>
          </cell>
          <cell r="P357" t="e">
            <v>#NAME?</v>
          </cell>
        </row>
        <row r="358">
          <cell r="E358" t="str">
            <v>شهرناز</v>
          </cell>
          <cell r="P358" t="e">
            <v>#NAME?</v>
          </cell>
        </row>
        <row r="359">
          <cell r="E359" t="str">
            <v>مخيم صلوه</v>
          </cell>
          <cell r="P359" t="e">
            <v>#NAME?</v>
          </cell>
        </row>
        <row r="360">
          <cell r="E360" t="str">
            <v>قيلا ومخيم التوبات</v>
          </cell>
          <cell r="P360" t="e">
            <v>#NAME?</v>
          </cell>
        </row>
        <row r="361">
          <cell r="E361" t="str">
            <v>جبل الزاوية</v>
          </cell>
          <cell r="P361" t="e">
            <v>#NAME?</v>
          </cell>
        </row>
        <row r="362">
          <cell r="E362" t="str">
            <v>خان شيخون</v>
          </cell>
          <cell r="P362">
            <v>35.46691895</v>
          </cell>
        </row>
        <row r="363">
          <cell r="E363" t="str">
            <v>الهدى</v>
          </cell>
          <cell r="P363">
            <v>36.606689449999998</v>
          </cell>
        </row>
        <row r="364">
          <cell r="E364" t="str">
            <v>مخيم جبل حارم</v>
          </cell>
          <cell r="P364" t="e">
            <v>#NAME?</v>
          </cell>
        </row>
        <row r="365">
          <cell r="E365" t="str">
            <v>حيش</v>
          </cell>
          <cell r="P365">
            <v>35.530700680000002</v>
          </cell>
        </row>
        <row r="366">
          <cell r="E366" t="str">
            <v>باتجاه بنابل</v>
          </cell>
          <cell r="P366" t="e">
            <v>#NAME?</v>
          </cell>
        </row>
        <row r="367">
          <cell r="E367" t="str">
            <v>جبل السماق</v>
          </cell>
          <cell r="P367" t="e">
            <v>#NAME?</v>
          </cell>
        </row>
        <row r="368">
          <cell r="E368" t="str">
            <v>الخنساء</v>
          </cell>
          <cell r="P368" t="e">
            <v>#NAME?</v>
          </cell>
        </row>
        <row r="369">
          <cell r="E369" t="str">
            <v>الجبل الشرقي</v>
          </cell>
          <cell r="P369" t="e">
            <v>#NAME?</v>
          </cell>
        </row>
        <row r="370">
          <cell r="E370" t="str">
            <v>خربة الجوز</v>
          </cell>
          <cell r="P370">
            <v>35.903076169999999</v>
          </cell>
        </row>
        <row r="371">
          <cell r="E371" t="str">
            <v>جسر الشغور</v>
          </cell>
          <cell r="P371">
            <v>35.814270020000002</v>
          </cell>
        </row>
        <row r="372">
          <cell r="E372" t="str">
            <v>الضهر</v>
          </cell>
          <cell r="P372" t="e">
            <v>#NAME?</v>
          </cell>
        </row>
        <row r="373">
          <cell r="E373" t="str">
            <v>مخيمات كفرلوسين</v>
          </cell>
          <cell r="P373" t="e">
            <v>#NAME?</v>
          </cell>
        </row>
        <row r="374">
          <cell r="E374" t="str">
            <v>الزوبار</v>
          </cell>
          <cell r="P374">
            <v>35.631287</v>
          </cell>
        </row>
        <row r="375">
          <cell r="E375" t="str">
            <v>اللاذقية</v>
          </cell>
          <cell r="P375">
            <v>35.539124000000001</v>
          </cell>
        </row>
        <row r="376">
          <cell r="E376" t="str">
            <v>كفر لاته</v>
          </cell>
          <cell r="P376" t="e">
            <v>#NAME?</v>
          </cell>
        </row>
        <row r="377">
          <cell r="E377" t="str">
            <v>جبلة</v>
          </cell>
          <cell r="P377">
            <v>35.364502000000002</v>
          </cell>
        </row>
        <row r="378">
          <cell r="E378" t="str">
            <v>اللاذقية</v>
          </cell>
          <cell r="P378">
            <v>35.539124000000001</v>
          </cell>
        </row>
        <row r="379">
          <cell r="E379" t="str">
            <v>الحفة</v>
          </cell>
          <cell r="P379">
            <v>35.599487000000003</v>
          </cell>
        </row>
        <row r="380">
          <cell r="E380" t="str">
            <v>صلنفة</v>
          </cell>
          <cell r="P380">
            <v>35.596679999999999</v>
          </cell>
        </row>
        <row r="381">
          <cell r="E381" t="str">
            <v>جبلة</v>
          </cell>
          <cell r="P381">
            <v>35.364502000000002</v>
          </cell>
        </row>
        <row r="382">
          <cell r="E382" t="str">
            <v>عين شقاق</v>
          </cell>
          <cell r="P382">
            <v>35.397095</v>
          </cell>
        </row>
        <row r="383">
          <cell r="E383" t="str">
            <v>الزوف</v>
          </cell>
          <cell r="P383" t="e">
            <v>#NAME?</v>
          </cell>
        </row>
        <row r="384">
          <cell r="E384" t="str">
            <v>الحفة</v>
          </cell>
          <cell r="P384">
            <v>35.599487000000003</v>
          </cell>
        </row>
        <row r="385">
          <cell r="E385" t="str">
            <v>اللاذقية</v>
          </cell>
          <cell r="P385">
            <v>35.539124000000001</v>
          </cell>
        </row>
        <row r="386">
          <cell r="E386" t="str">
            <v>غمام</v>
          </cell>
          <cell r="P386">
            <v>35.674072000000002</v>
          </cell>
        </row>
        <row r="387">
          <cell r="E387" t="str">
            <v>الزوبار</v>
          </cell>
          <cell r="P387">
            <v>35.631287</v>
          </cell>
        </row>
        <row r="388">
          <cell r="E388" t="str">
            <v>باشورة</v>
          </cell>
          <cell r="P388">
            <v>35.751708999999998</v>
          </cell>
        </row>
        <row r="389">
          <cell r="E389" t="str">
            <v>اللاذقية</v>
          </cell>
          <cell r="P389">
            <v>35.539124000000001</v>
          </cell>
        </row>
        <row r="390">
          <cell r="E390" t="str">
            <v>الجبل الوسطاني</v>
          </cell>
          <cell r="P390" t="e">
            <v>#NAME?</v>
          </cell>
        </row>
        <row r="391">
          <cell r="E391" t="str">
            <v>المخيمات</v>
          </cell>
          <cell r="P391" t="e">
            <v>#NAME?</v>
          </cell>
        </row>
        <row r="392">
          <cell r="E392" t="str">
            <v>العوينية</v>
          </cell>
          <cell r="P392">
            <v>34.956116000000002</v>
          </cell>
        </row>
        <row r="393">
          <cell r="E393" t="str">
            <v>مخيم التوبة</v>
          </cell>
          <cell r="P393" t="e">
            <v>#NAME?</v>
          </cell>
        </row>
        <row r="394">
          <cell r="E394" t="str">
            <v>طريق أريحا</v>
          </cell>
          <cell r="P394" t="e">
            <v>#NAME?</v>
          </cell>
        </row>
        <row r="395">
          <cell r="E395" t="str">
            <v>استراد اللاذقية</v>
          </cell>
          <cell r="P395" t="e">
            <v>#NAME?</v>
          </cell>
        </row>
        <row r="396">
          <cell r="E396" t="str">
            <v>جبلة</v>
          </cell>
          <cell r="P396">
            <v>35.364502000000002</v>
          </cell>
        </row>
        <row r="397">
          <cell r="E397" t="str">
            <v>عين شقاق</v>
          </cell>
          <cell r="P397">
            <v>35.397095</v>
          </cell>
        </row>
        <row r="398">
          <cell r="E398" t="str">
            <v>معرة مصرين</v>
          </cell>
          <cell r="P398" t="e">
            <v>#NAME?</v>
          </cell>
        </row>
        <row r="399">
          <cell r="E399" t="str">
            <v>الغراف</v>
          </cell>
          <cell r="P399">
            <v>36.046326000000001</v>
          </cell>
        </row>
        <row r="400">
          <cell r="E400" t="str">
            <v>البردقلي</v>
          </cell>
          <cell r="P400" t="e">
            <v>#NAME?</v>
          </cell>
        </row>
        <row r="401">
          <cell r="E401" t="str">
            <v>كفر دريان</v>
          </cell>
          <cell r="P401" t="e">
            <v>#NAME?</v>
          </cell>
        </row>
        <row r="402">
          <cell r="E402" t="str">
            <v>طريق اللاذقية</v>
          </cell>
          <cell r="P402" t="e">
            <v>#NAME?</v>
          </cell>
        </row>
        <row r="403">
          <cell r="E403" t="str">
            <v>العزيزة</v>
          </cell>
          <cell r="P403">
            <v>36.15991211</v>
          </cell>
        </row>
        <row r="404">
          <cell r="E404" t="str">
            <v>الحويجة</v>
          </cell>
          <cell r="P404" t="e">
            <v>#NAME?</v>
          </cell>
        </row>
        <row r="405">
          <cell r="E405" t="str">
            <v>حلفايا</v>
          </cell>
          <cell r="P405">
            <v>35.258483890000001</v>
          </cell>
        </row>
        <row r="406">
          <cell r="E406" t="str">
            <v>الحميدية</v>
          </cell>
          <cell r="P406">
            <v>34.664123539999999</v>
          </cell>
        </row>
        <row r="407">
          <cell r="E407" t="str">
            <v>مشمشان</v>
          </cell>
          <cell r="P407" t="e">
            <v>#NAME?</v>
          </cell>
        </row>
        <row r="408">
          <cell r="E408" t="str">
            <v>معرة مصرين</v>
          </cell>
          <cell r="P408" t="e">
            <v>#NAME?</v>
          </cell>
        </row>
        <row r="409">
          <cell r="E409" t="str">
            <v>السقيلبية</v>
          </cell>
          <cell r="P409">
            <v>35.361877440000001</v>
          </cell>
        </row>
        <row r="410">
          <cell r="E410" t="str">
            <v>أبو كليفون</v>
          </cell>
          <cell r="P410">
            <v>35.37268066</v>
          </cell>
        </row>
        <row r="411">
          <cell r="E411" t="str">
            <v>السقيلبية</v>
          </cell>
          <cell r="P411">
            <v>35.361877440000001</v>
          </cell>
        </row>
        <row r="412">
          <cell r="E412" t="str">
            <v>المغير</v>
          </cell>
          <cell r="P412" t="e">
            <v>#NAME?</v>
          </cell>
        </row>
        <row r="413">
          <cell r="E413" t="str">
            <v>زردنا</v>
          </cell>
          <cell r="P413" t="e">
            <v>#NAME?</v>
          </cell>
        </row>
        <row r="414">
          <cell r="E414" t="str">
            <v>قرية بزيت</v>
          </cell>
          <cell r="P414" t="e">
            <v>#NAME?</v>
          </cell>
        </row>
        <row r="415">
          <cell r="E415" t="str">
            <v>تل مرديخ</v>
          </cell>
          <cell r="P415" t="e">
            <v>#NAME?</v>
          </cell>
        </row>
        <row r="416">
          <cell r="E416" t="str">
            <v>قرية الكنيسة</v>
          </cell>
          <cell r="P416" t="e">
            <v>#NAME?</v>
          </cell>
        </row>
        <row r="417">
          <cell r="E417" t="str">
            <v>قبر فضة</v>
          </cell>
          <cell r="P417">
            <v>35.489685059999999</v>
          </cell>
        </row>
        <row r="418">
          <cell r="E418" t="str">
            <v>عين الكروم</v>
          </cell>
          <cell r="P418">
            <v>35.351074220000001</v>
          </cell>
        </row>
        <row r="419">
          <cell r="E419" t="str">
            <v>الهوات</v>
          </cell>
          <cell r="P419">
            <v>35.22772217</v>
          </cell>
        </row>
        <row r="420">
          <cell r="E420" t="str">
            <v>حيالين</v>
          </cell>
          <cell r="P420" t="e">
            <v>#NAME?</v>
          </cell>
        </row>
        <row r="421">
          <cell r="E421" t="str">
            <v>تل هواش</v>
          </cell>
          <cell r="P421">
            <v>35.445495610000002</v>
          </cell>
        </row>
        <row r="422">
          <cell r="E422" t="str">
            <v>محردة</v>
          </cell>
          <cell r="P422">
            <v>35.246704100000002</v>
          </cell>
        </row>
        <row r="423">
          <cell r="E423" t="str">
            <v>مصياف</v>
          </cell>
          <cell r="P423">
            <v>35.066284179999997</v>
          </cell>
        </row>
        <row r="424">
          <cell r="E424" t="str">
            <v>مدرسة</v>
          </cell>
          <cell r="P424">
            <v>35.907897949999999</v>
          </cell>
        </row>
        <row r="425">
          <cell r="E425" t="str">
            <v>الحميدية</v>
          </cell>
          <cell r="P425">
            <v>34.664123539999999</v>
          </cell>
        </row>
        <row r="426">
          <cell r="E426" t="str">
            <v>الضهر</v>
          </cell>
          <cell r="P426" t="e">
            <v>#NAME?</v>
          </cell>
        </row>
        <row r="427">
          <cell r="E427" t="str">
            <v>الحميدية</v>
          </cell>
          <cell r="P427">
            <v>34.664123539999999</v>
          </cell>
        </row>
        <row r="428">
          <cell r="E428" t="str">
            <v>أم جامع</v>
          </cell>
          <cell r="P428" t="e">
            <v>#NAME?</v>
          </cell>
        </row>
        <row r="429">
          <cell r="E429" t="str">
            <v>الزرزورية</v>
          </cell>
          <cell r="P429">
            <v>34.730285649999999</v>
          </cell>
        </row>
        <row r="430">
          <cell r="E430" t="str">
            <v>مرعند القديم</v>
          </cell>
          <cell r="P430" t="e">
            <v>#NAME?</v>
          </cell>
        </row>
        <row r="431">
          <cell r="E431" t="str">
            <v>الطيبة</v>
          </cell>
          <cell r="P431" t="e">
            <v>#NAME?</v>
          </cell>
        </row>
        <row r="432">
          <cell r="E432" t="str">
            <v>كفر لاها</v>
          </cell>
          <cell r="P432" t="e">
            <v>#NAME?</v>
          </cell>
        </row>
        <row r="433">
          <cell r="E433" t="str">
            <v>زردنا</v>
          </cell>
          <cell r="P433" t="e">
            <v>#NAME?</v>
          </cell>
        </row>
        <row r="434">
          <cell r="E434" t="str">
            <v>مخيمات بداما</v>
          </cell>
          <cell r="P434" t="e">
            <v>#NAME?</v>
          </cell>
        </row>
        <row r="435">
          <cell r="E435" t="str">
            <v>طريق أريحا</v>
          </cell>
          <cell r="P435" t="e">
            <v>#NAME?</v>
          </cell>
        </row>
        <row r="436">
          <cell r="E436" t="str">
            <v>جسر كفر نجد</v>
          </cell>
          <cell r="P436" t="e">
            <v>#NAME?</v>
          </cell>
        </row>
        <row r="437">
          <cell r="E437" t="str">
            <v>تلدو</v>
          </cell>
          <cell r="P437">
            <v>34.874694820000002</v>
          </cell>
        </row>
        <row r="438">
          <cell r="E438" t="str">
            <v>الرستن</v>
          </cell>
          <cell r="P438">
            <v>34.924072270000003</v>
          </cell>
        </row>
        <row r="439">
          <cell r="E439" t="str">
            <v>غرناطة</v>
          </cell>
          <cell r="P439" t="e">
            <v>#NAME?</v>
          </cell>
        </row>
        <row r="440">
          <cell r="E440" t="str">
            <v>عرقايا</v>
          </cell>
          <cell r="P440">
            <v>34.813293459999997</v>
          </cell>
        </row>
        <row r="441">
          <cell r="E441" t="str">
            <v>القصير</v>
          </cell>
          <cell r="P441" t="e">
            <v>#NAME?</v>
          </cell>
        </row>
        <row r="442">
          <cell r="E442" t="str">
            <v>سوق الزهراوي</v>
          </cell>
          <cell r="P442" t="e">
            <v>#NAME?</v>
          </cell>
        </row>
        <row r="443">
          <cell r="E443" t="str">
            <v>برابو</v>
          </cell>
          <cell r="P443">
            <v>34.694274900000003</v>
          </cell>
        </row>
        <row r="444">
          <cell r="E444" t="str">
            <v>تل ذهب</v>
          </cell>
          <cell r="P444" t="e">
            <v>#NAME?</v>
          </cell>
        </row>
        <row r="445">
          <cell r="E445" t="str">
            <v>تلدو</v>
          </cell>
          <cell r="P445">
            <v>34.874694820000002</v>
          </cell>
        </row>
        <row r="446">
          <cell r="E446" t="str">
            <v>القصير</v>
          </cell>
          <cell r="P446" t="e">
            <v>#NAME?</v>
          </cell>
        </row>
        <row r="447">
          <cell r="E447" t="str">
            <v>قبو في الدانا</v>
          </cell>
          <cell r="P447" t="e">
            <v>#NAME?</v>
          </cell>
        </row>
        <row r="448">
          <cell r="E448" t="str">
            <v>أزرع</v>
          </cell>
          <cell r="P448">
            <v>32.867675779999999</v>
          </cell>
        </row>
        <row r="449">
          <cell r="E449" t="str">
            <v>قور قانيا</v>
          </cell>
          <cell r="P449" t="e">
            <v>#NAME?</v>
          </cell>
        </row>
        <row r="450">
          <cell r="E450" t="str">
            <v>مخيم الكرامة</v>
          </cell>
          <cell r="P450" t="e">
            <v>#NAME?</v>
          </cell>
        </row>
        <row r="451">
          <cell r="E451" t="str">
            <v>خان أرنبة</v>
          </cell>
          <cell r="P451">
            <v>33.182128910000003</v>
          </cell>
        </row>
        <row r="452">
          <cell r="E452" t="str">
            <v>مخيم القصر</v>
          </cell>
          <cell r="P452" t="e">
            <v>#NAME?</v>
          </cell>
        </row>
        <row r="453">
          <cell r="E453" t="str">
            <v>أزرع</v>
          </cell>
          <cell r="P453">
            <v>32.867675779999999</v>
          </cell>
        </row>
        <row r="454">
          <cell r="E454" t="str">
            <v>مخيم حي الجامعة</v>
          </cell>
          <cell r="P454" t="e">
            <v>#NAME?</v>
          </cell>
        </row>
        <row r="455">
          <cell r="E455" t="str">
            <v>مخيمات البشير</v>
          </cell>
          <cell r="P455" t="e">
            <v>#NAME?</v>
          </cell>
        </row>
        <row r="456">
          <cell r="E456" t="str">
            <v>طرنجة</v>
          </cell>
          <cell r="P456">
            <v>33.232910160000003</v>
          </cell>
        </row>
        <row r="457">
          <cell r="E457" t="str">
            <v>الحجر الأسود</v>
          </cell>
          <cell r="P457">
            <v>33.457885740000002</v>
          </cell>
        </row>
        <row r="458">
          <cell r="E458" t="str">
            <v>الزبداني</v>
          </cell>
          <cell r="P458">
            <v>33.725280759999997</v>
          </cell>
        </row>
        <row r="459">
          <cell r="E459" t="str">
            <v>بلودان</v>
          </cell>
          <cell r="P459">
            <v>33.725524900000003</v>
          </cell>
        </row>
        <row r="460">
          <cell r="E460" t="str">
            <v>دمشق</v>
          </cell>
          <cell r="P460">
            <v>33.517272949999999</v>
          </cell>
        </row>
        <row r="461">
          <cell r="E461" t="str">
            <v>حلب</v>
          </cell>
          <cell r="P461">
            <v>36.20611572</v>
          </cell>
        </row>
        <row r="462">
          <cell r="E462" t="str">
            <v>دمشق</v>
          </cell>
          <cell r="P462">
            <v>33.517272949999999</v>
          </cell>
        </row>
        <row r="463">
          <cell r="E463" t="str">
            <v>مخيم خطاب</v>
          </cell>
          <cell r="P463" t="e">
            <v>#NAME?</v>
          </cell>
        </row>
        <row r="464">
          <cell r="E464" t="str">
            <v>رنكوس</v>
          </cell>
          <cell r="P464">
            <v>33.756103520000003</v>
          </cell>
        </row>
        <row r="465">
          <cell r="E465" t="str">
            <v>حوش عرب</v>
          </cell>
          <cell r="P465">
            <v>33.813720699999998</v>
          </cell>
        </row>
        <row r="466">
          <cell r="E466" t="str">
            <v>الزبداني</v>
          </cell>
          <cell r="P466">
            <v>33.725280759999997</v>
          </cell>
        </row>
        <row r="467">
          <cell r="E467" t="str">
            <v>كفر لوسين</v>
          </cell>
          <cell r="P467" t="e">
            <v>#NAME?</v>
          </cell>
        </row>
        <row r="468">
          <cell r="E468" t="str">
            <v>بلودان</v>
          </cell>
          <cell r="P468">
            <v>33.725524900000003</v>
          </cell>
        </row>
        <row r="469">
          <cell r="E469" t="str">
            <v>مخيم أطمة</v>
          </cell>
          <cell r="P469" t="e">
            <v>#NAME?</v>
          </cell>
        </row>
        <row r="470">
          <cell r="E470" t="str">
            <v>سرغايا</v>
          </cell>
          <cell r="P470">
            <v>33.838073729999998</v>
          </cell>
        </row>
        <row r="471">
          <cell r="E471" t="str">
            <v>مخيم الشهداء</v>
          </cell>
          <cell r="P471" t="e">
            <v>#NAME?</v>
          </cell>
        </row>
        <row r="472">
          <cell r="E472" t="str">
            <v>التل</v>
          </cell>
          <cell r="P472">
            <v>33.60430908</v>
          </cell>
        </row>
        <row r="473">
          <cell r="E473" t="str">
            <v>طريق فحيل</v>
          </cell>
          <cell r="P473" t="e">
            <v>#NAME?</v>
          </cell>
        </row>
        <row r="474">
          <cell r="E474" t="str">
            <v>مدرسة معرة مصرين</v>
          </cell>
          <cell r="P474" t="e">
            <v>#NAME?</v>
          </cell>
        </row>
        <row r="475">
          <cell r="E475" t="str">
            <v>الزبداني</v>
          </cell>
          <cell r="P475">
            <v>33.725280759999997</v>
          </cell>
        </row>
        <row r="476">
          <cell r="E476" t="str">
            <v>طريق إدلب</v>
          </cell>
          <cell r="P476" t="e">
            <v>#NAME?</v>
          </cell>
        </row>
        <row r="477">
          <cell r="E477" t="str">
            <v>قرية معترم</v>
          </cell>
          <cell r="P477" t="e">
            <v>#NAME?</v>
          </cell>
        </row>
        <row r="478">
          <cell r="E478" t="str">
            <v>طريق السجن</v>
          </cell>
          <cell r="P478" t="e">
            <v>#NAME?</v>
          </cell>
        </row>
        <row r="479">
          <cell r="E479" t="str">
            <v>دوار سرمدا</v>
          </cell>
          <cell r="P479" t="e">
            <v>#NAME?</v>
          </cell>
        </row>
        <row r="480">
          <cell r="E480" t="str">
            <v>غير محدد</v>
          </cell>
          <cell r="P480" t="e">
            <v>#NAME?</v>
          </cell>
        </row>
        <row r="481">
          <cell r="E481" t="str">
            <v>مواقع متعددة</v>
          </cell>
          <cell r="P481" t="e">
            <v>#NAME?</v>
          </cell>
        </row>
        <row r="482">
          <cell r="E482" t="str">
            <v>سنارة</v>
          </cell>
          <cell r="P482">
            <v>36.469116</v>
          </cell>
        </row>
        <row r="483">
          <cell r="E483" t="str">
            <v>إعزاز</v>
          </cell>
          <cell r="P483">
            <v>36.584899999999998</v>
          </cell>
        </row>
        <row r="484">
          <cell r="E484" t="str">
            <v>معرين</v>
          </cell>
          <cell r="P484">
            <v>36.621650000000002</v>
          </cell>
        </row>
        <row r="485">
          <cell r="E485" t="str">
            <v>دارة عزة</v>
          </cell>
          <cell r="P485">
            <v>36.285094999999998</v>
          </cell>
        </row>
        <row r="486">
          <cell r="E486" t="str">
            <v>مخيمات متضررة</v>
          </cell>
          <cell r="P486" t="e">
            <v>#NAME?</v>
          </cell>
        </row>
        <row r="487">
          <cell r="E487" t="str">
            <v>مخيمات خربة الجوز</v>
          </cell>
          <cell r="P487" t="e">
            <v>#NAME?</v>
          </cell>
        </row>
        <row r="488">
          <cell r="E488" t="str">
            <v>منطقة خربة الجوز</v>
          </cell>
          <cell r="P488" t="e">
            <v>#NAME?</v>
          </cell>
        </row>
        <row r="489">
          <cell r="E489" t="str">
            <v>جرابلس</v>
          </cell>
          <cell r="P489">
            <v>36.814514000000003</v>
          </cell>
        </row>
        <row r="490">
          <cell r="E490" t="str">
            <v>زوغرة</v>
          </cell>
          <cell r="P490">
            <v>36.750565999999999</v>
          </cell>
        </row>
        <row r="491">
          <cell r="E491" t="str">
            <v>راجو</v>
          </cell>
          <cell r="P491">
            <v>36.676879999999997</v>
          </cell>
        </row>
        <row r="492">
          <cell r="E492" t="str">
            <v>القسطل</v>
          </cell>
          <cell r="P492">
            <v>36.548895000000002</v>
          </cell>
        </row>
        <row r="493">
          <cell r="E493" t="str">
            <v>العون</v>
          </cell>
          <cell r="P493">
            <v>36.556885000000001</v>
          </cell>
        </row>
        <row r="494">
          <cell r="E494" t="str">
            <v>مقطع الحجر</v>
          </cell>
          <cell r="P494">
            <v>35.09552</v>
          </cell>
        </row>
        <row r="495">
          <cell r="E495" t="str">
            <v>منبج</v>
          </cell>
          <cell r="P495">
            <v>36.525879000000003</v>
          </cell>
        </row>
        <row r="496">
          <cell r="E496" t="str">
            <v>الباب</v>
          </cell>
          <cell r="P496">
            <v>36.369872999999998</v>
          </cell>
        </row>
        <row r="497">
          <cell r="E497" t="str">
            <v>حلب</v>
          </cell>
          <cell r="P497">
            <v>36.206116000000002</v>
          </cell>
        </row>
        <row r="498">
          <cell r="E498" t="str">
            <v>عفرين</v>
          </cell>
          <cell r="P498">
            <v>36.508378999999998</v>
          </cell>
        </row>
        <row r="499">
          <cell r="E499" t="str">
            <v>جنديرس</v>
          </cell>
          <cell r="P499">
            <v>36.392516999999998</v>
          </cell>
        </row>
        <row r="500">
          <cell r="E500" t="str">
            <v>راجو</v>
          </cell>
          <cell r="P500">
            <v>36.676879999999997</v>
          </cell>
        </row>
        <row r="501">
          <cell r="E501" t="str">
            <v>معبطلي</v>
          </cell>
          <cell r="P501">
            <v>36.626708999999998</v>
          </cell>
        </row>
        <row r="502">
          <cell r="E502" t="str">
            <v>إعزاز</v>
          </cell>
          <cell r="P502">
            <v>36.584899999999998</v>
          </cell>
        </row>
        <row r="503">
          <cell r="E503" t="str">
            <v>مراكز الإيواء</v>
          </cell>
          <cell r="P503" t="e">
            <v>#NAME?</v>
          </cell>
        </row>
        <row r="504">
          <cell r="E504" t="str">
            <v>حندرات</v>
          </cell>
          <cell r="P504">
            <v>36.288696000000002</v>
          </cell>
        </row>
        <row r="505">
          <cell r="E505" t="str">
            <v>مدرسة دار الزيتون</v>
          </cell>
          <cell r="P505" t="e">
            <v>#NAME?</v>
          </cell>
        </row>
        <row r="506">
          <cell r="E506" t="str">
            <v>الراعي</v>
          </cell>
          <cell r="P506">
            <v>36.601073999999997</v>
          </cell>
        </row>
        <row r="507">
          <cell r="E507" t="str">
            <v>كعيبة</v>
          </cell>
          <cell r="P507">
            <v>36.541077000000001</v>
          </cell>
        </row>
        <row r="508">
          <cell r="E508" t="str">
            <v>كعيبة</v>
          </cell>
          <cell r="P508">
            <v>36.541077000000001</v>
          </cell>
        </row>
        <row r="509">
          <cell r="E509" t="str">
            <v>اخترين</v>
          </cell>
          <cell r="P509">
            <v>36.509704999999997</v>
          </cell>
        </row>
        <row r="510">
          <cell r="E510" t="str">
            <v>كعيبة</v>
          </cell>
          <cell r="P510">
            <v>36.541077000000001</v>
          </cell>
        </row>
        <row r="511">
          <cell r="E511" t="str">
            <v>مدرسة رحمة الخاصة</v>
          </cell>
          <cell r="P511" t="e">
            <v>#NAME?</v>
          </cell>
        </row>
        <row r="512">
          <cell r="E512" t="str">
            <v>إعزاز</v>
          </cell>
          <cell r="P512">
            <v>36.584899999999998</v>
          </cell>
        </row>
        <row r="513">
          <cell r="E513" t="str">
            <v>المسامك</v>
          </cell>
          <cell r="P513" t="e">
            <v>#NAME?</v>
          </cell>
        </row>
        <row r="514">
          <cell r="E514" t="str">
            <v>منبج</v>
          </cell>
          <cell r="P514">
            <v>36.525879000000003</v>
          </cell>
        </row>
        <row r="515">
          <cell r="E515" t="str">
            <v>ثانوية خربة الجوز</v>
          </cell>
          <cell r="P515" t="e">
            <v>#NAME?</v>
          </cell>
        </row>
        <row r="516">
          <cell r="E516" t="str">
            <v>منبج</v>
          </cell>
          <cell r="P516">
            <v>36.525879000000003</v>
          </cell>
        </row>
        <row r="517">
          <cell r="E517" t="str">
            <v>العون</v>
          </cell>
          <cell r="P517">
            <v>36.556885000000001</v>
          </cell>
        </row>
        <row r="518">
          <cell r="E518" t="str">
            <v>منبج</v>
          </cell>
          <cell r="P518">
            <v>36.525879000000003</v>
          </cell>
        </row>
        <row r="519">
          <cell r="E519" t="str">
            <v>العريمة</v>
          </cell>
          <cell r="P519">
            <v>36.47296</v>
          </cell>
        </row>
        <row r="520">
          <cell r="E520" t="str">
            <v>جنديرس</v>
          </cell>
          <cell r="P520">
            <v>36.392516999999998</v>
          </cell>
        </row>
        <row r="521">
          <cell r="E521" t="str">
            <v>شيخ حديد</v>
          </cell>
          <cell r="P521">
            <v>35.353515999999999</v>
          </cell>
        </row>
        <row r="522">
          <cell r="E522" t="str">
            <v>الباب</v>
          </cell>
          <cell r="P522">
            <v>36.369872999999998</v>
          </cell>
        </row>
        <row r="523">
          <cell r="E523" t="str">
            <v>منبج</v>
          </cell>
          <cell r="P523">
            <v>36.525879000000003</v>
          </cell>
        </row>
        <row r="524">
          <cell r="E524" t="str">
            <v>الباب</v>
          </cell>
          <cell r="P524">
            <v>36.369872999999998</v>
          </cell>
        </row>
        <row r="525">
          <cell r="E525" t="str">
            <v>الراعي</v>
          </cell>
          <cell r="P525">
            <v>36.601073999999997</v>
          </cell>
        </row>
        <row r="526">
          <cell r="E526" t="str">
            <v>جنديرس</v>
          </cell>
          <cell r="P526">
            <v>36.392516999999998</v>
          </cell>
        </row>
        <row r="527">
          <cell r="E527" t="str">
            <v>كفر صفرة</v>
          </cell>
          <cell r="P527">
            <v>36.427672999999999</v>
          </cell>
        </row>
        <row r="528">
          <cell r="E528" t="str">
            <v>جرابلس</v>
          </cell>
          <cell r="P528">
            <v>36.814514000000003</v>
          </cell>
        </row>
        <row r="529">
          <cell r="E529" t="str">
            <v>عين البيضا</v>
          </cell>
          <cell r="P529">
            <v>35.66272</v>
          </cell>
        </row>
        <row r="530">
          <cell r="E530" t="str">
            <v>شيخ حديد</v>
          </cell>
          <cell r="P530">
            <v>35.353515999999999</v>
          </cell>
        </row>
        <row r="531">
          <cell r="E531" t="str">
            <v>مدرسة الفضيلة</v>
          </cell>
          <cell r="P531" t="e">
            <v>#NAME?</v>
          </cell>
        </row>
        <row r="532">
          <cell r="E532" t="str">
            <v>إعزاز</v>
          </cell>
          <cell r="P532">
            <v>36.584899999999998</v>
          </cell>
        </row>
        <row r="533">
          <cell r="E533" t="str">
            <v>كفرة</v>
          </cell>
          <cell r="P533">
            <v>36.566512000000003</v>
          </cell>
        </row>
        <row r="534">
          <cell r="E534" t="str">
            <v>جرابلس</v>
          </cell>
          <cell r="P534">
            <v>36.814514000000003</v>
          </cell>
        </row>
        <row r="535">
          <cell r="E535" t="str">
            <v>الغندورة</v>
          </cell>
          <cell r="P535">
            <v>36.677123999999999</v>
          </cell>
        </row>
        <row r="536">
          <cell r="E536" t="str">
            <v>دارة عزة</v>
          </cell>
          <cell r="P536">
            <v>36.285094999999998</v>
          </cell>
        </row>
        <row r="537">
          <cell r="E537" t="str">
            <v>عفرين</v>
          </cell>
          <cell r="P537">
            <v>36.508378999999998</v>
          </cell>
        </row>
        <row r="538">
          <cell r="E538" t="str">
            <v>جرابلس</v>
          </cell>
          <cell r="P538">
            <v>36.814514000000003</v>
          </cell>
        </row>
        <row r="539">
          <cell r="E539" t="str">
            <v>منبج</v>
          </cell>
          <cell r="P539">
            <v>36.525879000000003</v>
          </cell>
        </row>
        <row r="540">
          <cell r="E540" t="str">
            <v>حلب</v>
          </cell>
          <cell r="P540">
            <v>36.206116000000002</v>
          </cell>
        </row>
        <row r="541">
          <cell r="E541" t="str">
            <v>منبج</v>
          </cell>
          <cell r="P541">
            <v>36.525879000000003</v>
          </cell>
        </row>
        <row r="542">
          <cell r="E542" t="str">
            <v>إعزاز</v>
          </cell>
          <cell r="P542">
            <v>36.584899999999998</v>
          </cell>
        </row>
        <row r="543">
          <cell r="E543" t="str">
            <v>مارع</v>
          </cell>
          <cell r="P543">
            <v>36.482726999999997</v>
          </cell>
        </row>
        <row r="544">
          <cell r="E544" t="str">
            <v>بلبل</v>
          </cell>
          <cell r="P544">
            <v>36.769714</v>
          </cell>
        </row>
        <row r="545">
          <cell r="E545" t="str">
            <v>راجو</v>
          </cell>
          <cell r="P545">
            <v>36.676879999999997</v>
          </cell>
        </row>
        <row r="546">
          <cell r="E546" t="str">
            <v>مدرسة الحنبوشية</v>
          </cell>
          <cell r="P546" t="e">
            <v>#NAME?</v>
          </cell>
        </row>
        <row r="547">
          <cell r="E547" t="str">
            <v>مدرسة رحمة الخاصة</v>
          </cell>
          <cell r="P547" t="e">
            <v>#NAME?</v>
          </cell>
        </row>
        <row r="548">
          <cell r="E548" t="str">
            <v>جنديرس</v>
          </cell>
          <cell r="P548">
            <v>36.392516999999998</v>
          </cell>
        </row>
        <row r="549">
          <cell r="E549" t="str">
            <v>ثانوية بكسريا</v>
          </cell>
          <cell r="P549" t="e">
            <v>#NAME?</v>
          </cell>
        </row>
        <row r="550">
          <cell r="E550" t="str">
            <v>دارة عزة</v>
          </cell>
          <cell r="P550">
            <v>36.285094999999998</v>
          </cell>
        </row>
        <row r="551">
          <cell r="E551" t="str">
            <v>عفرين</v>
          </cell>
          <cell r="P551">
            <v>36.508378999999998</v>
          </cell>
        </row>
        <row r="552">
          <cell r="E552" t="str">
            <v>مدرسة الرحمة</v>
          </cell>
          <cell r="P552" t="e">
            <v>#NAME?</v>
          </cell>
        </row>
        <row r="553">
          <cell r="E553" t="str">
            <v>صندي</v>
          </cell>
          <cell r="P553">
            <v>36.581116000000002</v>
          </cell>
        </row>
        <row r="554">
          <cell r="E554" t="str">
            <v>عفرين</v>
          </cell>
          <cell r="P554">
            <v>36.508378999999998</v>
          </cell>
        </row>
        <row r="555">
          <cell r="E555" t="str">
            <v>مركز الأنصار</v>
          </cell>
          <cell r="P555" t="e">
            <v>#NAME?</v>
          </cell>
        </row>
        <row r="556">
          <cell r="E556" t="str">
            <v>الفاتحة</v>
          </cell>
          <cell r="P556" t="e">
            <v>#NAME?</v>
          </cell>
        </row>
        <row r="557">
          <cell r="E557" t="str">
            <v>قبة الشيخ</v>
          </cell>
          <cell r="P557">
            <v>36.462409999999998</v>
          </cell>
        </row>
        <row r="558">
          <cell r="E558" t="str">
            <v>دارة عزة</v>
          </cell>
          <cell r="P558">
            <v>36.285094999999998</v>
          </cell>
        </row>
        <row r="559">
          <cell r="E559" t="str">
            <v>باصوفان</v>
          </cell>
          <cell r="P559">
            <v>36.341124999999998</v>
          </cell>
        </row>
        <row r="560">
          <cell r="E560" t="str">
            <v>برج حيدر</v>
          </cell>
          <cell r="P560">
            <v>36.343079000000003</v>
          </cell>
        </row>
        <row r="561">
          <cell r="E561" t="str">
            <v>عفرين</v>
          </cell>
          <cell r="P561">
            <v>36.508378999999998</v>
          </cell>
        </row>
        <row r="562">
          <cell r="E562" t="str">
            <v>قاطع النهر</v>
          </cell>
          <cell r="P562" t="e">
            <v>#NAME?</v>
          </cell>
        </row>
        <row r="563">
          <cell r="E563" t="str">
            <v>راجو</v>
          </cell>
          <cell r="P563">
            <v>36.676879999999997</v>
          </cell>
        </row>
        <row r="564">
          <cell r="E564" t="str">
            <v>شهداء سوريا 2</v>
          </cell>
          <cell r="P564" t="e">
            <v>#NAME?</v>
          </cell>
        </row>
        <row r="565">
          <cell r="E565" t="str">
            <v>بلبل</v>
          </cell>
          <cell r="P565">
            <v>36.769714</v>
          </cell>
        </row>
        <row r="566">
          <cell r="E566" t="str">
            <v>زعرة</v>
          </cell>
          <cell r="P566">
            <v>36.785522</v>
          </cell>
        </row>
        <row r="567">
          <cell r="E567" t="str">
            <v>شنكل</v>
          </cell>
          <cell r="P567">
            <v>36.811706000000001</v>
          </cell>
        </row>
        <row r="568">
          <cell r="E568" t="str">
            <v>أبو بديع</v>
          </cell>
          <cell r="P568" t="e">
            <v>#NAME?</v>
          </cell>
        </row>
        <row r="569">
          <cell r="E569" t="str">
            <v>شهداء سوريا 1</v>
          </cell>
          <cell r="P569" t="e">
            <v>#NAME?</v>
          </cell>
        </row>
        <row r="570">
          <cell r="E570" t="str">
            <v>اليابسة</v>
          </cell>
          <cell r="P570">
            <v>36.686706000000001</v>
          </cell>
        </row>
        <row r="571">
          <cell r="E571" t="str">
            <v>مخيم المغاربي - قاطع النهر</v>
          </cell>
          <cell r="P571" t="e">
            <v>#NAME?</v>
          </cell>
        </row>
        <row r="572">
          <cell r="E572" t="str">
            <v>أنين الساحل</v>
          </cell>
          <cell r="P572" t="e">
            <v>#NAME?</v>
          </cell>
        </row>
        <row r="573">
          <cell r="E573" t="str">
            <v>التعاون</v>
          </cell>
          <cell r="P573" t="e">
            <v>#NAME?</v>
          </cell>
        </row>
        <row r="574">
          <cell r="E574" t="str">
            <v>أهل القرآن</v>
          </cell>
          <cell r="P574" t="e">
            <v>#NAME?</v>
          </cell>
        </row>
        <row r="575">
          <cell r="E575" t="str">
            <v>شيخ الحديد</v>
          </cell>
          <cell r="P575">
            <v>36.501708999999998</v>
          </cell>
        </row>
        <row r="576">
          <cell r="E576" t="str">
            <v>راجو</v>
          </cell>
          <cell r="P576">
            <v>36.676879999999997</v>
          </cell>
        </row>
        <row r="577">
          <cell r="E577" t="str">
            <v>عائدون</v>
          </cell>
          <cell r="P577" t="e">
            <v>#NAME?</v>
          </cell>
        </row>
        <row r="578">
          <cell r="E578" t="str">
            <v>قورنة</v>
          </cell>
          <cell r="P578">
            <v>36.773071000000002</v>
          </cell>
        </row>
        <row r="579">
          <cell r="E579" t="str">
            <v>شام</v>
          </cell>
          <cell r="P579" t="e">
            <v>#NAME?</v>
          </cell>
        </row>
        <row r="580">
          <cell r="E580" t="str">
            <v>برج الديموس</v>
          </cell>
          <cell r="P580" t="e">
            <v>#NAME?</v>
          </cell>
        </row>
        <row r="581">
          <cell r="E581" t="str">
            <v>شيخ الحديد</v>
          </cell>
          <cell r="P581">
            <v>36.501708999999998</v>
          </cell>
        </row>
        <row r="582">
          <cell r="E582" t="str">
            <v>عطاء الخير</v>
          </cell>
          <cell r="P582" t="e">
            <v>#NAME?</v>
          </cell>
        </row>
        <row r="583">
          <cell r="E583" t="str">
            <v>سلمى 2</v>
          </cell>
          <cell r="P583" t="e">
            <v>#NAME?</v>
          </cell>
        </row>
        <row r="584">
          <cell r="E584" t="str">
            <v>عشوائيات عين البيضا</v>
          </cell>
          <cell r="P584" t="e">
            <v>#NAME?</v>
          </cell>
        </row>
        <row r="585">
          <cell r="E585" t="str">
            <v>الجبل</v>
          </cell>
          <cell r="P585" t="e">
            <v>#NAME?</v>
          </cell>
        </row>
        <row r="586">
          <cell r="E586" t="str">
            <v>الإتقان</v>
          </cell>
          <cell r="P586" t="e">
            <v>#NAME?</v>
          </cell>
        </row>
        <row r="587">
          <cell r="E587" t="str">
            <v>دير حافر</v>
          </cell>
          <cell r="P587">
            <v>36.168517999999999</v>
          </cell>
        </row>
        <row r="588">
          <cell r="E588" t="str">
            <v>حي الشعار</v>
          </cell>
          <cell r="P588">
            <v>36.209105999999998</v>
          </cell>
        </row>
        <row r="589">
          <cell r="E589" t="str">
            <v>الإيمان</v>
          </cell>
          <cell r="P589" t="e">
            <v>#NAME?</v>
          </cell>
        </row>
        <row r="590">
          <cell r="E590" t="str">
            <v>أريحا</v>
          </cell>
          <cell r="P590" t="e">
            <v>#NAME?</v>
          </cell>
        </row>
        <row r="591">
          <cell r="E591" t="str">
            <v>عمر الفاروق</v>
          </cell>
          <cell r="P591" t="e">
            <v>#NAME?</v>
          </cell>
        </row>
        <row r="592">
          <cell r="E592" t="str">
            <v>كفر تخاريم</v>
          </cell>
          <cell r="P592">
            <v>36.116516109999999</v>
          </cell>
        </row>
        <row r="593">
          <cell r="E593" t="str">
            <v>صلاح الدين</v>
          </cell>
          <cell r="P593" t="e">
            <v>#NAME?</v>
          </cell>
        </row>
        <row r="594">
          <cell r="E594" t="str">
            <v>حارم</v>
          </cell>
          <cell r="P594">
            <v>36.212707520000002</v>
          </cell>
        </row>
        <row r="595">
          <cell r="E595" t="str">
            <v>طريق أريحا</v>
          </cell>
          <cell r="P595" t="e">
            <v>#NAME?</v>
          </cell>
        </row>
        <row r="596">
          <cell r="E596" t="str">
            <v>مدينة جسر الشغور</v>
          </cell>
          <cell r="P596" t="e">
            <v>#NAME?</v>
          </cell>
        </row>
        <row r="597">
          <cell r="E597" t="str">
            <v>الدويلة</v>
          </cell>
          <cell r="P597" t="e">
            <v>#NAME?</v>
          </cell>
        </row>
        <row r="598">
          <cell r="E598" t="str">
            <v>حارم</v>
          </cell>
          <cell r="P598">
            <v>36.212707520000002</v>
          </cell>
        </row>
        <row r="599">
          <cell r="E599" t="str">
            <v>دوار الفلاحين في إدلب</v>
          </cell>
          <cell r="P599" t="e">
            <v>#NAME?</v>
          </cell>
        </row>
        <row r="600">
          <cell r="E600" t="str">
            <v>طريق سرمدا</v>
          </cell>
          <cell r="P600" t="e">
            <v>#NAME?</v>
          </cell>
        </row>
        <row r="601">
          <cell r="E601" t="str">
            <v>حارم</v>
          </cell>
          <cell r="P601">
            <v>36.212707520000002</v>
          </cell>
        </row>
        <row r="602">
          <cell r="E602" t="str">
            <v>كفر تخاريم</v>
          </cell>
          <cell r="P602">
            <v>36.116516109999999</v>
          </cell>
        </row>
        <row r="603">
          <cell r="E603" t="str">
            <v>قورقانيا</v>
          </cell>
          <cell r="P603">
            <v>36.138488770000002</v>
          </cell>
        </row>
        <row r="604">
          <cell r="E604" t="str">
            <v>مدخل مدينة حارم</v>
          </cell>
          <cell r="P604" t="e">
            <v>#NAME?</v>
          </cell>
        </row>
        <row r="605">
          <cell r="E605" t="str">
            <v>عقربات</v>
          </cell>
          <cell r="P605" t="e">
            <v>#NAME?</v>
          </cell>
        </row>
        <row r="606">
          <cell r="E606" t="str">
            <v>كفرلوسين</v>
          </cell>
          <cell r="P606">
            <v>36.255676270000002</v>
          </cell>
        </row>
        <row r="607">
          <cell r="E607" t="str">
            <v>حارم</v>
          </cell>
          <cell r="P607">
            <v>36.212707520000002</v>
          </cell>
        </row>
        <row r="608">
          <cell r="E608" t="str">
            <v>قلب لوزة</v>
          </cell>
          <cell r="P608">
            <v>36.169311520000001</v>
          </cell>
        </row>
        <row r="609">
          <cell r="E609" t="str">
            <v>مفرق البدرية</v>
          </cell>
          <cell r="P609" t="e">
            <v>#NAME?</v>
          </cell>
        </row>
        <row r="610">
          <cell r="E610" t="str">
            <v>تل مرديخ</v>
          </cell>
          <cell r="P610" t="e">
            <v>#NAME?</v>
          </cell>
        </row>
        <row r="611">
          <cell r="E611" t="str">
            <v>الفاتحة</v>
          </cell>
          <cell r="P611" t="e">
            <v>#NAME?</v>
          </cell>
        </row>
        <row r="612">
          <cell r="E612" t="str">
            <v>قاطع النهر</v>
          </cell>
          <cell r="P612" t="e">
            <v>#NAME?</v>
          </cell>
        </row>
        <row r="613">
          <cell r="E613" t="str">
            <v>سلقين</v>
          </cell>
          <cell r="P613">
            <v>36.139099119999997</v>
          </cell>
        </row>
        <row r="614">
          <cell r="E614" t="str">
            <v>الدويلة</v>
          </cell>
          <cell r="P614" t="e">
            <v>#NAME?</v>
          </cell>
        </row>
        <row r="615">
          <cell r="E615" t="str">
            <v>كفر تخاريم</v>
          </cell>
          <cell r="P615">
            <v>36.116516109999999</v>
          </cell>
        </row>
        <row r="616">
          <cell r="E616" t="str">
            <v>العجمي</v>
          </cell>
          <cell r="P616" t="e">
            <v>#NAME?</v>
          </cell>
        </row>
        <row r="617">
          <cell r="E617" t="str">
            <v>شهداء سوريا 2</v>
          </cell>
          <cell r="P617" t="e">
            <v>#NAME?</v>
          </cell>
        </row>
        <row r="618">
          <cell r="E618" t="str">
            <v>دركوش</v>
          </cell>
          <cell r="P618">
            <v>35.992492679999998</v>
          </cell>
        </row>
        <row r="619">
          <cell r="E619" t="str">
            <v>بليون</v>
          </cell>
          <cell r="P619" t="e">
            <v>#NAME?</v>
          </cell>
        </row>
        <row r="620">
          <cell r="E620" t="str">
            <v>أريحا</v>
          </cell>
          <cell r="P620" t="e">
            <v>#NAME?</v>
          </cell>
        </row>
        <row r="621">
          <cell r="E621" t="str">
            <v>عائدون</v>
          </cell>
          <cell r="P621" t="e">
            <v>#NAME?</v>
          </cell>
        </row>
        <row r="622">
          <cell r="E622" t="str">
            <v>المزرعة</v>
          </cell>
          <cell r="P622">
            <v>32.805908199999998</v>
          </cell>
        </row>
        <row r="623">
          <cell r="E623" t="str">
            <v>عطاء الخير</v>
          </cell>
          <cell r="P623" t="e">
            <v>#NAME?</v>
          </cell>
        </row>
        <row r="624">
          <cell r="E624" t="str">
            <v>بداما</v>
          </cell>
          <cell r="P624">
            <v>35.812072749999999</v>
          </cell>
        </row>
        <row r="625">
          <cell r="E625" t="str">
            <v>سلمى 2</v>
          </cell>
          <cell r="P625" t="e">
            <v>#NAME?</v>
          </cell>
        </row>
        <row r="626">
          <cell r="E626" t="str">
            <v>عقربات</v>
          </cell>
          <cell r="P626" t="e">
            <v>#NAME?</v>
          </cell>
        </row>
        <row r="627">
          <cell r="E627" t="str">
            <v>باب الهوى</v>
          </cell>
          <cell r="P627" t="e">
            <v>#NAME?</v>
          </cell>
        </row>
        <row r="628">
          <cell r="E628" t="str">
            <v>سرمدا</v>
          </cell>
          <cell r="P628">
            <v>36.186706540000003</v>
          </cell>
        </row>
        <row r="629">
          <cell r="E629" t="str">
            <v>الدانا</v>
          </cell>
          <cell r="P629" t="e">
            <v>#NAME?</v>
          </cell>
        </row>
        <row r="630">
          <cell r="E630" t="str">
            <v>باريشا</v>
          </cell>
          <cell r="P630">
            <v>36.165283199999998</v>
          </cell>
        </row>
        <row r="631">
          <cell r="E631" t="str">
            <v>عشوائيات عين البيضا</v>
          </cell>
          <cell r="P631" t="e">
            <v>#NAME?</v>
          </cell>
        </row>
        <row r="632">
          <cell r="E632" t="str">
            <v>الزعينية</v>
          </cell>
          <cell r="P632">
            <v>35.841125490000003</v>
          </cell>
        </row>
        <row r="633">
          <cell r="E633" t="str">
            <v>الجبل</v>
          </cell>
          <cell r="P633" t="e">
            <v>#NAME?</v>
          </cell>
        </row>
        <row r="634">
          <cell r="E634" t="str">
            <v>كفر تخاريم</v>
          </cell>
          <cell r="P634">
            <v>36.116516109999999</v>
          </cell>
        </row>
        <row r="635">
          <cell r="E635" t="str">
            <v>صلوه</v>
          </cell>
          <cell r="P635">
            <v>36.308288570000002</v>
          </cell>
        </row>
        <row r="636">
          <cell r="E636" t="str">
            <v>الإتقان</v>
          </cell>
          <cell r="P636" t="e">
            <v>#NAME?</v>
          </cell>
        </row>
        <row r="637">
          <cell r="E637" t="str">
            <v>حارم</v>
          </cell>
          <cell r="P637">
            <v>36.212707520000002</v>
          </cell>
        </row>
        <row r="638">
          <cell r="E638" t="str">
            <v>الدانا</v>
          </cell>
          <cell r="P638" t="e">
            <v>#NAME?</v>
          </cell>
        </row>
        <row r="639">
          <cell r="E639" t="str">
            <v>جسر الشغور</v>
          </cell>
          <cell r="P639">
            <v>35.814270020000002</v>
          </cell>
        </row>
        <row r="640">
          <cell r="E640" t="str">
            <v>عقربات</v>
          </cell>
          <cell r="P640" t="e">
            <v>#NAME?</v>
          </cell>
        </row>
        <row r="641">
          <cell r="E641" t="str">
            <v>الإيمان</v>
          </cell>
          <cell r="P641" t="e">
            <v>#NAME?</v>
          </cell>
        </row>
        <row r="642">
          <cell r="E642" t="str">
            <v>محمبل</v>
          </cell>
          <cell r="P642">
            <v>35.784118650000003</v>
          </cell>
        </row>
        <row r="643">
          <cell r="E643" t="str">
            <v>حزانو</v>
          </cell>
          <cell r="P643">
            <v>36.089904789999999</v>
          </cell>
        </row>
        <row r="644">
          <cell r="E644" t="str">
            <v>عمر الفاروق</v>
          </cell>
          <cell r="P644" t="e">
            <v>#NAME?</v>
          </cell>
        </row>
        <row r="645">
          <cell r="E645" t="str">
            <v>سرمدا</v>
          </cell>
          <cell r="P645">
            <v>36.186706540000003</v>
          </cell>
        </row>
        <row r="646">
          <cell r="E646" t="str">
            <v>الدانا</v>
          </cell>
          <cell r="P646" t="e">
            <v>#NAME?</v>
          </cell>
        </row>
        <row r="647">
          <cell r="E647" t="str">
            <v>الكفير</v>
          </cell>
          <cell r="P647" t="e">
            <v>#NAME?</v>
          </cell>
        </row>
        <row r="648">
          <cell r="E648" t="str">
            <v>حارم</v>
          </cell>
          <cell r="P648">
            <v>36.212707520000002</v>
          </cell>
        </row>
        <row r="649">
          <cell r="E649" t="str">
            <v>صلاح الدين</v>
          </cell>
          <cell r="P649" t="e">
            <v>#NAME?</v>
          </cell>
        </row>
        <row r="650">
          <cell r="E650" t="str">
            <v>جسر الشغور</v>
          </cell>
          <cell r="P650">
            <v>35.814270020000002</v>
          </cell>
        </row>
        <row r="651">
          <cell r="E651" t="str">
            <v>نحلة</v>
          </cell>
          <cell r="P651">
            <v>35.783081060000001</v>
          </cell>
        </row>
        <row r="652">
          <cell r="E652" t="str">
            <v>عقربات</v>
          </cell>
          <cell r="P652" t="e">
            <v>#NAME?</v>
          </cell>
        </row>
        <row r="653">
          <cell r="E653" t="str">
            <v>بزابور</v>
          </cell>
          <cell r="P653">
            <v>35.775878910000003</v>
          </cell>
        </row>
        <row r="654">
          <cell r="E654" t="str">
            <v>سلمى 1</v>
          </cell>
          <cell r="P654" t="e">
            <v>#NAME?</v>
          </cell>
        </row>
        <row r="655">
          <cell r="E655" t="str">
            <v>طرق رئيسية وفرعية</v>
          </cell>
          <cell r="P655" t="e">
            <v>#NAME?</v>
          </cell>
        </row>
        <row r="656">
          <cell r="E656" t="str">
            <v>خان السبل</v>
          </cell>
          <cell r="P656" t="e">
            <v>#NAME?</v>
          </cell>
        </row>
        <row r="657">
          <cell r="E657" t="str">
            <v>مشفى عين البيضاء</v>
          </cell>
          <cell r="P657" t="e">
            <v>#NAME?</v>
          </cell>
        </row>
        <row r="658">
          <cell r="E658" t="str">
            <v>مرعيان</v>
          </cell>
          <cell r="P658">
            <v>35.743286130000001</v>
          </cell>
        </row>
        <row r="659">
          <cell r="E659" t="str">
            <v>مشفى عين البيضاء</v>
          </cell>
          <cell r="P659" t="e">
            <v>#NAME?</v>
          </cell>
        </row>
        <row r="660">
          <cell r="E660" t="str">
            <v>اللاذقية</v>
          </cell>
          <cell r="P660">
            <v>35.539124000000001</v>
          </cell>
        </row>
        <row r="661">
          <cell r="E661" t="str">
            <v>كسب</v>
          </cell>
          <cell r="P661">
            <v>35.918273999999997</v>
          </cell>
        </row>
        <row r="662">
          <cell r="E662" t="str">
            <v>جبلة</v>
          </cell>
          <cell r="P662">
            <v>35.364502000000002</v>
          </cell>
        </row>
        <row r="663">
          <cell r="E663" t="str">
            <v>بيت ياشوط</v>
          </cell>
          <cell r="P663">
            <v>35.327880999999998</v>
          </cell>
        </row>
        <row r="664">
          <cell r="E664" t="str">
            <v>اللاذقية</v>
          </cell>
          <cell r="P664">
            <v>35.539124000000001</v>
          </cell>
        </row>
        <row r="665">
          <cell r="E665" t="str">
            <v>ربيعة</v>
          </cell>
          <cell r="P665">
            <v>35.790100000000002</v>
          </cell>
        </row>
        <row r="666">
          <cell r="E666" t="str">
            <v>صلنفة</v>
          </cell>
          <cell r="P666">
            <v>35.596679999999999</v>
          </cell>
        </row>
        <row r="667">
          <cell r="E667" t="str">
            <v>مراكز الإيواء</v>
          </cell>
          <cell r="P667" t="e">
            <v>#NAME?</v>
          </cell>
        </row>
        <row r="668">
          <cell r="E668" t="str">
            <v>الحفة</v>
          </cell>
          <cell r="P668">
            <v>35.599487000000003</v>
          </cell>
        </row>
        <row r="669">
          <cell r="E669" t="str">
            <v>صلنفة</v>
          </cell>
          <cell r="P669">
            <v>35.596679999999999</v>
          </cell>
        </row>
        <row r="670">
          <cell r="E670" t="str">
            <v>صلنفة</v>
          </cell>
          <cell r="P670">
            <v>35.596679999999999</v>
          </cell>
        </row>
        <row r="671">
          <cell r="E671" t="str">
            <v>باب جنة</v>
          </cell>
          <cell r="P671">
            <v>35.571899000000002</v>
          </cell>
        </row>
        <row r="672">
          <cell r="E672" t="str">
            <v>دير ماما</v>
          </cell>
          <cell r="P672">
            <v>35.549590000000002</v>
          </cell>
        </row>
        <row r="673">
          <cell r="E673" t="str">
            <v>القرداحة</v>
          </cell>
          <cell r="P673">
            <v>35.453918999999999</v>
          </cell>
        </row>
        <row r="674">
          <cell r="E674" t="str">
            <v>جوبة برغال</v>
          </cell>
          <cell r="P674">
            <v>35.49353</v>
          </cell>
        </row>
        <row r="675">
          <cell r="E675" t="str">
            <v>صلنفة</v>
          </cell>
          <cell r="P675">
            <v>35.596679999999999</v>
          </cell>
        </row>
        <row r="676">
          <cell r="E676" t="str">
            <v>سلمى</v>
          </cell>
          <cell r="P676">
            <v>35.688110000000002</v>
          </cell>
        </row>
        <row r="677">
          <cell r="E677" t="str">
            <v>مناطق متعددة</v>
          </cell>
          <cell r="P677" t="e">
            <v>#NAME?</v>
          </cell>
        </row>
        <row r="678">
          <cell r="E678" t="str">
            <v>قسطل معاف</v>
          </cell>
          <cell r="P678">
            <v>35.825684000000003</v>
          </cell>
        </row>
        <row r="679">
          <cell r="E679" t="str">
            <v>خان الجوز</v>
          </cell>
          <cell r="P679">
            <v>35.723511000000002</v>
          </cell>
        </row>
        <row r="680">
          <cell r="E680" t="str">
            <v>ربيعة</v>
          </cell>
          <cell r="P680">
            <v>35.790100000000002</v>
          </cell>
        </row>
        <row r="681">
          <cell r="E681" t="str">
            <v>سهل الروج</v>
          </cell>
          <cell r="P681" t="e">
            <v>#NAME?</v>
          </cell>
        </row>
        <row r="682">
          <cell r="E682" t="str">
            <v>طعوما</v>
          </cell>
          <cell r="P682">
            <v>35.705689</v>
          </cell>
        </row>
        <row r="683">
          <cell r="E683" t="str">
            <v>مخيمات خربة الجوز</v>
          </cell>
          <cell r="P683" t="e">
            <v>#NAME?</v>
          </cell>
        </row>
        <row r="684">
          <cell r="E684" t="str">
            <v>مخيمات بداما</v>
          </cell>
          <cell r="P684" t="e">
            <v>#NAME?</v>
          </cell>
        </row>
        <row r="685">
          <cell r="E685" t="str">
            <v>عكو</v>
          </cell>
          <cell r="P685">
            <v>35.710082999999997</v>
          </cell>
        </row>
        <row r="686">
          <cell r="E686" t="str">
            <v>منطقة معرة النعمان</v>
          </cell>
          <cell r="P686" t="e">
            <v>#NAME?</v>
          </cell>
        </row>
        <row r="687">
          <cell r="E687" t="str">
            <v>المغيرية</v>
          </cell>
          <cell r="P687">
            <v>35.677917000000001</v>
          </cell>
        </row>
        <row r="688">
          <cell r="E688" t="str">
            <v>الحفة</v>
          </cell>
          <cell r="P688">
            <v>35.599487000000003</v>
          </cell>
        </row>
        <row r="689">
          <cell r="E689" t="str">
            <v>بيت ياشوط</v>
          </cell>
          <cell r="P689">
            <v>35.327880999999998</v>
          </cell>
        </row>
        <row r="690">
          <cell r="E690" t="str">
            <v>منطقة سرمدا</v>
          </cell>
          <cell r="P690" t="e">
            <v>#NAME?</v>
          </cell>
        </row>
        <row r="691">
          <cell r="E691" t="str">
            <v>صلنفة</v>
          </cell>
          <cell r="P691">
            <v>35.596679999999999</v>
          </cell>
        </row>
        <row r="692">
          <cell r="E692" t="str">
            <v>عين البيضة</v>
          </cell>
          <cell r="P692">
            <v>35.655990000000003</v>
          </cell>
        </row>
        <row r="693">
          <cell r="E693" t="str">
            <v>جبلة</v>
          </cell>
          <cell r="P693">
            <v>35.364502000000002</v>
          </cell>
        </row>
        <row r="694">
          <cell r="E694" t="str">
            <v>جوبة برغال</v>
          </cell>
          <cell r="P694">
            <v>35.49353</v>
          </cell>
        </row>
        <row r="695">
          <cell r="E695" t="str">
            <v>قرية الزعينية</v>
          </cell>
          <cell r="P695" t="e">
            <v>#NAME?</v>
          </cell>
        </row>
        <row r="696">
          <cell r="E696" t="str">
            <v>شطحة</v>
          </cell>
          <cell r="P696">
            <v>36.238281000000001</v>
          </cell>
        </row>
        <row r="697">
          <cell r="E697" t="str">
            <v>كرم المعصرة</v>
          </cell>
          <cell r="P697">
            <v>35.531920999999997</v>
          </cell>
        </row>
        <row r="698">
          <cell r="E698" t="str">
            <v>جوبة برغال</v>
          </cell>
          <cell r="P698">
            <v>35.49353</v>
          </cell>
        </row>
        <row r="699">
          <cell r="E699" t="str">
            <v>عكو</v>
          </cell>
          <cell r="P699">
            <v>35.710082999999997</v>
          </cell>
        </row>
        <row r="700">
          <cell r="E700" t="str">
            <v>مخيمات حارم</v>
          </cell>
          <cell r="P700" t="e">
            <v>#NAME?</v>
          </cell>
        </row>
        <row r="701">
          <cell r="E701" t="str">
            <v>مدينة حارم</v>
          </cell>
          <cell r="P701" t="e">
            <v>#NAME?</v>
          </cell>
        </row>
        <row r="702">
          <cell r="E702" t="str">
            <v>مدينة جسر الشغور</v>
          </cell>
          <cell r="P702" t="e">
            <v>#NAME?</v>
          </cell>
        </row>
        <row r="703">
          <cell r="E703" t="str">
            <v>مخيم الفردان</v>
          </cell>
          <cell r="P703" t="e">
            <v>#NAME?</v>
          </cell>
        </row>
        <row r="704">
          <cell r="E704" t="str">
            <v>مخيم المغسلة</v>
          </cell>
          <cell r="P704" t="e">
            <v>#NAME?</v>
          </cell>
        </row>
        <row r="705">
          <cell r="E705" t="str">
            <v>قسطل معاف</v>
          </cell>
          <cell r="P705">
            <v>35.825684000000003</v>
          </cell>
        </row>
        <row r="706">
          <cell r="E706" t="str">
            <v>مخيم وادي عباس</v>
          </cell>
          <cell r="P706" t="e">
            <v>#NAME?</v>
          </cell>
        </row>
        <row r="707">
          <cell r="E707" t="str">
            <v>مخيم الفرن</v>
          </cell>
          <cell r="P707" t="e">
            <v>#NAME?</v>
          </cell>
        </row>
        <row r="708">
          <cell r="E708" t="str">
            <v>بيت ياشوط</v>
          </cell>
          <cell r="P708">
            <v>35.32788086</v>
          </cell>
        </row>
        <row r="709">
          <cell r="E709" t="str">
            <v>مخيمات الجزيرة</v>
          </cell>
          <cell r="P709" t="e">
            <v>#NAME?</v>
          </cell>
        </row>
        <row r="710">
          <cell r="E710" t="str">
            <v>مخيم تبارك الرحمن</v>
          </cell>
          <cell r="P710" t="e">
            <v>#NAME?</v>
          </cell>
        </row>
        <row r="711">
          <cell r="E711" t="str">
            <v>بيت ياشوط</v>
          </cell>
          <cell r="P711">
            <v>35.32788086</v>
          </cell>
        </row>
        <row r="712">
          <cell r="E712" t="str">
            <v>مصياف</v>
          </cell>
          <cell r="P712">
            <v>35.066284179999997</v>
          </cell>
        </row>
        <row r="713">
          <cell r="E713" t="str">
            <v>القدموس</v>
          </cell>
          <cell r="P713">
            <v>35.088317869999997</v>
          </cell>
        </row>
        <row r="714">
          <cell r="E714" t="str">
            <v>الشيحة</v>
          </cell>
          <cell r="P714">
            <v>35.065917970000001</v>
          </cell>
        </row>
        <row r="715">
          <cell r="E715" t="str">
            <v>مصياف</v>
          </cell>
          <cell r="P715">
            <v>35.066284179999997</v>
          </cell>
        </row>
        <row r="716">
          <cell r="E716" t="str">
            <v>مخيمات الكرامة</v>
          </cell>
          <cell r="P716" t="e">
            <v>#NAME?</v>
          </cell>
        </row>
        <row r="717">
          <cell r="E717" t="str">
            <v>مخيم عطاء</v>
          </cell>
          <cell r="P717" t="e">
            <v>#NAME?</v>
          </cell>
        </row>
        <row r="718">
          <cell r="E718" t="str">
            <v>مخيم الدرية</v>
          </cell>
          <cell r="P718" t="e">
            <v>#NAME?</v>
          </cell>
        </row>
        <row r="719">
          <cell r="E719" t="str">
            <v>مخيم معرة مصرين</v>
          </cell>
          <cell r="P719" t="e">
            <v>#NAME?</v>
          </cell>
        </row>
        <row r="720">
          <cell r="E720" t="str">
            <v>القدموس</v>
          </cell>
          <cell r="P720">
            <v>35.088317869999997</v>
          </cell>
        </row>
        <row r="721">
          <cell r="E721" t="str">
            <v>عين النسر</v>
          </cell>
          <cell r="P721">
            <v>34.841308589999997</v>
          </cell>
        </row>
        <row r="722">
          <cell r="E722" t="str">
            <v>السلمية</v>
          </cell>
          <cell r="P722">
            <v>35.011291499999999</v>
          </cell>
        </row>
        <row r="723">
          <cell r="E723" t="str">
            <v>دمشق</v>
          </cell>
          <cell r="P723">
            <v>33.517272949999999</v>
          </cell>
        </row>
        <row r="724">
          <cell r="E724" t="str">
            <v>حلب</v>
          </cell>
          <cell r="P724">
            <v>36.20611572</v>
          </cell>
        </row>
        <row r="725">
          <cell r="E725" t="str">
            <v>حسياء</v>
          </cell>
          <cell r="P725">
            <v>34.410705569999998</v>
          </cell>
        </row>
        <row r="726">
          <cell r="E726" t="str">
            <v>مخيم الأنصار</v>
          </cell>
          <cell r="P726" t="e">
            <v>#NAME?</v>
          </cell>
        </row>
        <row r="727">
          <cell r="E727" t="str">
            <v>مخيمات بداما</v>
          </cell>
          <cell r="P727" t="e">
            <v>#NAME?</v>
          </cell>
        </row>
        <row r="728">
          <cell r="E728" t="str">
            <v>السلمية</v>
          </cell>
          <cell r="P728">
            <v>35.011291499999999</v>
          </cell>
        </row>
        <row r="729">
          <cell r="E729" t="str">
            <v>تلدو</v>
          </cell>
          <cell r="P729">
            <v>34.874694820000002</v>
          </cell>
        </row>
        <row r="730">
          <cell r="E730" t="str">
            <v>مخيمات الجسر</v>
          </cell>
          <cell r="P730" t="e">
            <v>#NAME?</v>
          </cell>
        </row>
        <row r="731">
          <cell r="E731" t="str">
            <v>مناطق متعددة</v>
          </cell>
          <cell r="P731" t="e">
            <v>#NAME?</v>
          </cell>
        </row>
        <row r="732">
          <cell r="E732" t="str">
            <v>حلب</v>
          </cell>
          <cell r="P732">
            <v>36.20611572</v>
          </cell>
        </row>
        <row r="733">
          <cell r="E733" t="str">
            <v>القطيفة</v>
          </cell>
          <cell r="P733">
            <v>33.738098149999999</v>
          </cell>
        </row>
        <row r="734">
          <cell r="E734" t="str">
            <v>الزبداني</v>
          </cell>
          <cell r="P734">
            <v>33.725280759999997</v>
          </cell>
        </row>
        <row r="735">
          <cell r="E735" t="str">
            <v>مناطق متعددة</v>
          </cell>
          <cell r="P735" t="e">
            <v>#NAME?</v>
          </cell>
        </row>
        <row r="736">
          <cell r="E736" t="str">
            <v>مخيمات مهددة</v>
          </cell>
          <cell r="P736" t="e">
            <v>#NAME?</v>
          </cell>
        </row>
        <row r="737">
          <cell r="E737" t="str">
            <v>مخيمات حارم</v>
          </cell>
          <cell r="P737" t="e">
            <v>#NAME?</v>
          </cell>
        </row>
        <row r="738">
          <cell r="E738" t="str">
            <v>طرق رئيسية وفرعية</v>
          </cell>
          <cell r="P738" t="e">
            <v>#NAME?</v>
          </cell>
        </row>
        <row r="739">
          <cell r="E739" t="str">
            <v>ممرات مائية</v>
          </cell>
          <cell r="P739" t="e">
            <v>#NAME?</v>
          </cell>
        </row>
        <row r="740">
          <cell r="E740" t="str">
            <v>منازل متضررة</v>
          </cell>
          <cell r="P740" t="e">
            <v>#NAME?</v>
          </cell>
        </row>
        <row r="741">
          <cell r="E741" t="str">
            <v>صافيتا</v>
          </cell>
          <cell r="P741">
            <v>34.820129399999999</v>
          </cell>
        </row>
        <row r="742">
          <cell r="E742" t="str">
            <v>طرطوس</v>
          </cell>
          <cell r="P742">
            <v>34.88671875</v>
          </cell>
        </row>
        <row r="743">
          <cell r="E743" t="str">
            <v>حماة</v>
          </cell>
          <cell r="P743">
            <v>35.13372803</v>
          </cell>
        </row>
        <row r="744">
          <cell r="E744" t="str">
            <v>منازل</v>
          </cell>
          <cell r="P744" t="e">
            <v>#NAME?</v>
          </cell>
        </row>
        <row r="745">
          <cell r="E745" t="str">
            <v>صافيتا</v>
          </cell>
          <cell r="P745">
            <v>34.820129399999999</v>
          </cell>
        </row>
        <row r="746">
          <cell r="E746" t="str">
            <v>بسرطون</v>
          </cell>
          <cell r="P746">
            <v>36.202514999999998</v>
          </cell>
        </row>
        <row r="747">
          <cell r="E747" t="str">
            <v>مركبة</v>
          </cell>
          <cell r="P747" t="e">
            <v>#NAME?</v>
          </cell>
        </row>
        <row r="748">
          <cell r="E748" t="str">
            <v>مواقع حساسة</v>
          </cell>
          <cell r="P748" t="e">
            <v>#NAME?</v>
          </cell>
        </row>
        <row r="749">
          <cell r="E749" t="str">
            <v>طرق متضررة</v>
          </cell>
          <cell r="P749" t="e">
            <v>#NAME?</v>
          </cell>
        </row>
        <row r="750">
          <cell r="E750" t="str">
            <v>مواقع خطرة</v>
          </cell>
          <cell r="P750" t="e">
            <v>#NAME?</v>
          </cell>
        </row>
        <row r="751">
          <cell r="E751" t="str">
            <v>مناطق متعددة</v>
          </cell>
          <cell r="P751" t="e">
            <v>#NAME?</v>
          </cell>
        </row>
        <row r="752">
          <cell r="E752" t="str">
            <v>الزربة</v>
          </cell>
          <cell r="P752">
            <v>36.070129000000001</v>
          </cell>
        </row>
        <row r="753">
          <cell r="E753" t="str">
            <v>عفرين</v>
          </cell>
          <cell r="P753">
            <v>36.508378999999998</v>
          </cell>
        </row>
        <row r="754">
          <cell r="E754" t="str">
            <v>عفرين</v>
          </cell>
          <cell r="P754">
            <v>36.508378999999998</v>
          </cell>
        </row>
        <row r="755">
          <cell r="E755" t="str">
            <v>الزربة</v>
          </cell>
          <cell r="P755">
            <v>36.070129000000001</v>
          </cell>
        </row>
        <row r="756">
          <cell r="E756" t="str">
            <v>عدة مواقع</v>
          </cell>
          <cell r="P756" t="e">
            <v>#NAME?</v>
          </cell>
        </row>
        <row r="757">
          <cell r="E757" t="str">
            <v>عدة مواقع</v>
          </cell>
          <cell r="P757" t="e">
            <v>#NAME?</v>
          </cell>
        </row>
        <row r="758">
          <cell r="E758" t="str">
            <v>طرق حيوية</v>
          </cell>
          <cell r="P758" t="e">
            <v>#NAME?</v>
          </cell>
        </row>
        <row r="759">
          <cell r="E759" t="str">
            <v>جسر الشغور</v>
          </cell>
          <cell r="P759">
            <v>35.814270020000002</v>
          </cell>
        </row>
        <row r="760">
          <cell r="E760" t="str">
            <v>اشتبرق</v>
          </cell>
          <cell r="P760">
            <v>35.791687009999997</v>
          </cell>
        </row>
        <row r="761">
          <cell r="E761" t="str">
            <v>بداما</v>
          </cell>
          <cell r="P761">
            <v>35.812072749999999</v>
          </cell>
        </row>
        <row r="762">
          <cell r="E762" t="str">
            <v>مخيمات حلب لبيه</v>
          </cell>
          <cell r="P762" t="e">
            <v>#NAME?</v>
          </cell>
        </row>
        <row r="763">
          <cell r="E763" t="str">
            <v>مدينة الدانا</v>
          </cell>
          <cell r="P763" t="e">
            <v>#NAME?</v>
          </cell>
        </row>
        <row r="764">
          <cell r="E764" t="str">
            <v>شارع الفاروق</v>
          </cell>
          <cell r="P764" t="e">
            <v>#NAME?</v>
          </cell>
        </row>
        <row r="765">
          <cell r="E765" t="str">
            <v>الناجية</v>
          </cell>
          <cell r="P765" t="e">
            <v>#NAME?</v>
          </cell>
        </row>
        <row r="766">
          <cell r="E766" t="str">
            <v>بداما</v>
          </cell>
          <cell r="P766">
            <v>35.812072749999999</v>
          </cell>
        </row>
        <row r="767">
          <cell r="E767" t="str">
            <v>مدينة إدلب</v>
          </cell>
          <cell r="P767" t="e">
            <v>#NAME?</v>
          </cell>
        </row>
        <row r="768">
          <cell r="E768" t="str">
            <v>دركوش</v>
          </cell>
          <cell r="P768">
            <v>35.992492679999998</v>
          </cell>
        </row>
        <row r="769">
          <cell r="E769" t="str">
            <v>الناجية</v>
          </cell>
          <cell r="P769" t="e">
            <v>#NAME?</v>
          </cell>
        </row>
        <row r="770">
          <cell r="E770" t="str">
            <v>مخيم الساروت</v>
          </cell>
          <cell r="P770" t="e">
            <v>#NAME?</v>
          </cell>
        </row>
        <row r="771">
          <cell r="E771" t="str">
            <v>أريحا</v>
          </cell>
          <cell r="P771" t="e">
            <v>#NAME?</v>
          </cell>
        </row>
        <row r="772">
          <cell r="E772" t="str">
            <v>كفر نجد</v>
          </cell>
          <cell r="P772">
            <v>35.823486330000001</v>
          </cell>
        </row>
        <row r="773">
          <cell r="E773" t="str">
            <v>مخيمات مورك</v>
          </cell>
          <cell r="P773" t="e">
            <v>#NAME?</v>
          </cell>
        </row>
        <row r="774">
          <cell r="E774" t="str">
            <v>مخيم البشير</v>
          </cell>
          <cell r="P774" t="e">
            <v>#NAME?</v>
          </cell>
        </row>
        <row r="775">
          <cell r="E775" t="str">
            <v>إدلب</v>
          </cell>
          <cell r="P775">
            <v>35.929077149999998</v>
          </cell>
        </row>
        <row r="776">
          <cell r="E776" t="str">
            <v>مخيم حلب لبيه</v>
          </cell>
          <cell r="P776" t="e">
            <v>#NAME?</v>
          </cell>
        </row>
        <row r="777">
          <cell r="E777" t="str">
            <v>اللاذقية</v>
          </cell>
          <cell r="P777">
            <v>35.539123539999999</v>
          </cell>
        </row>
        <row r="778">
          <cell r="E778" t="str">
            <v>مخيم الدانا</v>
          </cell>
          <cell r="P778" t="e">
            <v>#NAME?</v>
          </cell>
        </row>
        <row r="779">
          <cell r="E779" t="str">
            <v>أطمة</v>
          </cell>
          <cell r="P779">
            <v>36.309875490000003</v>
          </cell>
        </row>
        <row r="780">
          <cell r="E780" t="str">
            <v>التوامة</v>
          </cell>
          <cell r="P780">
            <v>36.194274900000003</v>
          </cell>
        </row>
        <row r="781">
          <cell r="E781" t="str">
            <v>حارم</v>
          </cell>
          <cell r="P781">
            <v>36.212707520000002</v>
          </cell>
        </row>
        <row r="782">
          <cell r="E782" t="str">
            <v>بداما</v>
          </cell>
          <cell r="P782">
            <v>35.812072749999999</v>
          </cell>
        </row>
        <row r="783">
          <cell r="E783" t="str">
            <v>جسر الشغور</v>
          </cell>
          <cell r="P783">
            <v>35.814270020000002</v>
          </cell>
        </row>
        <row r="784">
          <cell r="E784" t="str">
            <v>الدانا</v>
          </cell>
          <cell r="P784" t="e">
            <v>#NAME?</v>
          </cell>
        </row>
        <row r="785">
          <cell r="E785" t="str">
            <v>طرق ومخيمات</v>
          </cell>
          <cell r="P785" t="e">
            <v>#NAME?</v>
          </cell>
        </row>
        <row r="786">
          <cell r="E786" t="str">
            <v>طريق عام</v>
          </cell>
          <cell r="P786" t="e">
            <v>#NAME?</v>
          </cell>
        </row>
        <row r="787">
          <cell r="E787" t="str">
            <v>طريق عام</v>
          </cell>
          <cell r="P787" t="e">
            <v>#NAME?</v>
          </cell>
        </row>
        <row r="788">
          <cell r="E788" t="str">
            <v>بداما</v>
          </cell>
          <cell r="P788">
            <v>35.812072749999999</v>
          </cell>
        </row>
        <row r="789">
          <cell r="E789" t="str">
            <v>مواقع متعددة</v>
          </cell>
          <cell r="P789" t="e">
            <v>#NAME?</v>
          </cell>
        </row>
        <row r="790">
          <cell r="E790" t="str">
            <v>منطقة السيحة</v>
          </cell>
          <cell r="P790" t="e">
            <v>#NAME?</v>
          </cell>
        </row>
        <row r="791">
          <cell r="E791" t="str">
            <v>منطقة السيحة</v>
          </cell>
          <cell r="P791" t="e">
            <v>#NAME?</v>
          </cell>
        </row>
        <row r="792">
          <cell r="E792" t="str">
            <v>قرية الوسيطة</v>
          </cell>
          <cell r="P792" t="e">
            <v>#NAME?</v>
          </cell>
        </row>
        <row r="793">
          <cell r="E793" t="str">
            <v>مواقع إنشائية</v>
          </cell>
          <cell r="P793" t="e">
            <v>#NAME?</v>
          </cell>
        </row>
        <row r="794">
          <cell r="E794" t="str">
            <v>طرق عامة</v>
          </cell>
          <cell r="P794" t="e">
            <v>#NAME?</v>
          </cell>
        </row>
        <row r="795">
          <cell r="E795" t="str">
            <v>طرق/أوحال</v>
          </cell>
          <cell r="P795" t="e">
            <v>#NAME?</v>
          </cell>
        </row>
        <row r="796">
          <cell r="E796" t="str">
            <v>حفرة مائية</v>
          </cell>
          <cell r="P796" t="e">
            <v>#NAME?</v>
          </cell>
        </row>
        <row r="797">
          <cell r="E797" t="str">
            <v>عين السودة</v>
          </cell>
          <cell r="P797" t="e">
            <v>#NAME?</v>
          </cell>
        </row>
        <row r="798">
          <cell r="E798" t="str">
            <v>الدانا</v>
          </cell>
          <cell r="P798" t="e">
            <v>#NAME?</v>
          </cell>
        </row>
        <row r="799">
          <cell r="E799" t="str">
            <v>حربنوش</v>
          </cell>
          <cell r="P799" t="e">
            <v>#NAME?</v>
          </cell>
        </row>
        <row r="800">
          <cell r="E800" t="str">
            <v>مواقع متعددة</v>
          </cell>
          <cell r="P800" t="e">
            <v>#NAME?</v>
          </cell>
        </row>
        <row r="801">
          <cell r="E801" t="str">
            <v>كفر عويد</v>
          </cell>
          <cell r="P801">
            <v>35.628295899999998</v>
          </cell>
        </row>
        <row r="802">
          <cell r="E802" t="str">
            <v>بسنقول</v>
          </cell>
          <cell r="P802">
            <v>35.806701660000002</v>
          </cell>
        </row>
        <row r="803">
          <cell r="E803" t="str">
            <v>إدلب</v>
          </cell>
          <cell r="P803">
            <v>35.929077149999998</v>
          </cell>
        </row>
        <row r="804">
          <cell r="E804" t="str">
            <v>إدلب</v>
          </cell>
          <cell r="P804">
            <v>35.929077149999998</v>
          </cell>
        </row>
        <row r="805">
          <cell r="E805" t="str">
            <v>كفر تخاريم</v>
          </cell>
          <cell r="P805">
            <v>36.116516109999999</v>
          </cell>
        </row>
        <row r="806">
          <cell r="E806" t="str">
            <v>أطمة</v>
          </cell>
          <cell r="P806">
            <v>36.309875490000003</v>
          </cell>
        </row>
        <row r="807">
          <cell r="E807" t="str">
            <v>مخيمات</v>
          </cell>
          <cell r="P807" t="e">
            <v>#NAME?</v>
          </cell>
        </row>
        <row r="808">
          <cell r="E808" t="str">
            <v>إدلب وريفها</v>
          </cell>
          <cell r="P808" t="e">
            <v>#NAME?</v>
          </cell>
        </row>
        <row r="809">
          <cell r="E809" t="str">
            <v>بنش</v>
          </cell>
          <cell r="P809">
            <v>35.956726070000002</v>
          </cell>
        </row>
        <row r="810">
          <cell r="E810" t="str">
            <v>الوسيطة الشرقية</v>
          </cell>
          <cell r="P810" t="e">
            <v>#NAME?</v>
          </cell>
        </row>
        <row r="811">
          <cell r="E811" t="str">
            <v>خان شيخون</v>
          </cell>
          <cell r="P811">
            <v>35.46691895</v>
          </cell>
        </row>
        <row r="812">
          <cell r="E812" t="str">
            <v>الوسيطة الغربية</v>
          </cell>
          <cell r="P812" t="e">
            <v>#NAME?</v>
          </cell>
        </row>
        <row r="813">
          <cell r="E813" t="str">
            <v>إدلب</v>
          </cell>
          <cell r="P813">
            <v>35.929077149999998</v>
          </cell>
        </row>
        <row r="814">
          <cell r="E814" t="str">
            <v>كفر تخاريم</v>
          </cell>
          <cell r="P814">
            <v>36.116516109999999</v>
          </cell>
        </row>
        <row r="815">
          <cell r="E815" t="str">
            <v>ثليجية</v>
          </cell>
          <cell r="P815" t="e">
            <v>#NAME?</v>
          </cell>
        </row>
        <row r="816">
          <cell r="E816" t="str">
            <v>جسر الشغور</v>
          </cell>
          <cell r="P816">
            <v>35.814270020000002</v>
          </cell>
        </row>
        <row r="817">
          <cell r="E817" t="str">
            <v>جرابلس الحدودي</v>
          </cell>
          <cell r="P817">
            <v>36.823940508478202</v>
          </cell>
        </row>
        <row r="818">
          <cell r="E818" t="str">
            <v>الدانا</v>
          </cell>
          <cell r="P818" t="e">
            <v>#NAME?</v>
          </cell>
        </row>
        <row r="819">
          <cell r="E819" t="str">
            <v>القاضي جرابلس</v>
          </cell>
          <cell r="P819">
            <v>36.721898000000003</v>
          </cell>
        </row>
        <row r="820">
          <cell r="E820" t="str">
            <v>ترميشو</v>
          </cell>
        </row>
        <row r="821">
          <cell r="E821" t="str">
            <v>جقل فوقاني</v>
          </cell>
        </row>
        <row r="822">
          <cell r="E822" t="str">
            <v>باشورة</v>
          </cell>
          <cell r="P822">
            <v>35.751708999999998</v>
          </cell>
        </row>
        <row r="823">
          <cell r="E823" t="str">
            <v>يازباغ</v>
          </cell>
          <cell r="P823">
            <v>36.654349457540299</v>
          </cell>
        </row>
        <row r="824">
          <cell r="E824" t="str">
            <v>عين عيسى</v>
          </cell>
          <cell r="P824">
            <v>36.38372803</v>
          </cell>
        </row>
        <row r="825">
          <cell r="E825" t="str">
            <v>سجو</v>
          </cell>
          <cell r="P825">
            <v>36.619952917972398</v>
          </cell>
        </row>
        <row r="826">
          <cell r="E826" t="str">
            <v>الشيخ حسن</v>
          </cell>
          <cell r="P826">
            <v>36.322509770000003</v>
          </cell>
        </row>
        <row r="827">
          <cell r="E827" t="str">
            <v>يازباغ</v>
          </cell>
          <cell r="P827">
            <v>36.654349457540299</v>
          </cell>
        </row>
        <row r="828">
          <cell r="E828" t="str">
            <v>المخيمات</v>
          </cell>
        </row>
        <row r="829">
          <cell r="E829" t="str">
            <v>جبل الشيخ بركات</v>
          </cell>
          <cell r="P829">
            <v>36.275538823018699</v>
          </cell>
        </row>
        <row r="830">
          <cell r="E830" t="str">
            <v>ميدانكي</v>
          </cell>
          <cell r="P830">
            <v>36.652497244057699</v>
          </cell>
        </row>
        <row r="831">
          <cell r="E831" t="str">
            <v>ميدانكي</v>
          </cell>
          <cell r="P831">
            <v>36.652497244057699</v>
          </cell>
        </row>
        <row r="832">
          <cell r="E832" t="str">
            <v>مخيم طيبة</v>
          </cell>
          <cell r="P832">
            <v>36.411429064127198</v>
          </cell>
        </row>
        <row r="833">
          <cell r="E833" t="str">
            <v>عين البيضا</v>
          </cell>
          <cell r="P833">
            <v>35.662719729999999</v>
          </cell>
        </row>
        <row r="834">
          <cell r="E834" t="str">
            <v>قورت قلاق الكبير</v>
          </cell>
        </row>
        <row r="835">
          <cell r="E835" t="str">
            <v>غازي عينتاب (من منغ باتجاه إعزاز)</v>
          </cell>
        </row>
        <row r="836">
          <cell r="E836" t="str">
            <v>قسطل</v>
          </cell>
          <cell r="P836">
            <v>36.548895000000002</v>
          </cell>
        </row>
        <row r="837">
          <cell r="E837" t="str">
            <v>مخيمات التعاون</v>
          </cell>
        </row>
        <row r="838">
          <cell r="E838" t="str">
            <v>النبي هورو</v>
          </cell>
          <cell r="P838">
            <v>36.744053130159699</v>
          </cell>
        </row>
        <row r="839">
          <cell r="E839" t="str">
            <v>زعرية</v>
          </cell>
          <cell r="P839">
            <v>36.785469186983697</v>
          </cell>
        </row>
        <row r="840">
          <cell r="E840" t="str">
            <v xml:space="preserve"> بيكوباسي</v>
          </cell>
        </row>
        <row r="841">
          <cell r="E841" t="str">
            <v>كوركان</v>
          </cell>
        </row>
        <row r="842">
          <cell r="E842" t="str">
            <v>شيركان_شيركانلي</v>
          </cell>
          <cell r="P842">
            <v>36.531508000000002</v>
          </cell>
        </row>
        <row r="843">
          <cell r="E843" t="str">
            <v>مخيم العرموطة</v>
          </cell>
          <cell r="P843">
            <v>36.6652857276164</v>
          </cell>
        </row>
        <row r="844">
          <cell r="E844" t="str">
            <v>شارع السرب</v>
          </cell>
        </row>
        <row r="845">
          <cell r="E845" t="str">
            <v>قرية أباد</v>
          </cell>
          <cell r="P845">
            <v>35.92277</v>
          </cell>
        </row>
        <row r="846">
          <cell r="E846" t="str">
            <v>جسر الشيخ سعيد</v>
          </cell>
          <cell r="P846">
            <v>34.908502072854603</v>
          </cell>
        </row>
        <row r="847">
          <cell r="E847" t="str">
            <v>سجو</v>
          </cell>
          <cell r="P847">
            <v>36.619952917972398</v>
          </cell>
        </row>
        <row r="848">
          <cell r="E848" t="str">
            <v>ملهم البعاج</v>
          </cell>
        </row>
        <row r="849">
          <cell r="E849" t="str">
            <v>أجنادين</v>
          </cell>
          <cell r="P849">
            <v>36.396733866790903</v>
          </cell>
        </row>
        <row r="850">
          <cell r="E850" t="str">
            <v>باب عمر</v>
          </cell>
        </row>
        <row r="851">
          <cell r="E851" t="str">
            <v>قورت قلاق</v>
          </cell>
        </row>
        <row r="852">
          <cell r="E852" t="str">
            <v>الكمونة</v>
          </cell>
          <cell r="P852">
            <v>36.127718638186401</v>
          </cell>
        </row>
        <row r="853">
          <cell r="E853" t="str">
            <v>طريق الشيخ سعيد</v>
          </cell>
          <cell r="P853">
            <v>34.908502072854603</v>
          </cell>
        </row>
        <row r="854">
          <cell r="E854" t="str">
            <v>مخيم البركة</v>
          </cell>
        </row>
        <row r="855">
          <cell r="E855" t="str">
            <v>مخيمات الباب</v>
          </cell>
        </row>
        <row r="856">
          <cell r="E856" t="str">
            <v>مخيم المرج</v>
          </cell>
        </row>
        <row r="857">
          <cell r="E857" t="str">
            <v>بداما</v>
          </cell>
          <cell r="P857">
            <v>35.812072749999999</v>
          </cell>
        </row>
        <row r="858">
          <cell r="E858" t="str">
            <v>الأنصاري</v>
          </cell>
          <cell r="P858">
            <v>36.196488859146001</v>
          </cell>
        </row>
        <row r="859">
          <cell r="E859" t="str">
            <v>الزبدية</v>
          </cell>
          <cell r="P859">
            <v>36.1879955206754</v>
          </cell>
        </row>
        <row r="860">
          <cell r="E860" t="str">
            <v>الزبدية</v>
          </cell>
          <cell r="P860">
            <v>36.1879955206754</v>
          </cell>
        </row>
        <row r="861">
          <cell r="E861" t="str">
            <v>عزاز</v>
          </cell>
          <cell r="P861">
            <v>36.579387696992498</v>
          </cell>
        </row>
        <row r="862">
          <cell r="E862" t="str">
            <v>مخيمات الكمونة</v>
          </cell>
        </row>
        <row r="863">
          <cell r="E863" t="str">
            <v>مخيم الكوش</v>
          </cell>
        </row>
        <row r="864">
          <cell r="E864" t="str">
            <v>سلمى</v>
          </cell>
          <cell r="P864">
            <v>35.688110350000002</v>
          </cell>
        </row>
        <row r="865">
          <cell r="E865" t="str">
            <v>محمبل</v>
          </cell>
          <cell r="P865">
            <v>35.784118650000003</v>
          </cell>
        </row>
        <row r="866">
          <cell r="E866" t="str">
            <v>مخيم المرج</v>
          </cell>
        </row>
        <row r="867">
          <cell r="E867" t="str">
            <v>الأنصاري</v>
          </cell>
          <cell r="P867">
            <v>36.196488859146001</v>
          </cell>
        </row>
        <row r="868">
          <cell r="E868" t="str">
            <v>الناجية</v>
          </cell>
          <cell r="P868" t="e">
            <v>#NAME?</v>
          </cell>
        </row>
        <row r="869">
          <cell r="E869" t="str">
            <v>سراقب</v>
          </cell>
          <cell r="P869">
            <v>35.931884770000003</v>
          </cell>
        </row>
        <row r="870">
          <cell r="E870" t="str">
            <v>مخيم البركة</v>
          </cell>
        </row>
        <row r="871">
          <cell r="E871" t="str">
            <v>حج حسنلي</v>
          </cell>
        </row>
        <row r="872">
          <cell r="E872" t="str">
            <v>جبل الشيخ بركات</v>
          </cell>
        </row>
        <row r="873">
          <cell r="E873" t="str">
            <v>قرقوزاق</v>
          </cell>
        </row>
        <row r="874">
          <cell r="E874" t="str">
            <v>الخفسة</v>
          </cell>
          <cell r="P874">
            <v>36.231345936625999</v>
          </cell>
        </row>
        <row r="875">
          <cell r="E875" t="str">
            <v>حزانو</v>
          </cell>
          <cell r="P875">
            <v>36.089904789999999</v>
          </cell>
        </row>
        <row r="876">
          <cell r="E876" t="str">
            <v>خربة الجوز</v>
          </cell>
          <cell r="P876">
            <v>35.903076169999999</v>
          </cell>
        </row>
        <row r="877">
          <cell r="E877" t="str">
            <v>سجو</v>
          </cell>
          <cell r="P877">
            <v>36.619952917972398</v>
          </cell>
        </row>
        <row r="878">
          <cell r="E878" t="str">
            <v>خربة الجوز</v>
          </cell>
          <cell r="P878">
            <v>35.903076169999999</v>
          </cell>
        </row>
        <row r="879">
          <cell r="E879" t="str">
            <v>كفر ناصح</v>
          </cell>
          <cell r="P879">
            <v>36.428041642758799</v>
          </cell>
        </row>
        <row r="880">
          <cell r="E880" t="str">
            <v>خربة الجوز</v>
          </cell>
          <cell r="P880">
            <v>35.903076169999999</v>
          </cell>
        </row>
        <row r="881">
          <cell r="E881" t="str">
            <v>مخيم طيبة</v>
          </cell>
          <cell r="P881">
            <v>36.411429064127198</v>
          </cell>
        </row>
        <row r="882">
          <cell r="E882" t="str">
            <v>خربة الجوز</v>
          </cell>
          <cell r="P882">
            <v>35.903076169999999</v>
          </cell>
        </row>
        <row r="883">
          <cell r="E883" t="str">
            <v>سجو</v>
          </cell>
          <cell r="P883">
            <v>36.619952917972398</v>
          </cell>
        </row>
        <row r="884">
          <cell r="E884" t="str">
            <v>خربة الجوز</v>
          </cell>
          <cell r="P884">
            <v>35.903076169999999</v>
          </cell>
        </row>
        <row r="885">
          <cell r="E885" t="str">
            <v>قرقوزاق</v>
          </cell>
        </row>
        <row r="886">
          <cell r="E886" t="str">
            <v>خربة الجوز</v>
          </cell>
          <cell r="P886">
            <v>35.903076169999999</v>
          </cell>
        </row>
        <row r="887">
          <cell r="E887" t="str">
            <v>أرندة</v>
          </cell>
        </row>
        <row r="888">
          <cell r="E888" t="str">
            <v>خربة الجوز</v>
          </cell>
          <cell r="P888">
            <v>35.903076169999999</v>
          </cell>
        </row>
        <row r="889">
          <cell r="E889" t="str">
            <v>بداما</v>
          </cell>
          <cell r="P889">
            <v>35.812072749999999</v>
          </cell>
        </row>
        <row r="890">
          <cell r="E890" t="str">
            <v>خربة الجوز</v>
          </cell>
          <cell r="P890">
            <v>35.903076169999999</v>
          </cell>
        </row>
        <row r="891">
          <cell r="E891" t="str">
            <v>جميع طرق جرابلس</v>
          </cell>
        </row>
        <row r="892">
          <cell r="E892" t="str">
            <v>خربة الجوز</v>
          </cell>
          <cell r="P892">
            <v>35.903076169999999</v>
          </cell>
        </row>
        <row r="893">
          <cell r="E893" t="str">
            <v>جميع طرق منبج</v>
          </cell>
        </row>
        <row r="894">
          <cell r="E894" t="str">
            <v>خربة الجوز</v>
          </cell>
          <cell r="P894">
            <v>35.903076169999999</v>
          </cell>
        </row>
        <row r="895">
          <cell r="E895" t="str">
            <v>حج حسنلي</v>
          </cell>
        </row>
        <row r="896">
          <cell r="E896" t="str">
            <v>خربة الجوز</v>
          </cell>
          <cell r="P896">
            <v>35.903076169999999</v>
          </cell>
        </row>
        <row r="897">
          <cell r="E897" t="str">
            <v>مخيم طيبة</v>
          </cell>
          <cell r="P897">
            <v>36.411429064127198</v>
          </cell>
        </row>
        <row r="898">
          <cell r="E898" t="str">
            <v>خربة الجوز</v>
          </cell>
          <cell r="P898">
            <v>35.903076169999999</v>
          </cell>
        </row>
        <row r="899">
          <cell r="E899" t="str">
            <v>إعزاز من كفر جنة</v>
          </cell>
        </row>
        <row r="900">
          <cell r="E900" t="str">
            <v>خربة الجوز</v>
          </cell>
          <cell r="P900">
            <v>35.903076169999999</v>
          </cell>
        </row>
        <row r="901">
          <cell r="E901" t="str">
            <v>تل بنانات</v>
          </cell>
        </row>
        <row r="902">
          <cell r="E902" t="str">
            <v>خربة الجوز</v>
          </cell>
          <cell r="P902">
            <v>35.903076169999999</v>
          </cell>
        </row>
        <row r="903">
          <cell r="E903" t="str">
            <v>مخيم كويت الرحمة وأرض الأمل</v>
          </cell>
        </row>
        <row r="904">
          <cell r="E904" t="str">
            <v>كوتنلي</v>
          </cell>
        </row>
        <row r="905">
          <cell r="E905" t="str">
            <v>بوليو بيك أوباسي</v>
          </cell>
        </row>
        <row r="906">
          <cell r="E906" t="str">
            <v>بغجة</v>
          </cell>
        </row>
        <row r="907">
          <cell r="E907" t="str">
            <v>هيامو</v>
          </cell>
        </row>
        <row r="908">
          <cell r="E908" t="str">
            <v>قسطل خضر</v>
          </cell>
          <cell r="P908">
            <v>36.753529999999998</v>
          </cell>
        </row>
        <row r="909">
          <cell r="E909" t="str">
            <v>الشيخ حسن</v>
          </cell>
          <cell r="P909">
            <v>36.322510000000001</v>
          </cell>
        </row>
        <row r="910">
          <cell r="E910" t="str">
            <v>عين عيسى</v>
          </cell>
          <cell r="P910">
            <v>36.383727999999998</v>
          </cell>
        </row>
        <row r="911">
          <cell r="E911" t="str">
            <v>شاديات</v>
          </cell>
        </row>
        <row r="912">
          <cell r="E912" t="str">
            <v>سوركة</v>
          </cell>
        </row>
        <row r="913">
          <cell r="E913" t="str">
            <v>كونان فوقاني وتحتاني</v>
          </cell>
        </row>
        <row r="914">
          <cell r="E914" t="str">
            <v>كنسبا</v>
          </cell>
          <cell r="P914">
            <v>35.743895999999999</v>
          </cell>
        </row>
        <row r="915">
          <cell r="E915" t="str">
            <v>مرج الزاوية</v>
          </cell>
          <cell r="P915">
            <v>35.754883</v>
          </cell>
        </row>
        <row r="916">
          <cell r="E916" t="str">
            <v>أرندة</v>
          </cell>
        </row>
        <row r="917">
          <cell r="E917" t="str">
            <v>درمش</v>
          </cell>
          <cell r="P917">
            <v>36.527639999999998</v>
          </cell>
        </row>
        <row r="918">
          <cell r="E918" t="str">
            <v>بداما</v>
          </cell>
          <cell r="P918">
            <v>35.812072749999999</v>
          </cell>
        </row>
        <row r="919">
          <cell r="E919" t="str">
            <v>جقلي فوقاني</v>
          </cell>
        </row>
        <row r="920">
          <cell r="E920" t="str">
            <v>حزانو</v>
          </cell>
          <cell r="P920">
            <v>36.089904789999999</v>
          </cell>
        </row>
        <row r="921">
          <cell r="E921" t="str">
            <v>سرمدا</v>
          </cell>
          <cell r="P921">
            <v>36.186706540000003</v>
          </cell>
        </row>
        <row r="922">
          <cell r="E922" t="str">
            <v>قرية علم دار</v>
          </cell>
          <cell r="P922">
            <v>36.714554999999997</v>
          </cell>
        </row>
        <row r="923">
          <cell r="E923" t="str">
            <v>حي السريان</v>
          </cell>
          <cell r="P923">
            <v>36.217919999999999</v>
          </cell>
        </row>
        <row r="924">
          <cell r="E924" t="str">
            <v>مواقع متعددة</v>
          </cell>
        </row>
        <row r="925">
          <cell r="E925" t="str">
            <v>طريق السفيرة</v>
          </cell>
        </row>
        <row r="926">
          <cell r="E926" t="str">
            <v>المحور</v>
          </cell>
        </row>
        <row r="927">
          <cell r="E927" t="str">
            <v>مخيم جرابلس</v>
          </cell>
        </row>
        <row r="928">
          <cell r="E928" t="str">
            <v>حي الحمدانية</v>
          </cell>
          <cell r="P928">
            <v>36.184554184746503</v>
          </cell>
        </row>
        <row r="929">
          <cell r="E929" t="str">
            <v>بستان القصر</v>
          </cell>
          <cell r="P929">
            <v>36.191165888534798</v>
          </cell>
        </row>
        <row r="930">
          <cell r="E930" t="str">
            <v>حي الأشرفية</v>
          </cell>
          <cell r="P930">
            <v>36.229981000000002</v>
          </cell>
        </row>
        <row r="931">
          <cell r="E931" t="str">
            <v>قرية العيس</v>
          </cell>
          <cell r="P931">
            <v>35.994660000000003</v>
          </cell>
        </row>
        <row r="932">
          <cell r="E932" t="str">
            <v>رام حمدان</v>
          </cell>
          <cell r="P932">
            <v>36.026672359999999</v>
          </cell>
        </row>
        <row r="933">
          <cell r="E933" t="str">
            <v>حي الصاخور</v>
          </cell>
          <cell r="P933">
            <v>36.216839999999998</v>
          </cell>
        </row>
        <row r="934">
          <cell r="E934" t="str">
            <v>طريق الباب</v>
          </cell>
        </row>
        <row r="935">
          <cell r="E935" t="str">
            <v>بناء متهدم</v>
          </cell>
        </row>
        <row r="936">
          <cell r="E936" t="str">
            <v>طرق رئيسية</v>
          </cell>
        </row>
        <row r="937">
          <cell r="E937" t="str">
            <v>طرق فرعية</v>
          </cell>
        </row>
        <row r="938">
          <cell r="E938" t="str">
            <v>قرية الجينة</v>
          </cell>
          <cell r="P938">
            <v>36.117440000000002</v>
          </cell>
        </row>
        <row r="939">
          <cell r="E939" t="str">
            <v>مجرى نهر دابق</v>
          </cell>
          <cell r="P939">
            <v>36.530384182810202</v>
          </cell>
        </row>
        <row r="940">
          <cell r="E940" t="str">
            <v>منزل مغمور</v>
          </cell>
        </row>
        <row r="941">
          <cell r="E941" t="str">
            <v>موقع انهيار جدار</v>
          </cell>
        </row>
        <row r="942">
          <cell r="E942" t="str">
            <v>قرية مسكة بريف عفرين</v>
          </cell>
        </row>
        <row r="943">
          <cell r="E943" t="str">
            <v>منزل متهدم</v>
          </cell>
        </row>
        <row r="944">
          <cell r="E944" t="str">
            <v>سيارة داخل المدينة</v>
          </cell>
        </row>
        <row r="945">
          <cell r="E945" t="str">
            <v>مجرى نهر دابق</v>
          </cell>
          <cell r="P945">
            <v>36.530384182810202</v>
          </cell>
        </row>
        <row r="946">
          <cell r="E946" t="str">
            <v>مناطق متعددة</v>
          </cell>
        </row>
        <row r="947">
          <cell r="E947" t="str">
            <v>أبين</v>
          </cell>
          <cell r="P947">
            <v>36.466078233932599</v>
          </cell>
        </row>
        <row r="948">
          <cell r="E948" t="str">
            <v>طريق الجزيرة</v>
          </cell>
          <cell r="P948">
            <v>36.530070000000002</v>
          </cell>
        </row>
        <row r="949">
          <cell r="E949" t="str">
            <v>مسجد الشاطبي</v>
          </cell>
        </row>
        <row r="950">
          <cell r="E950" t="str">
            <v>الحمراء</v>
          </cell>
          <cell r="P950">
            <v>35.459472660000003</v>
          </cell>
        </row>
        <row r="951">
          <cell r="E951" t="str">
            <v>السقيلبية</v>
          </cell>
          <cell r="P951">
            <v>35.361877440000001</v>
          </cell>
        </row>
        <row r="952">
          <cell r="E952" t="str">
            <v>طرق رئيسية</v>
          </cell>
        </row>
        <row r="953">
          <cell r="E953" t="str">
            <v>معبر الحمام</v>
          </cell>
          <cell r="P953">
            <v>36.3742908589713</v>
          </cell>
        </row>
        <row r="954">
          <cell r="E954" t="str">
            <v>الزربة</v>
          </cell>
          <cell r="P954">
            <v>36.070129000000001</v>
          </cell>
        </row>
        <row r="955">
          <cell r="E955" t="str">
            <v>الأتارب</v>
          </cell>
          <cell r="P955">
            <v>36.137878000000001</v>
          </cell>
        </row>
        <row r="956">
          <cell r="E956" t="str">
            <v>راعل</v>
          </cell>
          <cell r="P956">
            <v>36.589111000000003</v>
          </cell>
        </row>
        <row r="957">
          <cell r="E957" t="str">
            <v>عفرين</v>
          </cell>
          <cell r="P957">
            <v>36.508378999999998</v>
          </cell>
        </row>
        <row r="958">
          <cell r="E958" t="str">
            <v>اعزاز</v>
          </cell>
          <cell r="P958">
            <v>36.584899999999998</v>
          </cell>
        </row>
        <row r="959">
          <cell r="E959" t="str">
            <v>جنديرس</v>
          </cell>
          <cell r="P959">
            <v>36.392516999999998</v>
          </cell>
        </row>
        <row r="960">
          <cell r="E960" t="str">
            <v>عفرين</v>
          </cell>
          <cell r="P960">
            <v>36.508378999999998</v>
          </cell>
        </row>
        <row r="961">
          <cell r="E961" t="str">
            <v>جسر الشهباء</v>
          </cell>
        </row>
        <row r="962">
          <cell r="E962" t="str">
            <v>المخيم</v>
          </cell>
        </row>
        <row r="963">
          <cell r="E963" t="str">
            <v>المخيم</v>
          </cell>
        </row>
        <row r="964">
          <cell r="E964" t="str">
            <v>المخيم</v>
          </cell>
        </row>
        <row r="965">
          <cell r="E965" t="str">
            <v>المدينة الصناعية</v>
          </cell>
          <cell r="P965">
            <v>36.272777092755497</v>
          </cell>
        </row>
        <row r="966">
          <cell r="E966" t="str">
            <v>عفرين</v>
          </cell>
          <cell r="P966">
            <v>36.508378999999998</v>
          </cell>
        </row>
        <row r="967">
          <cell r="E967" t="str">
            <v>المدينة الصناعية</v>
          </cell>
          <cell r="P967">
            <v>36.272777092755497</v>
          </cell>
        </row>
        <row r="968">
          <cell r="E968" t="str">
            <v>المدينة الصناعية</v>
          </cell>
          <cell r="P968">
            <v>36.272777092755497</v>
          </cell>
        </row>
        <row r="969">
          <cell r="E969" t="str">
            <v>البريج/الشيخ نجار</v>
          </cell>
        </row>
        <row r="970">
          <cell r="E970" t="str">
            <v>مدينة دارة عزة</v>
          </cell>
          <cell r="P970">
            <v>36.285094999999998</v>
          </cell>
        </row>
        <row r="971">
          <cell r="E971" t="str">
            <v>حي المحافظة</v>
          </cell>
          <cell r="P971">
            <v>36.210692999999999</v>
          </cell>
        </row>
        <row r="972">
          <cell r="E972" t="str">
            <v>مدرسة علي بن أبي طالب</v>
          </cell>
        </row>
        <row r="973">
          <cell r="E973" t="str">
            <v>مفرق الهراميس</v>
          </cell>
        </row>
        <row r="974">
          <cell r="E974" t="str">
            <v>مواقع متعددة</v>
          </cell>
        </row>
        <row r="975">
          <cell r="E975" t="str">
            <v>مواقع متعددة</v>
          </cell>
        </row>
        <row r="976">
          <cell r="E976" t="str">
            <v>مخيمات</v>
          </cell>
        </row>
        <row r="977">
          <cell r="E977" t="str">
            <v>منازل ومنشآت</v>
          </cell>
        </row>
        <row r="978">
          <cell r="E978" t="str">
            <v>طرق عامة</v>
          </cell>
        </row>
        <row r="979">
          <cell r="E979" t="str">
            <v>طرق عامة</v>
          </cell>
        </row>
        <row r="980">
          <cell r="E980" t="str">
            <v>طرق عامة</v>
          </cell>
        </row>
        <row r="981">
          <cell r="E981" t="str">
            <v>مواقع صرف صحي</v>
          </cell>
        </row>
        <row r="982">
          <cell r="E982" t="str">
            <v>مبنى سكني</v>
          </cell>
        </row>
        <row r="983">
          <cell r="E983" t="str">
            <v>حلب وريفها</v>
          </cell>
        </row>
        <row r="984">
          <cell r="E984" t="str">
            <v>قرية غرور</v>
          </cell>
          <cell r="P984">
            <v>36.555219999999998</v>
          </cell>
        </row>
        <row r="985">
          <cell r="E985" t="str">
            <v>الغاب</v>
          </cell>
          <cell r="P985" t="e">
            <v>#NAME?</v>
          </cell>
        </row>
        <row r="986">
          <cell r="E986" t="str">
            <v>الطريق الرئيسي لطيبة الإمام</v>
          </cell>
          <cell r="P986" t="e">
            <v>#NAME?</v>
          </cell>
        </row>
        <row r="987">
          <cell r="E987" t="str">
            <v>العامقية</v>
          </cell>
          <cell r="P987" t="e">
            <v>#NAME?</v>
          </cell>
        </row>
        <row r="988">
          <cell r="E988" t="str">
            <v>كفرنبودة</v>
          </cell>
          <cell r="P988" t="e">
            <v>#NAME?</v>
          </cell>
        </row>
        <row r="989">
          <cell r="E989" t="str">
            <v>كفرنبودة</v>
          </cell>
          <cell r="P989" t="e">
            <v>#NAME?</v>
          </cell>
        </row>
        <row r="990">
          <cell r="E990" t="str">
            <v>الدقماق</v>
          </cell>
          <cell r="P990" t="e">
            <v>#NAME?</v>
          </cell>
        </row>
        <row r="991">
          <cell r="E991" t="str">
            <v>المحروسة</v>
          </cell>
          <cell r="P991" t="e">
            <v>#NAME?</v>
          </cell>
        </row>
        <row r="992">
          <cell r="E992" t="str">
            <v>قليدي</v>
          </cell>
          <cell r="P992" t="e">
            <v>#NAME?</v>
          </cell>
        </row>
        <row r="993">
          <cell r="E993" t="str">
            <v>قصر أبو علي</v>
          </cell>
          <cell r="P993" t="e">
            <v>#NAME?</v>
          </cell>
        </row>
        <row r="994">
          <cell r="E994" t="str">
            <v>مناطق متفرقة</v>
          </cell>
          <cell r="P994" t="e">
            <v>#NAME?</v>
          </cell>
        </row>
        <row r="995">
          <cell r="E995" t="str">
            <v>شارع حلب</v>
          </cell>
          <cell r="P995" t="e">
            <v>#NAME?</v>
          </cell>
        </row>
        <row r="996">
          <cell r="E996" t="str">
            <v>المقامات</v>
          </cell>
          <cell r="P996" t="e">
            <v>#NAME?</v>
          </cell>
        </row>
        <row r="997">
          <cell r="E997" t="str">
            <v>منزل معرض للسقوط</v>
          </cell>
          <cell r="P997" t="e">
            <v>#NAME?</v>
          </cell>
        </row>
        <row r="998">
          <cell r="E998" t="str">
            <v>لجابرية</v>
          </cell>
          <cell r="P998" t="e">
            <v>#NAME?</v>
          </cell>
        </row>
        <row r="999">
          <cell r="E999" t="str">
            <v>صوران</v>
          </cell>
          <cell r="P999">
            <v>36.563476999999999</v>
          </cell>
        </row>
        <row r="1000">
          <cell r="E1000" t="str">
            <v>كفر نوران</v>
          </cell>
          <cell r="P1000">
            <v>36.078125</v>
          </cell>
        </row>
        <row r="1001">
          <cell r="E1001" t="str">
            <v>الجبين</v>
          </cell>
          <cell r="P1001" t="e">
            <v>#NAME?</v>
          </cell>
        </row>
        <row r="1002">
          <cell r="E1002" t="str">
            <v>السيحة</v>
          </cell>
        </row>
        <row r="1003">
          <cell r="E1003" t="str">
            <v>الجوصة</v>
          </cell>
          <cell r="P1003" t="e">
            <v>#NAME?</v>
          </cell>
        </row>
        <row r="1004">
          <cell r="E1004" t="str">
            <v>النهر البارد</v>
          </cell>
          <cell r="P1004" t="e">
            <v>#NAME?</v>
          </cell>
        </row>
        <row r="1005">
          <cell r="E1005" t="str">
            <v>النهر البارد</v>
          </cell>
          <cell r="P1005" t="e">
            <v>#NAME?</v>
          </cell>
        </row>
        <row r="1006">
          <cell r="E1006" t="str">
            <v>حلاقين</v>
          </cell>
          <cell r="P1006" t="e">
            <v>#NAME?</v>
          </cell>
        </row>
        <row r="1007">
          <cell r="E1007" t="str">
            <v>بريشن</v>
          </cell>
          <cell r="P1007" t="e">
            <v>#NAME?</v>
          </cell>
        </row>
        <row r="1008">
          <cell r="E1008" t="str">
            <v>طريق النهر البارد</v>
          </cell>
          <cell r="P1008" t="e">
            <v>#NAME?</v>
          </cell>
        </row>
        <row r="1009">
          <cell r="E1009" t="str">
            <v>طريق مصياف</v>
          </cell>
          <cell r="P1009" t="e">
            <v>#NAME?</v>
          </cell>
        </row>
        <row r="1010">
          <cell r="E1010" t="str">
            <v>الطريق</v>
          </cell>
          <cell r="P1010" t="e">
            <v>#NAME?</v>
          </cell>
        </row>
        <row r="1011">
          <cell r="E1011" t="str">
            <v>قبو</v>
          </cell>
          <cell r="P1011" t="e">
            <v>#NAME?</v>
          </cell>
        </row>
        <row r="1012">
          <cell r="E1012" t="str">
            <v>منزل</v>
          </cell>
          <cell r="P1012" t="e">
            <v>#NAME?</v>
          </cell>
        </row>
        <row r="1013">
          <cell r="E1013" t="str">
            <v>الطريق والمنازل</v>
          </cell>
          <cell r="P1013" t="e">
            <v>#NAME?</v>
          </cell>
        </row>
        <row r="1014">
          <cell r="E1014" t="str">
            <v>قرية بغيديد</v>
          </cell>
          <cell r="P1014" t="e">
            <v>#NAME?</v>
          </cell>
        </row>
        <row r="1015">
          <cell r="E1015" t="str">
            <v>قرية الشيخ هلال</v>
          </cell>
          <cell r="P1015" t="e">
            <v>#NAME?</v>
          </cell>
        </row>
        <row r="1016">
          <cell r="E1016" t="str">
            <v>الجسر</v>
          </cell>
          <cell r="P1016">
            <v>37.236511</v>
          </cell>
        </row>
        <row r="1017">
          <cell r="E1017" t="str">
            <v>قرية الشيخ هلال</v>
          </cell>
          <cell r="P1017" t="e">
            <v>#NAME?</v>
          </cell>
        </row>
        <row r="1018">
          <cell r="E1018" t="str">
            <v>أثريا</v>
          </cell>
          <cell r="P1018" t="e">
            <v>#NAME?</v>
          </cell>
        </row>
        <row r="1019">
          <cell r="E1019" t="str">
            <v>طريق السقيلبية</v>
          </cell>
          <cell r="P1019" t="e">
            <v>#NAME?</v>
          </cell>
        </row>
        <row r="1020">
          <cell r="E1020" t="str">
            <v>حي الأربعين</v>
          </cell>
          <cell r="P1020" t="e">
            <v>#NAME?</v>
          </cell>
        </row>
        <row r="1021">
          <cell r="E1021" t="str">
            <v>مدينة شطحة</v>
          </cell>
          <cell r="P1021" t="e">
            <v>#NAME?</v>
          </cell>
        </row>
        <row r="1022">
          <cell r="E1022" t="str">
            <v>مدينة السقيلبية</v>
          </cell>
          <cell r="P1022" t="e">
            <v>#NAME?</v>
          </cell>
        </row>
        <row r="1023">
          <cell r="E1023" t="str">
            <v>مناطق متعددة</v>
          </cell>
          <cell r="P1023" t="e">
            <v>#NAME?</v>
          </cell>
        </row>
        <row r="1024">
          <cell r="E1024" t="str">
            <v>دير بعلية</v>
          </cell>
          <cell r="P1024" t="e">
            <v>#NAME?</v>
          </cell>
        </row>
        <row r="1025">
          <cell r="E1025" t="str">
            <v>خان أرنبة</v>
          </cell>
          <cell r="P1025">
            <v>33.182128910000003</v>
          </cell>
        </row>
        <row r="1026">
          <cell r="E1026" t="str">
            <v>عتمان</v>
          </cell>
          <cell r="P1026">
            <v>32.663085940000002</v>
          </cell>
        </row>
        <row r="1027">
          <cell r="E1027" t="str">
            <v>جباتا الخشب</v>
          </cell>
          <cell r="P1027">
            <v>33.226501470000002</v>
          </cell>
        </row>
        <row r="1028">
          <cell r="E1028" t="str">
            <v>أوفانيا</v>
          </cell>
          <cell r="P1028">
            <v>33.206298830000001</v>
          </cell>
        </row>
        <row r="1029">
          <cell r="E1029" t="str">
            <v>تل كلخ</v>
          </cell>
          <cell r="P1029" t="e">
            <v>#NAME?</v>
          </cell>
        </row>
        <row r="1030">
          <cell r="E1030" t="str">
            <v>مناطق متفرقة</v>
          </cell>
          <cell r="P1030" t="e">
            <v>#NAME?</v>
          </cell>
        </row>
        <row r="1031">
          <cell r="E1031" t="str">
            <v>البياضة</v>
          </cell>
          <cell r="P1031" t="e">
            <v>#NAME?</v>
          </cell>
        </row>
        <row r="1032">
          <cell r="E1032" t="str">
            <v>الزهورية</v>
          </cell>
          <cell r="P1032" t="e">
            <v>#NAME?</v>
          </cell>
        </row>
        <row r="1033">
          <cell r="E1033" t="str">
            <v>كرم الزيتون</v>
          </cell>
          <cell r="P1033" t="e">
            <v>#NAME?</v>
          </cell>
        </row>
        <row r="1034">
          <cell r="E1034" t="str">
            <v>الوعر</v>
          </cell>
          <cell r="P1034" t="e">
            <v>#NAME?</v>
          </cell>
        </row>
        <row r="1035">
          <cell r="E1035" t="str">
            <v>الحازمية</v>
          </cell>
          <cell r="P1035" t="e">
            <v>#NAME?</v>
          </cell>
        </row>
        <row r="1036">
          <cell r="E1036" t="str">
            <v>الزهور</v>
          </cell>
          <cell r="P1036" t="e">
            <v>#NAME?</v>
          </cell>
        </row>
        <row r="1037">
          <cell r="E1037" t="str">
            <v>وادي الذهب</v>
          </cell>
          <cell r="P1037" t="e">
            <v>#NAME?</v>
          </cell>
        </row>
        <row r="1038">
          <cell r="E1038" t="str">
            <v>ضهر القصير</v>
          </cell>
          <cell r="P1038" t="e">
            <v>#NAME?</v>
          </cell>
        </row>
        <row r="1039">
          <cell r="E1039" t="str">
            <v>طريق عين النسر</v>
          </cell>
          <cell r="P1039" t="e">
            <v>#NAME?</v>
          </cell>
        </row>
        <row r="1040">
          <cell r="E1040" t="str">
            <v>مواقع متفرقة</v>
          </cell>
          <cell r="P1040" t="e">
            <v>#NAME?</v>
          </cell>
        </row>
        <row r="1041">
          <cell r="E1041" t="str">
            <v>الطريق</v>
          </cell>
          <cell r="P1041" t="e">
            <v>#NAME?</v>
          </cell>
        </row>
        <row r="1042">
          <cell r="E1042" t="str">
            <v>الأوتستراد</v>
          </cell>
          <cell r="P1042" t="e">
            <v>#NAME?</v>
          </cell>
        </row>
        <row r="1043">
          <cell r="E1043" t="str">
            <v>وادي درب الحصاص</v>
          </cell>
          <cell r="P1043" t="e">
            <v>#NAME?</v>
          </cell>
        </row>
        <row r="1044">
          <cell r="E1044" t="str">
            <v>منازل</v>
          </cell>
          <cell r="P1044" t="e">
            <v>#NAME?</v>
          </cell>
        </row>
        <row r="1045">
          <cell r="E1045" t="str">
            <v>سد القريتين</v>
          </cell>
          <cell r="P1045" t="e">
            <v>#NAME?</v>
          </cell>
        </row>
        <row r="1046">
          <cell r="E1046" t="str">
            <v>حفرة سكر السد</v>
          </cell>
          <cell r="P1046" t="e">
            <v>#NAME?</v>
          </cell>
        </row>
        <row r="1047">
          <cell r="E1047" t="str">
            <v>قرية المعمورة</v>
          </cell>
          <cell r="P1047" t="e">
            <v>#NAME?</v>
          </cell>
        </row>
        <row r="1048">
          <cell r="E1048" t="str">
            <v>وادي الربيعة</v>
          </cell>
          <cell r="P1048" t="e">
            <v>#NAME?</v>
          </cell>
        </row>
        <row r="1049">
          <cell r="E1049" t="str">
            <v>جسر الدف</v>
          </cell>
          <cell r="P1049" t="e">
            <v>#NAME?</v>
          </cell>
        </row>
        <row r="1050">
          <cell r="E1050" t="str">
            <v>الجامل</v>
          </cell>
          <cell r="P1050">
            <v>36.767882999999998</v>
          </cell>
        </row>
        <row r="1051">
          <cell r="E1051" t="str">
            <v>الجسر العالي</v>
          </cell>
          <cell r="P1051" t="e">
            <v>#NAME?</v>
          </cell>
        </row>
        <row r="1052">
          <cell r="E1052" t="str">
            <v>جسر السبلة</v>
          </cell>
          <cell r="P1052" t="e">
            <v>#NAME?</v>
          </cell>
        </row>
        <row r="1053">
          <cell r="E1053" t="str">
            <v>حريتان</v>
          </cell>
          <cell r="P1053">
            <v>36.281494000000002</v>
          </cell>
        </row>
        <row r="1054">
          <cell r="E1054" t="str">
            <v>طاحونة أم الغيث</v>
          </cell>
          <cell r="P1054" t="e">
            <v>#NAME?</v>
          </cell>
        </row>
        <row r="1055">
          <cell r="E1055" t="str">
            <v>المزة</v>
          </cell>
          <cell r="P1055" t="e">
            <v>#NAME?</v>
          </cell>
        </row>
        <row r="1056">
          <cell r="E1056" t="str">
            <v>دمر</v>
          </cell>
          <cell r="P1056" t="e">
            <v>#NAME?</v>
          </cell>
        </row>
        <row r="1057">
          <cell r="E1057" t="str">
            <v>القيمرية</v>
          </cell>
          <cell r="P1057" t="e">
            <v>#NAME?</v>
          </cell>
        </row>
        <row r="1058">
          <cell r="E1058" t="str">
            <v>قهوة النوفرة</v>
          </cell>
          <cell r="P1058" t="e">
            <v>#NAME?</v>
          </cell>
        </row>
        <row r="1059">
          <cell r="E1059" t="str">
            <v>نفق باب كيسان</v>
          </cell>
          <cell r="P1059" t="e">
            <v>#NAME?</v>
          </cell>
        </row>
        <row r="1060">
          <cell r="E1060" t="str">
            <v>بيادر نادر</v>
          </cell>
          <cell r="P1060" t="e">
            <v>#NAME?</v>
          </cell>
        </row>
        <row r="1061">
          <cell r="E1061" t="str">
            <v>القيمرية</v>
          </cell>
          <cell r="P1061" t="e">
            <v>#NAME?</v>
          </cell>
        </row>
        <row r="1062">
          <cell r="E1062" t="str">
            <v>مجمع ابن عساكر</v>
          </cell>
          <cell r="P1062" t="e">
            <v>#NAME?</v>
          </cell>
        </row>
        <row r="1063">
          <cell r="E1063" t="str">
            <v>الشاغور</v>
          </cell>
          <cell r="P1063" t="e">
            <v>#NAME?</v>
          </cell>
        </row>
        <row r="1064">
          <cell r="E1064" t="str">
            <v>المزة</v>
          </cell>
          <cell r="P1064" t="e">
            <v>#NAME?</v>
          </cell>
        </row>
        <row r="1065">
          <cell r="E1065" t="str">
            <v>بيروت</v>
          </cell>
          <cell r="P1065" t="e">
            <v>#NAME?</v>
          </cell>
        </row>
        <row r="1066">
          <cell r="E1066" t="str">
            <v>الجمعيات</v>
          </cell>
          <cell r="P1066" t="e">
            <v>#NAME?</v>
          </cell>
        </row>
        <row r="1067">
          <cell r="E1067" t="str">
            <v>طريق المطاعم</v>
          </cell>
          <cell r="P1067" t="e">
            <v>#NAME?</v>
          </cell>
        </row>
        <row r="1068">
          <cell r="E1068" t="str">
            <v>القابون</v>
          </cell>
          <cell r="P1068" t="e">
            <v>#NAME?</v>
          </cell>
        </row>
        <row r="1069">
          <cell r="E1069" t="str">
            <v>كفر سوسة</v>
          </cell>
          <cell r="P1069" t="e">
            <v>#NAME?</v>
          </cell>
        </row>
        <row r="1070">
          <cell r="E1070" t="str">
            <v>مركز دمشق القديمة</v>
          </cell>
          <cell r="P1070" t="e">
            <v>#NAME?</v>
          </cell>
        </row>
        <row r="1071">
          <cell r="E1071" t="str">
            <v>مركز الأشمر</v>
          </cell>
          <cell r="P1071" t="e">
            <v>#NAME?</v>
          </cell>
        </row>
        <row r="1072">
          <cell r="E1072" t="str">
            <v>الطريق الدولي دمشق</v>
          </cell>
          <cell r="P1072" t="e">
            <v>#NAME?</v>
          </cell>
        </row>
        <row r="1073">
          <cell r="E1073" t="str">
            <v>جميع الطرق</v>
          </cell>
          <cell r="P1073" t="e">
            <v>#NAME?</v>
          </cell>
        </row>
        <row r="1074">
          <cell r="E1074" t="str">
            <v>جبال بلودان</v>
          </cell>
          <cell r="P1074" t="e">
            <v>#NAME?</v>
          </cell>
        </row>
        <row r="1075">
          <cell r="E1075" t="str">
            <v>طريق جبلي</v>
          </cell>
          <cell r="P1075" t="e">
            <v>#NAME?</v>
          </cell>
        </row>
        <row r="1076">
          <cell r="E1076" t="str">
            <v>موقع حادث سير</v>
          </cell>
          <cell r="P1076" t="e">
            <v>#NAME?</v>
          </cell>
        </row>
        <row r="1077">
          <cell r="E1077" t="str">
            <v>مدينة البوكمال ومحيطها</v>
          </cell>
          <cell r="P1077" t="e">
            <v>#NAME?</v>
          </cell>
        </row>
        <row r="1078">
          <cell r="E1078" t="str">
            <v>جسر المعيزلة</v>
          </cell>
          <cell r="P1078" t="e">
            <v>#NAME?</v>
          </cell>
        </row>
        <row r="1079">
          <cell r="E1079" t="str">
            <v>جسر السويعية</v>
          </cell>
          <cell r="P1079" t="e">
            <v>#NAME?</v>
          </cell>
        </row>
        <row r="1080">
          <cell r="E1080" t="str">
            <v>سد المعيزلة</v>
          </cell>
          <cell r="P1080" t="e">
            <v>#NAME?</v>
          </cell>
        </row>
        <row r="1081">
          <cell r="E1081" t="str">
            <v>طريق الثنايا</v>
          </cell>
          <cell r="P1081" t="e">
            <v>#NAME?</v>
          </cell>
        </row>
        <row r="1082">
          <cell r="E1082" t="str">
            <v>محيط مشفى الشرطة</v>
          </cell>
          <cell r="P1082" t="e">
            <v>#NAME?</v>
          </cell>
        </row>
        <row r="1083">
          <cell r="E1083" t="str">
            <v>جبل اليونان</v>
          </cell>
          <cell r="P1083" t="e">
            <v>#NAME?</v>
          </cell>
        </row>
        <row r="1084">
          <cell r="E1084" t="str">
            <v>مدخل بانياس الجنوبي</v>
          </cell>
          <cell r="P1084" t="e">
            <v>#NAME?</v>
          </cell>
        </row>
        <row r="1085">
          <cell r="E1085" t="str">
            <v>حارة المخفر</v>
          </cell>
          <cell r="P1085" t="e">
            <v>#NAME?</v>
          </cell>
        </row>
        <row r="1086">
          <cell r="E1086" t="str">
            <v>طريق المحطة الحرارية</v>
          </cell>
          <cell r="P1086" t="e">
            <v>#NAME?</v>
          </cell>
        </row>
        <row r="1087">
          <cell r="E1087" t="str">
            <v>مدرسة عماد عرنوط</v>
          </cell>
          <cell r="P1087" t="e">
            <v>#NAME?</v>
          </cell>
        </row>
        <row r="1088">
          <cell r="E1088" t="str">
            <v>مفرق القلعة</v>
          </cell>
          <cell r="P1088" t="e">
            <v>#NAME?</v>
          </cell>
        </row>
        <row r="1089">
          <cell r="E1089" t="str">
            <v>مناطق متفرقة</v>
          </cell>
          <cell r="P1089" t="e">
            <v>#NAME?</v>
          </cell>
        </row>
        <row r="1090">
          <cell r="E1090" t="str">
            <v>طرق متفرقة</v>
          </cell>
          <cell r="P1090" t="e">
            <v>#NAME?</v>
          </cell>
        </row>
        <row r="1091">
          <cell r="E1091" t="str">
            <v>مدرسة بانياس</v>
          </cell>
          <cell r="P1091" t="e">
            <v>#NAME?</v>
          </cell>
        </row>
        <row r="1092">
          <cell r="E1092" t="str">
            <v>مناطق متعددة</v>
          </cell>
          <cell r="P1092" t="e">
            <v>#NAME?</v>
          </cell>
        </row>
        <row r="1093">
          <cell r="E1093" t="str">
            <v>طرق حيوية</v>
          </cell>
          <cell r="P1093" t="e">
            <v>#NAME?</v>
          </cell>
        </row>
        <row r="1094">
          <cell r="E1094" t="str">
            <v>الطريق</v>
          </cell>
          <cell r="P1094" t="e">
            <v>#NAME?</v>
          </cell>
        </row>
        <row r="1095">
          <cell r="E1095" t="str">
            <v>الطريق</v>
          </cell>
          <cell r="P1095" t="e">
            <v>#NAME?</v>
          </cell>
        </row>
        <row r="1096">
          <cell r="E1096" t="str">
            <v>الأوتستراد</v>
          </cell>
          <cell r="P1096" t="e">
            <v>#NAME?</v>
          </cell>
        </row>
        <row r="1097">
          <cell r="E1097" t="str">
            <v>اللاذقية</v>
          </cell>
          <cell r="P1097">
            <v>35.539123539999999</v>
          </cell>
        </row>
        <row r="1098">
          <cell r="E1098" t="str">
            <v>طريق صافيتا</v>
          </cell>
          <cell r="P1098" t="e">
            <v>#NAME?</v>
          </cell>
        </row>
        <row r="1099">
          <cell r="E1099" t="str">
            <v>اللاذقية</v>
          </cell>
          <cell r="P1099">
            <v>35.539123539999999</v>
          </cell>
        </row>
        <row r="1100">
          <cell r="E1100" t="str">
            <v>المعوانة</v>
          </cell>
          <cell r="P1100" t="e">
            <v>#NAME?</v>
          </cell>
        </row>
        <row r="1101">
          <cell r="E1101" t="str">
            <v>طريق بانياس</v>
          </cell>
          <cell r="P1101" t="e">
            <v>#NAME?</v>
          </cell>
        </row>
        <row r="1102">
          <cell r="E1102" t="str">
            <v>السيحة</v>
          </cell>
        </row>
        <row r="1103">
          <cell r="E1103" t="str">
            <v>جسر حريصون</v>
          </cell>
          <cell r="P1103" t="e">
            <v>#NAME?</v>
          </cell>
        </row>
        <row r="1104">
          <cell r="E1104" t="str">
            <v>حميمات الداير</v>
          </cell>
          <cell r="P1104">
            <v>35.791076660000002</v>
          </cell>
        </row>
        <row r="1105">
          <cell r="E1105" t="str">
            <v>طريق بانياس</v>
          </cell>
          <cell r="P1105" t="e">
            <v>#NAME?</v>
          </cell>
        </row>
        <row r="1106">
          <cell r="E1106" t="str">
            <v>التويم</v>
          </cell>
          <cell r="P1106" t="e">
            <v>#NAME?</v>
          </cell>
        </row>
        <row r="1107">
          <cell r="E1107" t="str">
            <v xml:space="preserve"> جسر القوز</v>
          </cell>
          <cell r="P1107" t="e">
            <v>#NAME?</v>
          </cell>
        </row>
        <row r="1108">
          <cell r="E1108" t="str">
            <v>طريق بانياس</v>
          </cell>
          <cell r="P1108" t="e">
            <v>#NAME?</v>
          </cell>
        </row>
        <row r="1109">
          <cell r="E1109" t="str">
            <v>البويدر</v>
          </cell>
          <cell r="P1109">
            <v>36.647705080000001</v>
          </cell>
        </row>
        <row r="1110">
          <cell r="E1110" t="str">
            <v>المالحة</v>
          </cell>
          <cell r="P1110">
            <v>34.989074709999997</v>
          </cell>
        </row>
        <row r="1111">
          <cell r="E1111" t="str">
            <v>أبو الظهور</v>
          </cell>
          <cell r="P1111">
            <v>35.73712158</v>
          </cell>
        </row>
        <row r="1112">
          <cell r="E1112" t="str">
            <v>طريق طرطوس</v>
          </cell>
          <cell r="P1112" t="e">
            <v>#NAME?</v>
          </cell>
        </row>
        <row r="1113">
          <cell r="E1113" t="str">
            <v>عموم المناطق</v>
          </cell>
          <cell r="P1113" t="e">
            <v>#NAME?</v>
          </cell>
        </row>
        <row r="1114">
          <cell r="E1114" t="str">
            <v>عموم المناطق</v>
          </cell>
          <cell r="P1114" t="e">
            <v>#NAME?</v>
          </cell>
        </row>
        <row r="1115">
          <cell r="E1115" t="str">
            <v>عموم المناطق</v>
          </cell>
          <cell r="P1115" t="e">
            <v>#NAME?</v>
          </cell>
        </row>
        <row r="1116">
          <cell r="E1116" t="str">
            <v>عموم المناطق</v>
          </cell>
          <cell r="P1116" t="e">
            <v>#NAME?</v>
          </cell>
        </row>
        <row r="1117">
          <cell r="E1117" t="str">
            <v>عموم المناطق</v>
          </cell>
          <cell r="P1117" t="e">
            <v>#NAME?</v>
          </cell>
        </row>
        <row r="1118">
          <cell r="E1118" t="str">
            <v>عموم المناطق</v>
          </cell>
          <cell r="P1118" t="e">
            <v>#NAME?</v>
          </cell>
        </row>
        <row r="1119">
          <cell r="E1119" t="str">
            <v>عموم المناطق</v>
          </cell>
          <cell r="P1119" t="e">
            <v>#NAME?</v>
          </cell>
        </row>
        <row r="1120">
          <cell r="E1120" t="str">
            <v>موقع سيول</v>
          </cell>
          <cell r="P1120" t="e">
            <v>#NAME?</v>
          </cell>
        </row>
        <row r="1121">
          <cell r="E1121" t="str">
            <v>نطاق الاستجابة</v>
          </cell>
          <cell r="P1121" t="e">
            <v>#NAME?</v>
          </cell>
        </row>
        <row r="1122">
          <cell r="E1122" t="str">
            <v>نطاق الاستجابة</v>
          </cell>
          <cell r="P1122" t="e">
            <v>#NAME?</v>
          </cell>
        </row>
        <row r="1123">
          <cell r="E1123" t="str">
            <v>الرقة</v>
          </cell>
          <cell r="P1123">
            <v>35.953125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B02A8DA-EFAB-4823-958C-19AF6080E755}" name="الجدول1" displayName="الجدول1" ref="A1:Q1114" totalsRowShown="0" headerRowDxfId="2" headerRowBorderDxfId="1" tableBorderDxfId="0">
  <autoFilter ref="A1:Q1114" xr:uid="{00000000-0001-0000-0000-000000000000}"/>
  <sortState xmlns:xlrd2="http://schemas.microsoft.com/office/spreadsheetml/2017/richdata2" ref="A2:Q1114">
    <sortCondition ref="C1:C1114"/>
  </sortState>
  <tableColumns count="17">
    <tableColumn id="1" xr3:uid="{3E161A76-55FE-4706-A27A-DAACEC8F8319}" name="رقم"/>
    <tableColumn id="2" xr3:uid="{2222A4A5-8973-4704-8820-04AD250BA86A}" name="التاريخ"/>
    <tableColumn id="3" xr3:uid="{787082F1-5FE4-47A9-8EC9-7491A266C6E0}" name="المحافظة"/>
    <tableColumn id="4" xr3:uid="{5DCC9D31-6962-46F2-9BAB-F658E3F62BA3}" name="المنطقة"/>
    <tableColumn id="5" xr3:uid="{2406A7A0-13F7-4D3A-8E02-536D78A96450}" name="القرية– البلدة"/>
    <tableColumn id="6" xr3:uid="{90886FB6-6519-4B8D-A032-353BE1EAAE06}" name="نوع العاصفة"/>
    <tableColumn id="7" xr3:uid="{39E685F8-FBC8-465C-AB88-061E6F1DC61E}" name="نوع الخطر"/>
    <tableColumn id="8" xr3:uid="{FEE6BD41-3A21-4E12-A190-8763C83EEB20}" name="المكان المستهدف"/>
    <tableColumn id="9" xr3:uid="{0CB7A39B-133F-47D7-BE2C-5A66E0B39D65}" name="عدد تكرار الخطر لنفس القرية أو البلدة"/>
    <tableColumn id="10" xr3:uid="{6B4762AC-A3A6-4643-9045-F009EE715CC9}" name="درجة الخطر"/>
    <tableColumn id="11" xr3:uid="{EBE43BB0-1639-41B4-A268-9F17741F5C03}" name="الأضرار الناتجة عن الخطر"/>
    <tableColumn id="12" xr3:uid="{B4C1F650-3E0F-4453-A68F-C2135E3B6CD1}" name="الأعمال المنفذة"/>
    <tableColumn id="13" xr3:uid="{12B12EB8-F67E-46B7-A57B-E79B3EA40E7F}" name="عدد المتضررين"/>
    <tableColumn id="14" xr3:uid="{56F223EE-BC12-4DC3-8C42-21B0D5CFADD8}" name="تكرار التعرض للخطر مستقبلاً"/>
    <tableColumn id="15" xr3:uid="{7F55D0BA-7D6E-4E2C-BB19-C630872640B8}" name="Location_PCode">
      <calculatedColumnFormula>_xlfn.XLOOKUP(E2,[1]syr_populatedplaces!$L:$L,[1]syr_populatedplaces!$M:$M)</calculatedColumnFormula>
    </tableColumn>
    <tableColumn id="16" xr3:uid="{13B17679-A3BD-422D-A496-64A56521C72D}" name="Latitude">
      <calculatedColumnFormula>_xlfn.XLOOKUP(E2,[1]syr_populatedplaces!$L:$L,[1]syr_populatedplaces!$AD:$AD)</calculatedColumnFormula>
    </tableColumn>
    <tableColumn id="17" xr3:uid="{B48002C8-BD62-4FB0-AD8B-9F3E2F92C847}" name="Longitude">
      <calculatedColumnFormula>_xlfn.XLOOKUP(E2,[1]syr_populatedplaces!$L:$L,[1]syr_populatedplaces!$AC:$AC)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114"/>
  <sheetViews>
    <sheetView rightToLeft="1" tabSelected="1" zoomScale="145" zoomScaleNormal="145" workbookViewId="0">
      <selection activeCell="I6" sqref="I6"/>
    </sheetView>
  </sheetViews>
  <sheetFormatPr defaultColWidth="8.125" defaultRowHeight="14.25"/>
  <cols>
    <col min="5" max="5" width="16.125" customWidth="1"/>
    <col min="6" max="7" width="8.125" hidden="1" customWidth="1"/>
    <col min="8" max="8" width="0.625" customWidth="1"/>
    <col min="9" max="9" width="13.5" customWidth="1"/>
    <col min="11" max="11" width="19.125" customWidth="1"/>
    <col min="12" max="12" width="23.625" customWidth="1"/>
    <col min="13" max="13" width="10.125" customWidth="1"/>
  </cols>
  <sheetData>
    <row r="1" spans="1:17" ht="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>
      <c r="B2" t="s">
        <v>1309</v>
      </c>
      <c r="C2" t="s">
        <v>1413</v>
      </c>
      <c r="D2" t="s">
        <v>1414</v>
      </c>
      <c r="E2" t="s">
        <v>584</v>
      </c>
      <c r="F2" t="s">
        <v>812</v>
      </c>
      <c r="G2" t="s">
        <v>1415</v>
      </c>
      <c r="H2" t="s">
        <v>1416</v>
      </c>
      <c r="I2">
        <v>1</v>
      </c>
      <c r="J2" t="s">
        <v>99</v>
      </c>
      <c r="K2" t="s">
        <v>1415</v>
      </c>
      <c r="L2" t="s">
        <v>544</v>
      </c>
      <c r="M2" t="s">
        <v>1314</v>
      </c>
      <c r="N2" t="s">
        <v>99</v>
      </c>
      <c r="O2" t="str">
        <f>_xlfn.XLOOKUP(E2,[1]syr_populatedplaces!$L:$L,[1]syr_populatedplaces!$M:$M)</f>
        <v>C6273</v>
      </c>
      <c r="P2">
        <f>_xlfn.XLOOKUP(E2,[1]syr_populatedplaces!$L:$L,[1]syr_populatedplaces!$AD:$AD)</f>
        <v>33.182128910000003</v>
      </c>
      <c r="Q2">
        <f>_xlfn.XLOOKUP(E2,[1]syr_populatedplaces!$L:$L,[1]syr_populatedplaces!$AC:$AC)</f>
        <v>35.890930179999998</v>
      </c>
    </row>
    <row r="3" spans="1:17">
      <c r="B3" t="s">
        <v>1309</v>
      </c>
      <c r="C3" t="s">
        <v>1413</v>
      </c>
      <c r="D3" t="s">
        <v>1417</v>
      </c>
      <c r="E3" t="s">
        <v>1418</v>
      </c>
      <c r="F3" t="s">
        <v>812</v>
      </c>
      <c r="G3" t="s">
        <v>1419</v>
      </c>
      <c r="H3" t="s">
        <v>797</v>
      </c>
      <c r="I3">
        <v>1</v>
      </c>
      <c r="J3" t="s">
        <v>108</v>
      </c>
      <c r="K3" t="s">
        <v>1420</v>
      </c>
      <c r="L3" t="s">
        <v>550</v>
      </c>
      <c r="M3" t="s">
        <v>1314</v>
      </c>
      <c r="N3" t="s">
        <v>108</v>
      </c>
      <c r="O3" t="str">
        <f>_xlfn.XLOOKUP(E3,[1]syr_populatedplaces!$L:$L,[1]syr_populatedplaces!$M:$M)</f>
        <v>C5994</v>
      </c>
      <c r="P3">
        <f>_xlfn.XLOOKUP(E3,[1]syr_populatedplaces!$L:$L,[1]syr_populatedplaces!$AD:$AD)</f>
        <v>32.663085940000002</v>
      </c>
      <c r="Q3">
        <f>_xlfn.XLOOKUP(E3,[1]syr_populatedplaces!$L:$L,[1]syr_populatedplaces!$AC:$AC)</f>
        <v>36.114501949999998</v>
      </c>
    </row>
    <row r="4" spans="1:17">
      <c r="B4" t="s">
        <v>1309</v>
      </c>
      <c r="C4" t="s">
        <v>1413</v>
      </c>
      <c r="D4" t="s">
        <v>1414</v>
      </c>
      <c r="E4" t="s">
        <v>1421</v>
      </c>
      <c r="F4" t="s">
        <v>812</v>
      </c>
      <c r="G4" t="s">
        <v>1097</v>
      </c>
      <c r="H4" t="s">
        <v>797</v>
      </c>
      <c r="I4">
        <v>1</v>
      </c>
      <c r="J4" t="s">
        <v>108</v>
      </c>
      <c r="K4" t="s">
        <v>1422</v>
      </c>
      <c r="L4" t="s">
        <v>1423</v>
      </c>
      <c r="M4" t="s">
        <v>1314</v>
      </c>
      <c r="N4" t="s">
        <v>108</v>
      </c>
      <c r="O4" t="str">
        <f>_xlfn.XLOOKUP(E4,[1]syr_populatedplaces!$L:$L,[1]syr_populatedplaces!$M:$M)</f>
        <v>C6281</v>
      </c>
      <c r="P4">
        <f>_xlfn.XLOOKUP(E4,[1]syr_populatedplaces!$L:$L,[1]syr_populatedplaces!$AD:$AD)</f>
        <v>33.226501470000002</v>
      </c>
      <c r="Q4">
        <f>_xlfn.XLOOKUP(E4,[1]syr_populatedplaces!$L:$L,[1]syr_populatedplaces!$AC:$AC)</f>
        <v>35.831909179999997</v>
      </c>
    </row>
    <row r="5" spans="1:17">
      <c r="B5" t="s">
        <v>1309</v>
      </c>
      <c r="C5" t="s">
        <v>1413</v>
      </c>
      <c r="D5" t="s">
        <v>1414</v>
      </c>
      <c r="E5" t="s">
        <v>1424</v>
      </c>
      <c r="F5" t="s">
        <v>812</v>
      </c>
      <c r="G5" t="s">
        <v>565</v>
      </c>
      <c r="H5" t="s">
        <v>814</v>
      </c>
      <c r="I5">
        <v>1</v>
      </c>
      <c r="J5" t="s">
        <v>108</v>
      </c>
      <c r="K5" t="s">
        <v>1425</v>
      </c>
      <c r="L5" t="s">
        <v>1426</v>
      </c>
      <c r="M5" t="s">
        <v>1314</v>
      </c>
      <c r="N5" t="s">
        <v>108</v>
      </c>
      <c r="O5" t="str">
        <f>_xlfn.XLOOKUP(E5,[1]syr_populatedplaces!$L:$L,[1]syr_populatedplaces!$M:$M)</f>
        <v>C6282</v>
      </c>
      <c r="P5">
        <f>_xlfn.XLOOKUP(E5,[1]syr_populatedplaces!$L:$L,[1]syr_populatedplaces!$AD:$AD)</f>
        <v>33.206298830000001</v>
      </c>
      <c r="Q5">
        <f>_xlfn.XLOOKUP(E5,[1]syr_populatedplaces!$L:$L,[1]syr_populatedplaces!$AC:$AC)</f>
        <v>35.861083979999997</v>
      </c>
    </row>
    <row r="6" spans="1:17">
      <c r="B6" t="s">
        <v>1309</v>
      </c>
      <c r="C6" t="s">
        <v>1441</v>
      </c>
      <c r="D6" t="s">
        <v>1442</v>
      </c>
      <c r="E6" t="s">
        <v>1448</v>
      </c>
      <c r="F6" t="s">
        <v>812</v>
      </c>
      <c r="G6" t="s">
        <v>1444</v>
      </c>
      <c r="H6" t="s">
        <v>1443</v>
      </c>
      <c r="I6">
        <v>1</v>
      </c>
      <c r="J6" t="s">
        <v>387</v>
      </c>
      <c r="K6" t="s">
        <v>1445</v>
      </c>
      <c r="L6" t="s">
        <v>1446</v>
      </c>
      <c r="M6" t="s">
        <v>1447</v>
      </c>
      <c r="N6" t="s">
        <v>387</v>
      </c>
      <c r="O6" t="str">
        <f>_xlfn.XLOOKUP(E6,[1]syr_populatedplaces!$L:$L,[1]syr_populatedplaces!$M:$M)</f>
        <v>C4639</v>
      </c>
      <c r="P6">
        <f>_xlfn.XLOOKUP(E6,[1]syr_populatedplaces!$L:$L,[1]syr_populatedplaces!$AD:$AD)</f>
        <v>36.756103520000003</v>
      </c>
      <c r="Q6">
        <f>_xlfn.XLOOKUP(E6,[1]syr_populatedplaces!$L:$L,[1]syr_populatedplaces!$AC:$AC)</f>
        <v>41.39752197</v>
      </c>
    </row>
    <row r="7" spans="1:17">
      <c r="B7" t="s">
        <v>1309</v>
      </c>
      <c r="C7" t="s">
        <v>1441</v>
      </c>
      <c r="D7" t="s">
        <v>1448</v>
      </c>
      <c r="E7" t="s">
        <v>1448</v>
      </c>
      <c r="F7" t="s">
        <v>812</v>
      </c>
      <c r="G7" t="s">
        <v>1449</v>
      </c>
      <c r="H7" t="s">
        <v>1450</v>
      </c>
      <c r="I7">
        <v>1</v>
      </c>
      <c r="J7" t="s">
        <v>387</v>
      </c>
      <c r="K7" t="s">
        <v>1451</v>
      </c>
      <c r="L7" t="s">
        <v>1452</v>
      </c>
      <c r="M7" t="s">
        <v>1453</v>
      </c>
      <c r="N7" t="s">
        <v>387</v>
      </c>
      <c r="O7" t="str">
        <f>_xlfn.XLOOKUP(E7,[1]syr_populatedplaces!$L:$L,[1]syr_populatedplaces!$M:$M)</f>
        <v>C4639</v>
      </c>
      <c r="P7">
        <f>_xlfn.XLOOKUP(E7,[1]syr_populatedplaces!$L:$L,[1]syr_populatedplaces!$AD:$AD)</f>
        <v>36.756103520000003</v>
      </c>
      <c r="Q7">
        <f>_xlfn.XLOOKUP(E7,[1]syr_populatedplaces!$L:$L,[1]syr_populatedplaces!$AC:$AC)</f>
        <v>41.39752197</v>
      </c>
    </row>
    <row r="8" spans="1:17">
      <c r="B8" t="s">
        <v>1309</v>
      </c>
      <c r="C8" t="s">
        <v>1441</v>
      </c>
      <c r="D8" t="s">
        <v>1454</v>
      </c>
      <c r="E8" t="s">
        <v>1454</v>
      </c>
      <c r="F8" t="s">
        <v>812</v>
      </c>
      <c r="G8" t="s">
        <v>1455</v>
      </c>
      <c r="H8" t="s">
        <v>1347</v>
      </c>
      <c r="I8">
        <v>1</v>
      </c>
      <c r="J8" t="s">
        <v>387</v>
      </c>
      <c r="K8" t="s">
        <v>1456</v>
      </c>
      <c r="L8" t="s">
        <v>1457</v>
      </c>
      <c r="M8" t="s">
        <v>1314</v>
      </c>
      <c r="N8" t="s">
        <v>387</v>
      </c>
      <c r="O8" t="str">
        <f>_xlfn.XLOOKUP(E8,[1]syr_populatedplaces!$L:$L,[1]syr_populatedplaces!$M:$M)</f>
        <v>C8039</v>
      </c>
      <c r="P8">
        <f>_xlfn.XLOOKUP(E8,[1]syr_populatedplaces!$L:$L,[1]syr_populatedplaces!$AD:$AD)</f>
        <v>36.033081060000001</v>
      </c>
      <c r="Q8">
        <f>_xlfn.XLOOKUP(E8,[1]syr_populatedplaces!$L:$L,[1]syr_populatedplaces!$AC:$AC)</f>
        <v>41.098510740000002</v>
      </c>
    </row>
    <row r="9" spans="1:17">
      <c r="B9" t="s">
        <v>1309</v>
      </c>
      <c r="C9" t="s">
        <v>1441</v>
      </c>
      <c r="D9" t="s">
        <v>1448</v>
      </c>
      <c r="E9" t="s">
        <v>1448</v>
      </c>
      <c r="F9" t="s">
        <v>812</v>
      </c>
      <c r="G9" t="s">
        <v>1458</v>
      </c>
      <c r="H9" t="s">
        <v>1459</v>
      </c>
      <c r="J9" t="s">
        <v>387</v>
      </c>
      <c r="K9" t="s">
        <v>1460</v>
      </c>
      <c r="L9" t="s">
        <v>1457</v>
      </c>
      <c r="M9" t="s">
        <v>1314</v>
      </c>
      <c r="N9" t="s">
        <v>387</v>
      </c>
      <c r="O9" t="str">
        <f>_xlfn.XLOOKUP(E9,[1]syr_populatedplaces!$L:$L,[1]syr_populatedplaces!$M:$M)</f>
        <v>C4639</v>
      </c>
      <c r="P9">
        <f>_xlfn.XLOOKUP(E9,[1]syr_populatedplaces!$L:$L,[1]syr_populatedplaces!$AD:$AD)</f>
        <v>36.756103520000003</v>
      </c>
      <c r="Q9">
        <f>_xlfn.XLOOKUP(E9,[1]syr_populatedplaces!$L:$L,[1]syr_populatedplaces!$AC:$AC)</f>
        <v>41.39752197</v>
      </c>
    </row>
    <row r="10" spans="1:17">
      <c r="A10" t="s">
        <v>1857</v>
      </c>
      <c r="B10" t="s">
        <v>1309</v>
      </c>
      <c r="C10" t="s">
        <v>1441</v>
      </c>
      <c r="D10" t="s">
        <v>1361</v>
      </c>
      <c r="E10" t="s">
        <v>1441</v>
      </c>
      <c r="F10" t="s">
        <v>812</v>
      </c>
      <c r="G10" t="s">
        <v>1462</v>
      </c>
      <c r="H10" t="s">
        <v>1461</v>
      </c>
      <c r="I10">
        <v>1</v>
      </c>
      <c r="J10" t="s">
        <v>108</v>
      </c>
      <c r="K10" t="s">
        <v>1463</v>
      </c>
      <c r="L10" t="s">
        <v>1464</v>
      </c>
      <c r="M10" t="s">
        <v>1314</v>
      </c>
      <c r="N10" t="s">
        <v>108</v>
      </c>
      <c r="O10" t="str">
        <f>_xlfn.XLOOKUP(E10,[1]syr_populatedplaces!$L:$L,[1]syr_populatedplaces!$M:$M)</f>
        <v>C4360</v>
      </c>
      <c r="P10">
        <f>_xlfn.XLOOKUP(E10,[1]syr_populatedplaces!$L:$L,[1]syr_populatedplaces!$AD:$AD)</f>
        <v>36.50549316</v>
      </c>
      <c r="Q10">
        <f>_xlfn.XLOOKUP(E10,[1]syr_populatedplaces!$L:$L,[1]syr_populatedplaces!$AC:$AC)</f>
        <v>40.742919919999999</v>
      </c>
    </row>
    <row r="11" spans="1:17">
      <c r="B11" t="s">
        <v>1309</v>
      </c>
      <c r="C11" t="s">
        <v>1441</v>
      </c>
      <c r="D11" t="s">
        <v>1361</v>
      </c>
      <c r="E11" t="s">
        <v>1441</v>
      </c>
      <c r="F11" t="s">
        <v>812</v>
      </c>
      <c r="G11" t="s">
        <v>1465</v>
      </c>
      <c r="H11" t="s">
        <v>615</v>
      </c>
      <c r="J11" t="s">
        <v>387</v>
      </c>
      <c r="K11" t="s">
        <v>1466</v>
      </c>
      <c r="L11" t="s">
        <v>1467</v>
      </c>
      <c r="M11" t="s">
        <v>1314</v>
      </c>
      <c r="N11" t="s">
        <v>387</v>
      </c>
      <c r="O11" t="str">
        <f>_xlfn.XLOOKUP(E11,[1]syr_populatedplaces!$L:$L,[1]syr_populatedplaces!$M:$M)</f>
        <v>C4360</v>
      </c>
      <c r="P11">
        <f>_xlfn.XLOOKUP(E11,[1]syr_populatedplaces!$L:$L,[1]syr_populatedplaces!$AD:$AD)</f>
        <v>36.50549316</v>
      </c>
      <c r="Q11">
        <f>_xlfn.XLOOKUP(E11,[1]syr_populatedplaces!$L:$L,[1]syr_populatedplaces!$AC:$AC)</f>
        <v>40.742919919999999</v>
      </c>
    </row>
    <row r="12" spans="1:17">
      <c r="B12" t="s">
        <v>1309</v>
      </c>
      <c r="C12" t="s">
        <v>1441</v>
      </c>
      <c r="D12" t="s">
        <v>1468</v>
      </c>
      <c r="E12" t="s">
        <v>1469</v>
      </c>
      <c r="F12" t="s">
        <v>812</v>
      </c>
      <c r="G12" t="s">
        <v>1470</v>
      </c>
      <c r="H12" t="s">
        <v>1471</v>
      </c>
      <c r="I12">
        <v>1</v>
      </c>
      <c r="J12" t="s">
        <v>387</v>
      </c>
      <c r="K12" t="s">
        <v>1472</v>
      </c>
      <c r="L12" t="s">
        <v>1473</v>
      </c>
      <c r="M12" t="s">
        <v>1314</v>
      </c>
      <c r="N12" t="s">
        <v>387</v>
      </c>
      <c r="O12" t="e">
        <f>_xlfn.XLOOKUP(E12,[1]syr_populatedplaces!$L:$L,[1]syr_populatedplaces!$M:$M)</f>
        <v>#N/A</v>
      </c>
      <c r="P12" t="e">
        <f>_xlfn.XLOOKUP(E12,[1]syr_populatedplaces!$L:$L,[1]syr_populatedplaces!$AD:$AD)</f>
        <v>#N/A</v>
      </c>
      <c r="Q12" t="e">
        <f>_xlfn.XLOOKUP(E12,[1]syr_populatedplaces!$L:$L,[1]syr_populatedplaces!$AC:$AC)</f>
        <v>#N/A</v>
      </c>
    </row>
    <row r="13" spans="1:17">
      <c r="B13" t="s">
        <v>1309</v>
      </c>
      <c r="C13" t="s">
        <v>1441</v>
      </c>
      <c r="D13" t="s">
        <v>1474</v>
      </c>
      <c r="E13" t="s">
        <v>1475</v>
      </c>
      <c r="F13" t="s">
        <v>812</v>
      </c>
      <c r="G13" t="s">
        <v>1470</v>
      </c>
      <c r="H13" t="s">
        <v>1476</v>
      </c>
      <c r="I13">
        <v>1</v>
      </c>
      <c r="J13" t="s">
        <v>387</v>
      </c>
      <c r="K13" t="s">
        <v>1477</v>
      </c>
      <c r="L13" t="s">
        <v>1478</v>
      </c>
      <c r="M13" t="s">
        <v>1314</v>
      </c>
      <c r="N13" t="s">
        <v>387</v>
      </c>
      <c r="O13" t="e">
        <f>_xlfn.XLOOKUP(E13,[1]syr_populatedplaces!$L:$L,[1]syr_populatedplaces!$M:$M)</f>
        <v>#N/A</v>
      </c>
      <c r="P13" t="e">
        <f>_xlfn.XLOOKUP(E13,[1]syr_populatedplaces!$L:$L,[1]syr_populatedplaces!$AD:$AD)</f>
        <v>#N/A</v>
      </c>
      <c r="Q13" t="e">
        <f>_xlfn.XLOOKUP(E13,[1]syr_populatedplaces!$L:$L,[1]syr_populatedplaces!$AC:$AC)</f>
        <v>#N/A</v>
      </c>
    </row>
    <row r="14" spans="1:17">
      <c r="B14" t="s">
        <v>1309</v>
      </c>
      <c r="C14" t="s">
        <v>1441</v>
      </c>
      <c r="D14" t="s">
        <v>1479</v>
      </c>
      <c r="E14" t="s">
        <v>1480</v>
      </c>
      <c r="F14" t="s">
        <v>812</v>
      </c>
      <c r="G14" t="s">
        <v>1481</v>
      </c>
      <c r="H14" t="s">
        <v>1482</v>
      </c>
      <c r="I14">
        <v>2</v>
      </c>
      <c r="J14" t="s">
        <v>108</v>
      </c>
      <c r="K14" t="s">
        <v>496</v>
      </c>
      <c r="L14" t="s">
        <v>1483</v>
      </c>
      <c r="M14" t="s">
        <v>1314</v>
      </c>
      <c r="N14" t="s">
        <v>108</v>
      </c>
      <c r="O14" t="e">
        <f>_xlfn.XLOOKUP(E14,[1]syr_populatedplaces!$L:$L,[1]syr_populatedplaces!$M:$M)</f>
        <v>#N/A</v>
      </c>
      <c r="P14" t="e">
        <f>_xlfn.XLOOKUP(E14,[1]syr_populatedplaces!$L:$L,[1]syr_populatedplaces!$AD:$AD)</f>
        <v>#N/A</v>
      </c>
      <c r="Q14" t="e">
        <f>_xlfn.XLOOKUP(E14,[1]syr_populatedplaces!$L:$L,[1]syr_populatedplaces!$AC:$AC)</f>
        <v>#N/A</v>
      </c>
    </row>
    <row r="15" spans="1:17">
      <c r="B15" t="s">
        <v>1657</v>
      </c>
      <c r="C15" t="s">
        <v>1441</v>
      </c>
      <c r="D15" t="s">
        <v>1448</v>
      </c>
      <c r="E15" t="s">
        <v>1448</v>
      </c>
      <c r="F15" t="s">
        <v>1665</v>
      </c>
      <c r="G15" t="s">
        <v>1666</v>
      </c>
      <c r="H15" t="s">
        <v>1667</v>
      </c>
      <c r="I15">
        <v>1</v>
      </c>
      <c r="J15" t="s">
        <v>883</v>
      </c>
      <c r="K15" t="s">
        <v>1668</v>
      </c>
      <c r="L15" t="s">
        <v>1669</v>
      </c>
      <c r="M15" t="s">
        <v>1670</v>
      </c>
      <c r="N15" t="s">
        <v>108</v>
      </c>
      <c r="O15" t="str">
        <f>_xlfn.XLOOKUP(E15,[1]syr_populatedplaces!$L:$L,[1]syr_populatedplaces!$M:$M)</f>
        <v>C4639</v>
      </c>
      <c r="P15">
        <f>_xlfn.XLOOKUP(E15,[1]syr_populatedplaces!$L:$L,[1]syr_populatedplaces!$AD:$AD)</f>
        <v>36.756103520000003</v>
      </c>
      <c r="Q15">
        <f>_xlfn.XLOOKUP(E15,[1]syr_populatedplaces!$L:$L,[1]syr_populatedplaces!$AC:$AC)</f>
        <v>41.39752197</v>
      </c>
    </row>
    <row r="16" spans="1:17">
      <c r="B16" t="s">
        <v>1657</v>
      </c>
      <c r="C16" t="s">
        <v>1441</v>
      </c>
      <c r="D16" t="s">
        <v>1448</v>
      </c>
      <c r="E16" t="s">
        <v>1812</v>
      </c>
      <c r="F16" t="s">
        <v>1665</v>
      </c>
      <c r="G16" t="s">
        <v>1666</v>
      </c>
      <c r="H16" t="s">
        <v>1667</v>
      </c>
      <c r="I16">
        <v>1</v>
      </c>
      <c r="J16" t="s">
        <v>883</v>
      </c>
      <c r="K16" t="s">
        <v>1668</v>
      </c>
      <c r="L16" t="s">
        <v>1669</v>
      </c>
      <c r="M16" t="s">
        <v>1670</v>
      </c>
      <c r="N16" t="s">
        <v>108</v>
      </c>
      <c r="O16" t="str">
        <f>_xlfn.XLOOKUP(E16,[1]syr_populatedplaces!$L:$L,[1]syr_populatedplaces!$M:$M)</f>
        <v>C8474</v>
      </c>
      <c r="P16">
        <f>_xlfn.XLOOKUP(E16,[1]syr_populatedplaces!$L:$L,[1]syr_populatedplaces!$AD:$AD)</f>
        <v>36.735900880000003</v>
      </c>
      <c r="Q16">
        <f>_xlfn.XLOOKUP(E16,[1]syr_populatedplaces!$L:$L,[1]syr_populatedplaces!$AC:$AC)</f>
        <v>41.401489259999998</v>
      </c>
    </row>
    <row r="17" spans="2:17">
      <c r="B17" t="s">
        <v>1657</v>
      </c>
      <c r="C17" t="s">
        <v>1441</v>
      </c>
      <c r="D17" t="s">
        <v>1448</v>
      </c>
      <c r="E17" t="s">
        <v>1813</v>
      </c>
      <c r="F17" t="s">
        <v>1665</v>
      </c>
      <c r="G17" t="s">
        <v>1666</v>
      </c>
      <c r="H17" t="s">
        <v>1667</v>
      </c>
      <c r="I17">
        <v>1</v>
      </c>
      <c r="J17" t="s">
        <v>883</v>
      </c>
      <c r="K17" t="s">
        <v>1668</v>
      </c>
      <c r="L17" t="s">
        <v>1669</v>
      </c>
      <c r="M17" t="s">
        <v>1670</v>
      </c>
      <c r="N17" t="s">
        <v>108</v>
      </c>
      <c r="O17" t="str">
        <f>_xlfn.XLOOKUP(E17,[1]syr_populatedplaces!$L:$L,[1]syr_populatedplaces!$M:$M)</f>
        <v>C8305</v>
      </c>
      <c r="P17">
        <f>_xlfn.XLOOKUP(E17,[1]syr_populatedplaces!$L:$L,[1]syr_populatedplaces!$AD:$AD)</f>
        <v>36.852905270000001</v>
      </c>
      <c r="Q17">
        <f>_xlfn.XLOOKUP(E17,[1]syr_populatedplaces!$L:$L,[1]syr_populatedplaces!$AC:$AC)</f>
        <v>41.455688479999999</v>
      </c>
    </row>
    <row r="18" spans="2:17">
      <c r="B18" t="s">
        <v>1657</v>
      </c>
      <c r="C18" t="s">
        <v>1441</v>
      </c>
      <c r="D18" t="s">
        <v>1448</v>
      </c>
      <c r="E18" t="s">
        <v>1814</v>
      </c>
      <c r="F18" t="s">
        <v>1665</v>
      </c>
      <c r="G18" t="s">
        <v>1666</v>
      </c>
      <c r="H18" t="s">
        <v>1667</v>
      </c>
      <c r="I18">
        <v>1</v>
      </c>
      <c r="J18" t="s">
        <v>883</v>
      </c>
      <c r="K18" t="s">
        <v>1668</v>
      </c>
      <c r="L18" t="s">
        <v>1669</v>
      </c>
      <c r="M18" t="s">
        <v>1670</v>
      </c>
      <c r="N18" t="s">
        <v>108</v>
      </c>
      <c r="O18" t="str">
        <f>_xlfn.XLOOKUP(E18,[1]syr_populatedplaces!$L:$L,[1]syr_populatedplaces!$M:$M)</f>
        <v>C8543</v>
      </c>
      <c r="P18">
        <f>_xlfn.XLOOKUP(E18,[1]syr_populatedplaces!$L:$L,[1]syr_populatedplaces!$AD:$AD)</f>
        <v>37.18591309</v>
      </c>
      <c r="Q18">
        <f>_xlfn.XLOOKUP(E18,[1]syr_populatedplaces!$L:$L,[1]syr_populatedplaces!$AC:$AC)</f>
        <v>42.3125</v>
      </c>
    </row>
    <row r="19" spans="2:17">
      <c r="B19" t="s">
        <v>1657</v>
      </c>
      <c r="C19" t="s">
        <v>1441</v>
      </c>
      <c r="D19" t="s">
        <v>1448</v>
      </c>
      <c r="E19" t="s">
        <v>1815</v>
      </c>
      <c r="F19" t="s">
        <v>1665</v>
      </c>
      <c r="G19" t="s">
        <v>1666</v>
      </c>
      <c r="H19" t="s">
        <v>1667</v>
      </c>
      <c r="I19">
        <v>1</v>
      </c>
      <c r="J19" t="s">
        <v>883</v>
      </c>
      <c r="K19" t="s">
        <v>1668</v>
      </c>
      <c r="L19" t="s">
        <v>1669</v>
      </c>
      <c r="M19" t="s">
        <v>1670</v>
      </c>
      <c r="N19" t="s">
        <v>108</v>
      </c>
      <c r="O19" t="str">
        <f>_xlfn.XLOOKUP(E19,[1]syr_populatedplaces!$L:$L,[1]syr_populatedplaces!$M:$M)</f>
        <v>C4663</v>
      </c>
      <c r="P19">
        <f>_xlfn.XLOOKUP(E19,[1]syr_populatedplaces!$L:$L,[1]syr_populatedplaces!$AD:$AD)</f>
        <v>36.726501470000002</v>
      </c>
      <c r="Q19">
        <f>_xlfn.XLOOKUP(E19,[1]syr_populatedplaces!$L:$L,[1]syr_populatedplaces!$AC:$AC)</f>
        <v>41.364074709999997</v>
      </c>
    </row>
    <row r="20" spans="2:17">
      <c r="B20" t="s">
        <v>1657</v>
      </c>
      <c r="C20" t="s">
        <v>1441</v>
      </c>
      <c r="D20" t="s">
        <v>1671</v>
      </c>
      <c r="E20" t="s">
        <v>1479</v>
      </c>
      <c r="F20" t="s">
        <v>1665</v>
      </c>
      <c r="G20" t="s">
        <v>318</v>
      </c>
      <c r="H20" t="s">
        <v>1667</v>
      </c>
      <c r="I20">
        <v>1</v>
      </c>
      <c r="J20" t="s">
        <v>883</v>
      </c>
      <c r="K20" t="s">
        <v>1672</v>
      </c>
      <c r="L20" t="s">
        <v>1673</v>
      </c>
      <c r="M20" t="s">
        <v>1674</v>
      </c>
      <c r="N20" t="s">
        <v>108</v>
      </c>
      <c r="O20" t="e">
        <f>_xlfn.XLOOKUP(E20,[1]syr_populatedplaces!$L:$L,[1]syr_populatedplaces!$M:$M)</f>
        <v>#N/A</v>
      </c>
      <c r="P20" t="e">
        <f>_xlfn.XLOOKUP(E20,[1]syr_populatedplaces!$L:$L,[1]syr_populatedplaces!$AD:$AD)</f>
        <v>#N/A</v>
      </c>
      <c r="Q20" t="e">
        <f>_xlfn.XLOOKUP(E20,[1]syr_populatedplaces!$L:$L,[1]syr_populatedplaces!$AC:$AC)</f>
        <v>#N/A</v>
      </c>
    </row>
    <row r="21" spans="2:17">
      <c r="B21" t="s">
        <v>1657</v>
      </c>
      <c r="C21" t="s">
        <v>1441</v>
      </c>
      <c r="D21" t="s">
        <v>1671</v>
      </c>
      <c r="E21" t="s">
        <v>1474</v>
      </c>
      <c r="F21" t="s">
        <v>1665</v>
      </c>
      <c r="G21" t="s">
        <v>318</v>
      </c>
      <c r="H21" t="s">
        <v>1667</v>
      </c>
      <c r="I21">
        <v>1</v>
      </c>
      <c r="J21" t="s">
        <v>883</v>
      </c>
      <c r="K21" t="s">
        <v>1672</v>
      </c>
      <c r="L21" t="s">
        <v>1673</v>
      </c>
      <c r="M21" t="s">
        <v>1674</v>
      </c>
      <c r="N21" t="s">
        <v>108</v>
      </c>
      <c r="O21" t="str">
        <f>_xlfn.XLOOKUP(E21,[1]syr_populatedplaces!$L:$L,[1]syr_populatedplaces!$M:$M)</f>
        <v>C4950</v>
      </c>
      <c r="P21">
        <f>_xlfn.XLOOKUP(E21,[1]syr_populatedplaces!$L:$L,[1]syr_populatedplaces!$AD:$AD)</f>
        <v>36.878112790000003</v>
      </c>
      <c r="Q21">
        <f>_xlfn.XLOOKUP(E21,[1]syr_populatedplaces!$L:$L,[1]syr_populatedplaces!$AC:$AC)</f>
        <v>41.986511229999998</v>
      </c>
    </row>
    <row r="22" spans="2:17">
      <c r="B22" t="s">
        <v>1657</v>
      </c>
      <c r="C22" t="s">
        <v>1441</v>
      </c>
      <c r="D22" t="s">
        <v>1671</v>
      </c>
      <c r="E22" t="s">
        <v>1671</v>
      </c>
      <c r="F22" t="s">
        <v>1665</v>
      </c>
      <c r="G22" t="s">
        <v>318</v>
      </c>
      <c r="H22" t="s">
        <v>1667</v>
      </c>
      <c r="I22">
        <v>1</v>
      </c>
      <c r="J22" t="s">
        <v>883</v>
      </c>
      <c r="K22" t="s">
        <v>1672</v>
      </c>
      <c r="L22" t="s">
        <v>1673</v>
      </c>
      <c r="M22" t="s">
        <v>1674</v>
      </c>
      <c r="N22" t="s">
        <v>108</v>
      </c>
      <c r="O22" t="str">
        <f>_xlfn.XLOOKUP(E22,[1]syr_populatedplaces!$L:$L,[1]syr_populatedplaces!$M:$M)</f>
        <v>C1657</v>
      </c>
      <c r="P22">
        <f>_xlfn.XLOOKUP(E22,[1]syr_populatedplaces!$L:$L,[1]syr_populatedplaces!$AD:$AD)</f>
        <v>36.646484379999997</v>
      </c>
      <c r="Q22">
        <f>_xlfn.XLOOKUP(E22,[1]syr_populatedplaces!$L:$L,[1]syr_populatedplaces!$AC:$AC)</f>
        <v>37.235473630000001</v>
      </c>
    </row>
    <row r="23" spans="2:17">
      <c r="B23" t="s">
        <v>1657</v>
      </c>
      <c r="C23" t="s">
        <v>1441</v>
      </c>
      <c r="D23" t="s">
        <v>1671</v>
      </c>
      <c r="E23" t="s">
        <v>1816</v>
      </c>
      <c r="F23" t="s">
        <v>1665</v>
      </c>
      <c r="G23" t="s">
        <v>318</v>
      </c>
      <c r="H23" t="s">
        <v>1667</v>
      </c>
      <c r="I23">
        <v>1</v>
      </c>
      <c r="J23" t="s">
        <v>883</v>
      </c>
      <c r="K23" t="s">
        <v>1672</v>
      </c>
      <c r="L23" t="s">
        <v>1673</v>
      </c>
      <c r="M23" t="s">
        <v>1674</v>
      </c>
      <c r="N23" t="s">
        <v>108</v>
      </c>
      <c r="O23" t="str">
        <f>_xlfn.XLOOKUP(E23,[1]syr_populatedplaces!$L:$L,[1]syr_populatedplaces!$M:$M)</f>
        <v>C8680</v>
      </c>
      <c r="P23">
        <f>_xlfn.XLOOKUP(E23,[1]syr_populatedplaces!$L:$L,[1]syr_populatedplaces!$AD:$AD)</f>
        <v>36.16772461</v>
      </c>
      <c r="Q23">
        <f>_xlfn.XLOOKUP(E23,[1]syr_populatedplaces!$L:$L,[1]syr_populatedplaces!$AC:$AC)</f>
        <v>40.478088380000003</v>
      </c>
    </row>
    <row r="24" spans="2:17">
      <c r="B24" t="s">
        <v>17</v>
      </c>
      <c r="C24" t="s">
        <v>154</v>
      </c>
      <c r="D24" t="s">
        <v>211</v>
      </c>
      <c r="E24" t="s">
        <v>1817</v>
      </c>
      <c r="F24" t="s">
        <v>96</v>
      </c>
      <c r="G24" t="s">
        <v>212</v>
      </c>
      <c r="H24" t="s">
        <v>124</v>
      </c>
      <c r="I24">
        <v>1</v>
      </c>
      <c r="J24" t="s">
        <v>99</v>
      </c>
      <c r="K24" t="s">
        <v>213</v>
      </c>
      <c r="L24" t="s">
        <v>214</v>
      </c>
      <c r="M24" t="s">
        <v>27</v>
      </c>
      <c r="N24" t="s">
        <v>24</v>
      </c>
      <c r="O24" t="str">
        <f>_xlfn.XLOOKUP(E24,[1]syr_populatedplaces!$L:$L,[1]syr_populatedplaces!$M:$M)</f>
        <v>C3561</v>
      </c>
      <c r="P24">
        <f>_xlfn.XLOOKUP(E24,[1]syr_populatedplaces!$L:$L,[1]syr_populatedplaces!$AD:$AD)</f>
        <v>35.475891109999999</v>
      </c>
      <c r="Q24">
        <f>_xlfn.XLOOKUP(E24,[1]syr_populatedplaces!$L:$L,[1]syr_populatedplaces!$AC:$AC)</f>
        <v>35.885314940000001</v>
      </c>
    </row>
    <row r="25" spans="2:17">
      <c r="B25" t="s">
        <v>17</v>
      </c>
      <c r="C25" t="s">
        <v>154</v>
      </c>
      <c r="D25" t="s">
        <v>211</v>
      </c>
      <c r="E25" t="s">
        <v>1818</v>
      </c>
      <c r="F25" t="s">
        <v>96</v>
      </c>
      <c r="G25" t="s">
        <v>212</v>
      </c>
      <c r="H25" t="s">
        <v>124</v>
      </c>
      <c r="I25">
        <v>1</v>
      </c>
      <c r="J25" t="s">
        <v>99</v>
      </c>
      <c r="K25" t="s">
        <v>213</v>
      </c>
      <c r="L25" t="s">
        <v>214</v>
      </c>
      <c r="M25" t="s">
        <v>27</v>
      </c>
      <c r="N25" t="s">
        <v>24</v>
      </c>
      <c r="O25" t="str">
        <f>_xlfn.XLOOKUP(E25,[1]syr_populatedplaces!$L:$L,[1]syr_populatedplaces!$M:$M)</f>
        <v>C3532</v>
      </c>
      <c r="P25">
        <f>_xlfn.XLOOKUP(E25,[1]syr_populatedplaces!$L:$L,[1]syr_populatedplaces!$AD:$AD)</f>
        <v>35.687683110000002</v>
      </c>
      <c r="Q25">
        <f>_xlfn.XLOOKUP(E25,[1]syr_populatedplaces!$L:$L,[1]syr_populatedplaces!$AC:$AC)</f>
        <v>35.813110350000002</v>
      </c>
    </row>
    <row r="26" spans="2:17">
      <c r="B26" t="s">
        <v>17</v>
      </c>
      <c r="C26" t="s">
        <v>154</v>
      </c>
      <c r="D26" t="s">
        <v>211</v>
      </c>
      <c r="E26" t="s">
        <v>215</v>
      </c>
      <c r="F26" t="s">
        <v>96</v>
      </c>
      <c r="G26" t="s">
        <v>212</v>
      </c>
      <c r="H26" t="s">
        <v>124</v>
      </c>
      <c r="I26">
        <v>1</v>
      </c>
      <c r="J26" t="s">
        <v>99</v>
      </c>
      <c r="K26" t="s">
        <v>213</v>
      </c>
      <c r="L26" t="s">
        <v>214</v>
      </c>
      <c r="M26" t="s">
        <v>27</v>
      </c>
      <c r="N26" t="s">
        <v>24</v>
      </c>
      <c r="O26" t="str">
        <f>_xlfn.XLOOKUP(E26,[1]syr_populatedplaces!$L:$L,[1]syr_populatedplaces!$M:$M)</f>
        <v>C3585</v>
      </c>
      <c r="P26">
        <f>_xlfn.XLOOKUP(E26,[1]syr_populatedplaces!$L:$L,[1]syr_populatedplaces!$AD:$AD)</f>
        <v>35.364501949999998</v>
      </c>
      <c r="Q26">
        <f>_xlfn.XLOOKUP(E26,[1]syr_populatedplaces!$L:$L,[1]syr_populatedplaces!$AC:$AC)</f>
        <v>35.930480959999997</v>
      </c>
    </row>
    <row r="27" spans="2:17">
      <c r="B27" t="s">
        <v>17</v>
      </c>
      <c r="C27" t="s">
        <v>154</v>
      </c>
      <c r="D27" t="s">
        <v>211</v>
      </c>
      <c r="E27" t="s">
        <v>1818</v>
      </c>
      <c r="F27" t="s">
        <v>96</v>
      </c>
      <c r="G27" t="s">
        <v>212</v>
      </c>
      <c r="H27" t="s">
        <v>124</v>
      </c>
      <c r="I27">
        <v>1</v>
      </c>
      <c r="J27" t="s">
        <v>99</v>
      </c>
      <c r="K27" t="s">
        <v>213</v>
      </c>
      <c r="L27" t="s">
        <v>214</v>
      </c>
      <c r="M27" t="s">
        <v>27</v>
      </c>
      <c r="N27" t="s">
        <v>24</v>
      </c>
      <c r="O27" t="str">
        <f>_xlfn.XLOOKUP(E27,[1]syr_populatedplaces!$L:$L,[1]syr_populatedplaces!$M:$M)</f>
        <v>C3532</v>
      </c>
      <c r="P27">
        <f>_xlfn.XLOOKUP(E27,[1]syr_populatedplaces!$L:$L,[1]syr_populatedplaces!$AD:$AD)</f>
        <v>35.687683110000002</v>
      </c>
      <c r="Q27">
        <f>_xlfn.XLOOKUP(E27,[1]syr_populatedplaces!$L:$L,[1]syr_populatedplaces!$AC:$AC)</f>
        <v>35.813110350000002</v>
      </c>
    </row>
    <row r="28" spans="2:17" ht="15">
      <c r="B28" t="s">
        <v>17</v>
      </c>
      <c r="C28" t="s">
        <v>154</v>
      </c>
      <c r="D28" t="s">
        <v>128</v>
      </c>
      <c r="E28" t="s">
        <v>223</v>
      </c>
      <c r="F28" t="s">
        <v>96</v>
      </c>
      <c r="G28" t="s">
        <v>224</v>
      </c>
      <c r="H28" t="s">
        <v>225</v>
      </c>
      <c r="I28">
        <v>1</v>
      </c>
      <c r="J28" t="s">
        <v>24</v>
      </c>
      <c r="K28" t="s">
        <v>226</v>
      </c>
      <c r="L28" t="s">
        <v>227</v>
      </c>
      <c r="M28" t="s">
        <v>27</v>
      </c>
      <c r="N28" t="s">
        <v>108</v>
      </c>
      <c r="O28" t="e">
        <f>_xlfn.XLOOKUP(E28,[1]syr_populatedplaces!$L:$L,[1]syr_populatedplaces!$M:$M)</f>
        <v>#N/A</v>
      </c>
      <c r="P28" s="4">
        <v>35.50703</v>
      </c>
      <c r="Q28" s="4">
        <v>35.800821999999997</v>
      </c>
    </row>
    <row r="29" spans="2:17">
      <c r="B29" t="s">
        <v>17</v>
      </c>
      <c r="C29" t="s">
        <v>154</v>
      </c>
      <c r="D29" t="s">
        <v>128</v>
      </c>
      <c r="E29" t="s">
        <v>1819</v>
      </c>
      <c r="F29" t="s">
        <v>96</v>
      </c>
      <c r="G29" t="s">
        <v>224</v>
      </c>
      <c r="H29" t="s">
        <v>225</v>
      </c>
      <c r="I29">
        <v>1</v>
      </c>
      <c r="J29" t="s">
        <v>24</v>
      </c>
      <c r="K29" t="s">
        <v>226</v>
      </c>
      <c r="L29" t="s">
        <v>227</v>
      </c>
      <c r="M29" t="s">
        <v>27</v>
      </c>
      <c r="N29" t="s">
        <v>108</v>
      </c>
      <c r="O29" t="str">
        <f>_xlfn.XLOOKUP(E29,[1]syr_populatedplaces!$L:$L,[1]syr_populatedplaces!$M:$M)</f>
        <v>C2792</v>
      </c>
      <c r="P29">
        <f>_xlfn.XLOOKUP(E29,[1]syr_populatedplaces!$L:$L,[1]syr_populatedplaces!$AD:$AD)</f>
        <v>34.722473149999999</v>
      </c>
      <c r="Q29">
        <f>_xlfn.XLOOKUP(E29,[1]syr_populatedplaces!$L:$L,[1]syr_populatedplaces!$AC:$AC)</f>
        <v>36.27709961</v>
      </c>
    </row>
    <row r="30" spans="2:17">
      <c r="B30" t="s">
        <v>17</v>
      </c>
      <c r="C30" t="s">
        <v>154</v>
      </c>
      <c r="D30" t="s">
        <v>128</v>
      </c>
      <c r="E30" t="s">
        <v>154</v>
      </c>
      <c r="F30" t="s">
        <v>96</v>
      </c>
      <c r="G30" t="s">
        <v>224</v>
      </c>
      <c r="H30" t="s">
        <v>225</v>
      </c>
      <c r="I30">
        <v>1</v>
      </c>
      <c r="J30" t="s">
        <v>24</v>
      </c>
      <c r="K30" t="s">
        <v>226</v>
      </c>
      <c r="L30" t="s">
        <v>227</v>
      </c>
      <c r="M30" t="s">
        <v>27</v>
      </c>
      <c r="N30" t="s">
        <v>108</v>
      </c>
      <c r="O30" t="str">
        <f>_xlfn.XLOOKUP(E30,[1]syr_populatedplaces!$L:$L,[1]syr_populatedplaces!$M:$M)</f>
        <v>C3480</v>
      </c>
      <c r="P30">
        <f>_xlfn.XLOOKUP(E30,[1]syr_populatedplaces!$L:$L,[1]syr_populatedplaces!$AD:$AD)</f>
        <v>35.539123539999999</v>
      </c>
      <c r="Q30">
        <f>_xlfn.XLOOKUP(E30,[1]syr_populatedplaces!$L:$L,[1]syr_populatedplaces!$AC:$AC)</f>
        <v>35.789672850000002</v>
      </c>
    </row>
    <row r="31" spans="2:17">
      <c r="B31" t="s">
        <v>17</v>
      </c>
      <c r="C31" t="s">
        <v>154</v>
      </c>
      <c r="D31" t="s">
        <v>128</v>
      </c>
      <c r="E31" t="s">
        <v>154</v>
      </c>
      <c r="F31" t="s">
        <v>96</v>
      </c>
      <c r="G31" t="s">
        <v>224</v>
      </c>
      <c r="H31" t="s">
        <v>225</v>
      </c>
      <c r="I31">
        <v>1</v>
      </c>
      <c r="J31" t="s">
        <v>24</v>
      </c>
      <c r="K31" t="s">
        <v>226</v>
      </c>
      <c r="L31" t="s">
        <v>227</v>
      </c>
      <c r="M31" t="s">
        <v>27</v>
      </c>
      <c r="N31" t="s">
        <v>108</v>
      </c>
      <c r="O31" t="str">
        <f>_xlfn.XLOOKUP(E31,[1]syr_populatedplaces!$L:$L,[1]syr_populatedplaces!$M:$M)</f>
        <v>C3480</v>
      </c>
      <c r="P31">
        <f>_xlfn.XLOOKUP(E31,[1]syr_populatedplaces!$L:$L,[1]syr_populatedplaces!$AD:$AD)</f>
        <v>35.539123539999999</v>
      </c>
      <c r="Q31">
        <f>_xlfn.XLOOKUP(E31,[1]syr_populatedplaces!$L:$L,[1]syr_populatedplaces!$AC:$AC)</f>
        <v>35.789672850000002</v>
      </c>
    </row>
    <row r="32" spans="2:17">
      <c r="B32" t="s">
        <v>17</v>
      </c>
      <c r="C32" t="s">
        <v>154</v>
      </c>
      <c r="D32" t="s">
        <v>128</v>
      </c>
      <c r="E32" t="s">
        <v>154</v>
      </c>
      <c r="F32" t="s">
        <v>96</v>
      </c>
      <c r="G32" t="s">
        <v>224</v>
      </c>
      <c r="H32" t="s">
        <v>225</v>
      </c>
      <c r="I32">
        <v>1</v>
      </c>
      <c r="J32" t="s">
        <v>24</v>
      </c>
      <c r="K32" t="s">
        <v>226</v>
      </c>
      <c r="L32" t="s">
        <v>227</v>
      </c>
      <c r="M32" t="s">
        <v>27</v>
      </c>
      <c r="N32" t="s">
        <v>108</v>
      </c>
      <c r="O32" t="str">
        <f>_xlfn.XLOOKUP(E32,[1]syr_populatedplaces!$L:$L,[1]syr_populatedplaces!$M:$M)</f>
        <v>C3480</v>
      </c>
      <c r="P32">
        <f>_xlfn.XLOOKUP(E32,[1]syr_populatedplaces!$L:$L,[1]syr_populatedplaces!$AD:$AD)</f>
        <v>35.539123539999999</v>
      </c>
      <c r="Q32">
        <f>_xlfn.XLOOKUP(E32,[1]syr_populatedplaces!$L:$L,[1]syr_populatedplaces!$AC:$AC)</f>
        <v>35.789672850000002</v>
      </c>
    </row>
    <row r="33" spans="2:17">
      <c r="B33" t="s">
        <v>17</v>
      </c>
      <c r="C33" t="s">
        <v>154</v>
      </c>
      <c r="D33" t="s">
        <v>128</v>
      </c>
      <c r="E33" t="s">
        <v>1818</v>
      </c>
      <c r="F33" t="s">
        <v>96</v>
      </c>
      <c r="G33" t="s">
        <v>236</v>
      </c>
      <c r="H33" t="s">
        <v>237</v>
      </c>
      <c r="I33">
        <v>1</v>
      </c>
      <c r="J33" t="s">
        <v>99</v>
      </c>
      <c r="K33" t="s">
        <v>238</v>
      </c>
      <c r="L33" t="s">
        <v>239</v>
      </c>
      <c r="M33" t="s">
        <v>27</v>
      </c>
      <c r="N33" t="s">
        <v>99</v>
      </c>
      <c r="O33" t="str">
        <f>_xlfn.XLOOKUP(E33,[1]syr_populatedplaces!$L:$L,[1]syr_populatedplaces!$M:$M)</f>
        <v>C3532</v>
      </c>
      <c r="P33">
        <f>_xlfn.XLOOKUP(E33,[1]syr_populatedplaces!$L:$L,[1]syr_populatedplaces!$AD:$AD)</f>
        <v>35.687683110000002</v>
      </c>
      <c r="Q33">
        <f>_xlfn.XLOOKUP(E33,[1]syr_populatedplaces!$L:$L,[1]syr_populatedplaces!$AC:$AC)</f>
        <v>35.813110350000002</v>
      </c>
    </row>
    <row r="34" spans="2:17" ht="15">
      <c r="B34" t="s">
        <v>381</v>
      </c>
      <c r="C34" t="s">
        <v>154</v>
      </c>
      <c r="D34" t="s">
        <v>128</v>
      </c>
      <c r="E34" t="s">
        <v>488</v>
      </c>
      <c r="F34" t="s">
        <v>96</v>
      </c>
      <c r="G34" t="s">
        <v>486</v>
      </c>
      <c r="H34" t="s">
        <v>124</v>
      </c>
      <c r="I34">
        <v>1</v>
      </c>
      <c r="J34" t="s">
        <v>99</v>
      </c>
      <c r="K34" t="s">
        <v>213</v>
      </c>
      <c r="L34" t="s">
        <v>132</v>
      </c>
      <c r="M34" t="s">
        <v>27</v>
      </c>
      <c r="N34" t="s">
        <v>24</v>
      </c>
      <c r="O34" t="e">
        <f>_xlfn.XLOOKUP(E34,[1]syr_populatedplaces!$L:$L,[1]syr_populatedplaces!$M:$M)</f>
        <v>#N/A</v>
      </c>
      <c r="P34" s="4">
        <v>35.650346480191999</v>
      </c>
      <c r="Q34" s="4">
        <v>36.198970406768296</v>
      </c>
    </row>
    <row r="35" spans="2:17" ht="15">
      <c r="B35" t="s">
        <v>381</v>
      </c>
      <c r="C35" t="s">
        <v>154</v>
      </c>
      <c r="D35" t="s">
        <v>128</v>
      </c>
      <c r="E35" t="s">
        <v>491</v>
      </c>
      <c r="F35" t="s">
        <v>96</v>
      </c>
      <c r="G35" t="s">
        <v>486</v>
      </c>
      <c r="H35" t="s">
        <v>124</v>
      </c>
      <c r="I35">
        <v>1</v>
      </c>
      <c r="J35" t="s">
        <v>99</v>
      </c>
      <c r="K35" t="s">
        <v>213</v>
      </c>
      <c r="L35" t="s">
        <v>132</v>
      </c>
      <c r="M35" t="s">
        <v>27</v>
      </c>
      <c r="N35" t="s">
        <v>24</v>
      </c>
      <c r="O35" t="e">
        <f>_xlfn.XLOOKUP(E35,[1]syr_populatedplaces!$L:$L,[1]syr_populatedplaces!$M:$M)</f>
        <v>#N/A</v>
      </c>
      <c r="P35" s="4">
        <v>35.847526999999999</v>
      </c>
      <c r="Q35" s="4">
        <v>36.009757</v>
      </c>
    </row>
    <row r="36" spans="2:17">
      <c r="B36" t="s">
        <v>381</v>
      </c>
      <c r="C36" t="s">
        <v>154</v>
      </c>
      <c r="D36" t="s">
        <v>128</v>
      </c>
      <c r="E36" t="s">
        <v>235</v>
      </c>
      <c r="F36" t="s">
        <v>96</v>
      </c>
      <c r="G36" t="s">
        <v>494</v>
      </c>
      <c r="H36" t="s">
        <v>495</v>
      </c>
      <c r="I36">
        <v>1</v>
      </c>
      <c r="J36" t="s">
        <v>24</v>
      </c>
      <c r="K36" t="s">
        <v>496</v>
      </c>
      <c r="L36" t="s">
        <v>497</v>
      </c>
      <c r="M36" t="s">
        <v>27</v>
      </c>
      <c r="N36" t="s">
        <v>108</v>
      </c>
      <c r="O36" t="str">
        <f>_xlfn.XLOOKUP(E36,[1]syr_populatedplaces!$L:$L,[1]syr_populatedplaces!$M:$M)</f>
        <v>C3671</v>
      </c>
      <c r="P36">
        <f>_xlfn.XLOOKUP(E36,[1]syr_populatedplaces!$L:$L,[1]syr_populatedplaces!$AD:$AD)</f>
        <v>35.599487310000001</v>
      </c>
      <c r="Q36">
        <f>_xlfn.XLOOKUP(E36,[1]syr_populatedplaces!$L:$L,[1]syr_populatedplaces!$AC:$AC)</f>
        <v>36.03491211</v>
      </c>
    </row>
    <row r="37" spans="2:17" ht="15">
      <c r="B37" t="s">
        <v>381</v>
      </c>
      <c r="C37" t="s">
        <v>154</v>
      </c>
      <c r="D37" t="s">
        <v>128</v>
      </c>
      <c r="E37" t="s">
        <v>1859</v>
      </c>
      <c r="F37" t="s">
        <v>96</v>
      </c>
      <c r="G37" t="s">
        <v>494</v>
      </c>
      <c r="H37" t="s">
        <v>495</v>
      </c>
      <c r="I37">
        <v>1</v>
      </c>
      <c r="J37" t="s">
        <v>24</v>
      </c>
      <c r="K37" t="s">
        <v>496</v>
      </c>
      <c r="L37" t="s">
        <v>497</v>
      </c>
      <c r="M37" t="s">
        <v>27</v>
      </c>
      <c r="N37" t="s">
        <v>108</v>
      </c>
      <c r="O37" t="e">
        <f>_xlfn.XLOOKUP(E37,[1]syr_populatedplaces!$L:$L,[1]syr_populatedplaces!$M:$M)</f>
        <v>#N/A</v>
      </c>
      <c r="P37">
        <f>_xlfn.XLOOKUP(الجدول1[[#This Row],[القرية– البلدة]],[2]Storm_GIS!$E:$E,[2]Storm_GIS!$P:$P)</f>
        <v>35.538762778733698</v>
      </c>
      <c r="Q37" s="4">
        <f>_xlfn.XLOOKUP(الجدول1[[#This Row],[القرية– البلدة]],[2]!الجدول1[القرية– البلدة],[2]!الجدول1[Longitude])</f>
        <v>35.855572022577</v>
      </c>
    </row>
    <row r="38" spans="2:17" ht="15">
      <c r="B38" t="s">
        <v>381</v>
      </c>
      <c r="C38" t="s">
        <v>154</v>
      </c>
      <c r="D38" t="s">
        <v>128</v>
      </c>
      <c r="E38" t="s">
        <v>500</v>
      </c>
      <c r="F38" t="s">
        <v>96</v>
      </c>
      <c r="G38" t="s">
        <v>494</v>
      </c>
      <c r="H38" t="s">
        <v>495</v>
      </c>
      <c r="I38">
        <v>1</v>
      </c>
      <c r="J38" t="s">
        <v>24</v>
      </c>
      <c r="K38" t="s">
        <v>496</v>
      </c>
      <c r="L38" t="s">
        <v>497</v>
      </c>
      <c r="M38" t="s">
        <v>27</v>
      </c>
      <c r="N38" t="s">
        <v>108</v>
      </c>
      <c r="O38" t="e">
        <f>_xlfn.XLOOKUP(E38,[1]syr_populatedplaces!$L:$L,[1]syr_populatedplaces!$M:$M)</f>
        <v>#N/A</v>
      </c>
      <c r="P38">
        <f>_xlfn.XLOOKUP(الجدول1[[#This Row],[القرية– البلدة]],[2]Storm_GIS!$E:$E,[2]Storm_GIS!$P:$P)</f>
        <v>35.740583000000001</v>
      </c>
      <c r="Q38" s="4">
        <f>_xlfn.XLOOKUP(الجدول1[[#This Row],[القرية– البلدة]],[2]!الجدول1[القرية– البلدة],[2]!الجدول1[Longitude])</f>
        <v>36.128281999999999</v>
      </c>
    </row>
    <row r="39" spans="2:17" ht="15">
      <c r="B39" t="s">
        <v>381</v>
      </c>
      <c r="C39" t="s">
        <v>154</v>
      </c>
      <c r="D39" t="s">
        <v>128</v>
      </c>
      <c r="E39" t="s">
        <v>228</v>
      </c>
      <c r="F39" t="s">
        <v>96</v>
      </c>
      <c r="G39" t="s">
        <v>318</v>
      </c>
      <c r="H39" t="s">
        <v>411</v>
      </c>
      <c r="I39">
        <v>1</v>
      </c>
      <c r="J39" t="s">
        <v>24</v>
      </c>
      <c r="K39" t="s">
        <v>501</v>
      </c>
      <c r="L39" t="s">
        <v>360</v>
      </c>
      <c r="M39" t="s">
        <v>27</v>
      </c>
      <c r="N39" t="s">
        <v>108</v>
      </c>
      <c r="O39" t="e">
        <f>_xlfn.XLOOKUP(E39,[1]syr_populatedplaces!$L:$L,[1]syr_populatedplaces!$M:$M)</f>
        <v>#N/A</v>
      </c>
      <c r="P39">
        <f>_xlfn.XLOOKUP(الجدول1[[#This Row],[القرية– البلدة]],[2]Storm_GIS!$E:$E,[2]Storm_GIS!$P:$P)</f>
        <v>35.522321476400101</v>
      </c>
      <c r="Q39" s="4">
        <f>_xlfn.XLOOKUP(الجدول1[[#This Row],[القرية– البلدة]],[2]!الجدول1[القرية– البلدة],[2]!الجدول1[Longitude])</f>
        <v>35.786210418551903</v>
      </c>
    </row>
    <row r="40" spans="2:17" ht="15">
      <c r="B40" t="s">
        <v>381</v>
      </c>
      <c r="C40" t="s">
        <v>154</v>
      </c>
      <c r="D40" t="s">
        <v>128</v>
      </c>
      <c r="E40" t="s">
        <v>229</v>
      </c>
      <c r="F40" t="s">
        <v>96</v>
      </c>
      <c r="G40" t="s">
        <v>318</v>
      </c>
      <c r="H40" t="s">
        <v>411</v>
      </c>
      <c r="I40">
        <v>1</v>
      </c>
      <c r="J40" t="s">
        <v>24</v>
      </c>
      <c r="K40" t="s">
        <v>501</v>
      </c>
      <c r="L40" t="s">
        <v>360</v>
      </c>
      <c r="M40" t="s">
        <v>27</v>
      </c>
      <c r="N40" t="s">
        <v>108</v>
      </c>
      <c r="O40" t="e">
        <f>_xlfn.XLOOKUP(E40,[1]syr_populatedplaces!$L:$L,[1]syr_populatedplaces!$M:$M)</f>
        <v>#N/A</v>
      </c>
      <c r="P40">
        <f>_xlfn.XLOOKUP(الجدول1[[#This Row],[القرية– البلدة]],[2]Storm_GIS!$E:$E,[2]Storm_GIS!$P:$P)</f>
        <v>35.522411572762699</v>
      </c>
      <c r="Q40" s="4">
        <f>_xlfn.XLOOKUP(الجدول1[[#This Row],[القرية– البلدة]],[2]!الجدول1[القرية– البلدة],[2]!الجدول1[Longitude])</f>
        <v>35.772987743881302</v>
      </c>
    </row>
    <row r="41" spans="2:17" ht="15">
      <c r="B41" t="s">
        <v>381</v>
      </c>
      <c r="C41" t="s">
        <v>154</v>
      </c>
      <c r="D41" t="s">
        <v>128</v>
      </c>
      <c r="E41" t="s">
        <v>232</v>
      </c>
      <c r="F41" t="s">
        <v>96</v>
      </c>
      <c r="G41" t="s">
        <v>318</v>
      </c>
      <c r="H41" t="s">
        <v>411</v>
      </c>
      <c r="I41">
        <v>1</v>
      </c>
      <c r="J41" t="s">
        <v>24</v>
      </c>
      <c r="K41" t="s">
        <v>501</v>
      </c>
      <c r="L41" t="s">
        <v>360</v>
      </c>
      <c r="M41" t="s">
        <v>27</v>
      </c>
      <c r="N41" t="s">
        <v>108</v>
      </c>
      <c r="O41" t="e">
        <f>_xlfn.XLOOKUP(E41,[1]syr_populatedplaces!$L:$L,[1]syr_populatedplaces!$M:$M)</f>
        <v>#N/A</v>
      </c>
      <c r="P41">
        <f>_xlfn.XLOOKUP(الجدول1[[#This Row],[القرية– البلدة]],[2]Storm_GIS!$E:$E,[2]Storm_GIS!$P:$P)</f>
        <v>35.506031533277699</v>
      </c>
      <c r="Q41" s="4">
        <f>_xlfn.XLOOKUP(الجدول1[[#This Row],[القرية– البلدة]],[2]!الجدول1[القرية– البلدة],[2]!الجدول1[Longitude])</f>
        <v>35.814179572442598</v>
      </c>
    </row>
    <row r="42" spans="2:17" ht="15">
      <c r="B42" t="s">
        <v>381</v>
      </c>
      <c r="C42" t="s">
        <v>154</v>
      </c>
      <c r="D42" t="s">
        <v>128</v>
      </c>
      <c r="E42" t="s">
        <v>235</v>
      </c>
      <c r="F42" t="s">
        <v>96</v>
      </c>
      <c r="G42" t="s">
        <v>318</v>
      </c>
      <c r="H42" t="s">
        <v>411</v>
      </c>
      <c r="I42">
        <v>1</v>
      </c>
      <c r="J42" t="s">
        <v>24</v>
      </c>
      <c r="K42" t="s">
        <v>501</v>
      </c>
      <c r="L42" t="s">
        <v>360</v>
      </c>
      <c r="M42" t="s">
        <v>27</v>
      </c>
      <c r="N42" t="s">
        <v>108</v>
      </c>
      <c r="O42" t="str">
        <f>_xlfn.XLOOKUP(E42,[1]syr_populatedplaces!$L:$L,[1]syr_populatedplaces!$M:$M)</f>
        <v>C3671</v>
      </c>
      <c r="P42">
        <f>_xlfn.XLOOKUP(الجدول1[[#This Row],[القرية– البلدة]],[2]Storm_GIS!$E:$E,[2]Storm_GIS!$P:$P)</f>
        <v>35.599487000000003</v>
      </c>
      <c r="Q42" s="4">
        <f>_xlfn.XLOOKUP(الجدول1[[#This Row],[القرية– البلدة]],[2]!الجدول1[القرية– البلدة],[2]!الجدول1[Longitude])</f>
        <v>36.034911999999998</v>
      </c>
    </row>
    <row r="43" spans="2:17" ht="15">
      <c r="B43" t="s">
        <v>381</v>
      </c>
      <c r="C43" t="s">
        <v>154</v>
      </c>
      <c r="D43" t="s">
        <v>502</v>
      </c>
      <c r="E43" t="s">
        <v>742</v>
      </c>
      <c r="F43" t="s">
        <v>346</v>
      </c>
      <c r="G43" t="s">
        <v>503</v>
      </c>
      <c r="H43" t="s">
        <v>124</v>
      </c>
      <c r="I43">
        <v>1</v>
      </c>
      <c r="J43" t="s">
        <v>99</v>
      </c>
      <c r="K43" t="s">
        <v>504</v>
      </c>
      <c r="L43" t="s">
        <v>505</v>
      </c>
      <c r="M43" t="s">
        <v>27</v>
      </c>
      <c r="N43" t="s">
        <v>108</v>
      </c>
      <c r="O43" t="str">
        <f>_xlfn.XLOOKUP(E43,[1]syr_populatedplaces!$L:$L,[1]syr_populatedplaces!$M:$M)</f>
        <v>C3704</v>
      </c>
      <c r="P43">
        <f>_xlfn.XLOOKUP(الجدول1[[#This Row],[القرية– البلدة]],[2]Storm_GIS!$E:$E,[2]Storm_GIS!$P:$P)</f>
        <v>35.688110000000002</v>
      </c>
      <c r="Q43" s="4">
        <f>_xlfn.XLOOKUP(الجدول1[[#This Row],[القرية– البلدة]],[2]!الجدول1[القرية– البلدة],[2]!الجدول1[Longitude])</f>
        <v>36.139710000000001</v>
      </c>
    </row>
    <row r="44" spans="2:17" ht="15">
      <c r="B44" t="s">
        <v>381</v>
      </c>
      <c r="C44" t="s">
        <v>154</v>
      </c>
      <c r="D44" t="s">
        <v>128</v>
      </c>
      <c r="E44" t="s">
        <v>235</v>
      </c>
      <c r="H44" t="s">
        <v>260</v>
      </c>
      <c r="I44">
        <v>1</v>
      </c>
      <c r="J44" t="s">
        <v>99</v>
      </c>
      <c r="K44" t="s">
        <v>507</v>
      </c>
      <c r="L44" t="s">
        <v>508</v>
      </c>
      <c r="M44" t="s">
        <v>27</v>
      </c>
      <c r="N44" t="s">
        <v>99</v>
      </c>
      <c r="O44" t="str">
        <f>_xlfn.XLOOKUP(E44,[1]syr_populatedplaces!$L:$L,[1]syr_populatedplaces!$M:$M)</f>
        <v>C3671</v>
      </c>
      <c r="P44">
        <f>_xlfn.XLOOKUP(الجدول1[[#This Row],[القرية– البلدة]],[2]Storm_GIS!$E:$E,[2]Storm_GIS!$P:$P)</f>
        <v>35.599487000000003</v>
      </c>
      <c r="Q44" s="4">
        <f>_xlfn.XLOOKUP(الجدول1[[#This Row],[القرية– البلدة]],[2]!الجدول1[القرية– البلدة],[2]!الجدول1[Longitude])</f>
        <v>36.034911999999998</v>
      </c>
    </row>
    <row r="45" spans="2:17" ht="15">
      <c r="B45" t="s">
        <v>381</v>
      </c>
      <c r="C45" t="s">
        <v>154</v>
      </c>
      <c r="D45" t="s">
        <v>128</v>
      </c>
      <c r="E45" t="s">
        <v>1818</v>
      </c>
      <c r="F45" t="s">
        <v>96</v>
      </c>
      <c r="G45" t="s">
        <v>506</v>
      </c>
      <c r="H45" t="s">
        <v>260</v>
      </c>
      <c r="I45">
        <v>1</v>
      </c>
      <c r="J45" t="s">
        <v>99</v>
      </c>
      <c r="K45" t="s">
        <v>507</v>
      </c>
      <c r="L45" t="s">
        <v>508</v>
      </c>
      <c r="M45" t="s">
        <v>27</v>
      </c>
      <c r="N45" t="s">
        <v>99</v>
      </c>
      <c r="O45" t="str">
        <f>_xlfn.XLOOKUP(E45,[1]syr_populatedplaces!$L:$L,[1]syr_populatedplaces!$M:$M)</f>
        <v>C3532</v>
      </c>
      <c r="P45">
        <f>_xlfn.XLOOKUP(الجدول1[[#This Row],[القرية– البلدة]],[2]Storm_GIS!$E:$E,[2]Storm_GIS!$P:$P)</f>
        <v>35.687750000000001</v>
      </c>
      <c r="Q45" s="4">
        <f>_xlfn.XLOOKUP(الجدول1[[#This Row],[القرية– البلدة]],[2]!الجدول1[القرية– البلدة],[2]!الجدول1[Longitude])</f>
        <v>35.812730000000002</v>
      </c>
    </row>
    <row r="46" spans="2:17" ht="15">
      <c r="B46" t="s">
        <v>614</v>
      </c>
      <c r="C46" t="s">
        <v>154</v>
      </c>
      <c r="D46" t="s">
        <v>128</v>
      </c>
      <c r="E46" t="s">
        <v>740</v>
      </c>
      <c r="F46" t="s">
        <v>346</v>
      </c>
      <c r="G46" t="s">
        <v>347</v>
      </c>
      <c r="H46" t="s">
        <v>124</v>
      </c>
      <c r="I46">
        <v>1</v>
      </c>
      <c r="J46" t="s">
        <v>108</v>
      </c>
      <c r="K46" t="s">
        <v>730</v>
      </c>
      <c r="L46" t="s">
        <v>690</v>
      </c>
      <c r="M46" t="s">
        <v>27</v>
      </c>
      <c r="N46" t="s">
        <v>387</v>
      </c>
      <c r="O46" t="str">
        <f>_xlfn.XLOOKUP(E46,[1]syr_populatedplaces!$L:$L,[1]syr_populatedplaces!$M:$M)</f>
        <v>C3857</v>
      </c>
      <c r="P46">
        <f>_xlfn.XLOOKUP(الجدول1[[#This Row],[القرية– البلدة]],[2]Storm_GIS!$E:$E,[2]Storm_GIS!$P:$P)</f>
        <v>35.49353</v>
      </c>
      <c r="Q46" s="4">
        <f>_xlfn.XLOOKUP(الجدول1[[#This Row],[القرية– البلدة]],[2]!الجدول1[القرية– البلدة],[2]!الجدول1[Longitude])</f>
        <v>36.171875</v>
      </c>
    </row>
    <row r="47" spans="2:17" ht="15">
      <c r="B47" t="s">
        <v>614</v>
      </c>
      <c r="C47" t="s">
        <v>154</v>
      </c>
      <c r="D47" t="s">
        <v>128</v>
      </c>
      <c r="E47" t="s">
        <v>491</v>
      </c>
      <c r="F47" t="s">
        <v>346</v>
      </c>
      <c r="G47" t="s">
        <v>347</v>
      </c>
      <c r="H47" t="s">
        <v>124</v>
      </c>
      <c r="I47">
        <v>1</v>
      </c>
      <c r="J47" t="s">
        <v>108</v>
      </c>
      <c r="K47" t="s">
        <v>730</v>
      </c>
      <c r="L47" t="s">
        <v>690</v>
      </c>
      <c r="M47" t="s">
        <v>27</v>
      </c>
      <c r="N47" t="s">
        <v>387</v>
      </c>
      <c r="O47" t="e">
        <f>_xlfn.XLOOKUP(E47,[1]syr_populatedplaces!$L:$L,[1]syr_populatedplaces!$M:$M)</f>
        <v>#N/A</v>
      </c>
      <c r="P47">
        <f>_xlfn.XLOOKUP(الجدول1[[#This Row],[القرية– البلدة]],[2]Storm_GIS!$E:$E,[2]Storm_GIS!$P:$P)</f>
        <v>35.847526999999999</v>
      </c>
      <c r="Q47" s="4">
        <f>_xlfn.XLOOKUP(الجدول1[[#This Row],[القرية– البلدة]],[2]!الجدول1[القرية– البلدة],[2]!الجدول1[Longitude])</f>
        <v>36.009757</v>
      </c>
    </row>
    <row r="48" spans="2:17" ht="15">
      <c r="B48" t="s">
        <v>614</v>
      </c>
      <c r="C48" t="s">
        <v>154</v>
      </c>
      <c r="D48" t="s">
        <v>128</v>
      </c>
      <c r="E48" t="s">
        <v>488</v>
      </c>
      <c r="F48" t="s">
        <v>346</v>
      </c>
      <c r="G48" t="s">
        <v>347</v>
      </c>
      <c r="H48" t="s">
        <v>124</v>
      </c>
      <c r="I48">
        <v>1</v>
      </c>
      <c r="J48" t="s">
        <v>108</v>
      </c>
      <c r="K48" t="s">
        <v>730</v>
      </c>
      <c r="L48" t="s">
        <v>690</v>
      </c>
      <c r="M48" t="s">
        <v>27</v>
      </c>
      <c r="N48" t="s">
        <v>387</v>
      </c>
      <c r="O48" t="e">
        <f>_xlfn.XLOOKUP(E48,[1]syr_populatedplaces!$L:$L,[1]syr_populatedplaces!$M:$M)</f>
        <v>#N/A</v>
      </c>
      <c r="P48">
        <f>_xlfn.XLOOKUP(الجدول1[[#This Row],[القرية– البلدة]],[2]Storm_GIS!$E:$E,[2]Storm_GIS!$P:$P)</f>
        <v>35.650346480191999</v>
      </c>
      <c r="Q48" s="4">
        <f>_xlfn.XLOOKUP(الجدول1[[#This Row],[القرية– البلدة]],[2]!الجدول1[القرية– البلدة],[2]!الجدول1[Longitude])</f>
        <v>36.198970406768296</v>
      </c>
    </row>
    <row r="49" spans="2:17" ht="15">
      <c r="B49" t="s">
        <v>614</v>
      </c>
      <c r="C49" t="s">
        <v>154</v>
      </c>
      <c r="D49" t="s">
        <v>128</v>
      </c>
      <c r="E49" t="s">
        <v>1862</v>
      </c>
      <c r="F49" t="s">
        <v>346</v>
      </c>
      <c r="G49" t="s">
        <v>347</v>
      </c>
      <c r="H49" t="s">
        <v>124</v>
      </c>
      <c r="I49">
        <v>1</v>
      </c>
      <c r="J49" t="s">
        <v>108</v>
      </c>
      <c r="K49" t="s">
        <v>730</v>
      </c>
      <c r="L49" t="s">
        <v>690</v>
      </c>
      <c r="M49" t="s">
        <v>27</v>
      </c>
      <c r="N49" t="s">
        <v>387</v>
      </c>
      <c r="O49" t="str">
        <f>_xlfn.XLOOKUP(E49,[1]syr_populatedplaces!$L:$L,[1]syr_populatedplaces!$M:$M)</f>
        <v>C2611</v>
      </c>
      <c r="P49" s="4">
        <f>_xlfn.XLOOKUP(الجدول1[[#This Row],[القرية– البلدة]],[1]syr_populatedplaces!$L:$L,[1]syr_populatedplaces!$AD:$AD)</f>
        <v>34.775085449999999</v>
      </c>
      <c r="Q49" s="4">
        <f>_xlfn.XLOOKUP(الجدول1[[#This Row],[القرية– البلدة]],[1]syr_populatedplaces!$L:$L,[1]syr_populatedplaces!$AC:$AC)</f>
        <v>36.922912599999997</v>
      </c>
    </row>
    <row r="50" spans="2:17" ht="15">
      <c r="B50" t="s">
        <v>614</v>
      </c>
      <c r="C50" t="s">
        <v>154</v>
      </c>
      <c r="D50" t="s">
        <v>128</v>
      </c>
      <c r="E50" t="s">
        <v>488</v>
      </c>
      <c r="F50" t="s">
        <v>346</v>
      </c>
      <c r="G50" t="s">
        <v>347</v>
      </c>
      <c r="H50" t="s">
        <v>124</v>
      </c>
      <c r="I50">
        <v>1</v>
      </c>
      <c r="J50" t="s">
        <v>108</v>
      </c>
      <c r="K50" t="s">
        <v>730</v>
      </c>
      <c r="L50" t="s">
        <v>690</v>
      </c>
      <c r="M50" t="s">
        <v>27</v>
      </c>
      <c r="N50" t="s">
        <v>387</v>
      </c>
      <c r="O50" t="e">
        <f>_xlfn.XLOOKUP(E50,[1]syr_populatedplaces!$L:$L,[1]syr_populatedplaces!$M:$M)</f>
        <v>#N/A</v>
      </c>
      <c r="P50">
        <f>_xlfn.XLOOKUP(الجدول1[[#This Row],[القرية– البلدة]],[2]Storm_GIS!$E:$E,[2]Storm_GIS!$P:$P)</f>
        <v>35.650346480191999</v>
      </c>
      <c r="Q50" s="4">
        <f>_xlfn.XLOOKUP(الجدول1[[#This Row],[القرية– البلدة]],[2]!الجدول1[القرية– البلدة],[2]!الجدول1[Longitude])</f>
        <v>36.198970406768296</v>
      </c>
    </row>
    <row r="51" spans="2:17" ht="15">
      <c r="B51" t="s">
        <v>614</v>
      </c>
      <c r="C51" t="s">
        <v>154</v>
      </c>
      <c r="D51" t="s">
        <v>128</v>
      </c>
      <c r="E51" t="s">
        <v>750</v>
      </c>
      <c r="F51" t="s">
        <v>346</v>
      </c>
      <c r="G51" t="s">
        <v>347</v>
      </c>
      <c r="H51" t="s">
        <v>124</v>
      </c>
      <c r="I51">
        <v>1</v>
      </c>
      <c r="J51" t="s">
        <v>108</v>
      </c>
      <c r="K51" t="s">
        <v>730</v>
      </c>
      <c r="L51" t="s">
        <v>690</v>
      </c>
      <c r="M51" t="s">
        <v>27</v>
      </c>
      <c r="N51" t="s">
        <v>387</v>
      </c>
      <c r="O51" t="e">
        <f>_xlfn.XLOOKUP(E51,[1]syr_populatedplaces!$L:$L,[1]syr_populatedplaces!$M:$M)</f>
        <v>#N/A</v>
      </c>
      <c r="P51">
        <f>_xlfn.XLOOKUP(الجدول1[[#This Row],[القرية– البلدة]],[2]Storm_GIS!$E:$E,[2]Storm_GIS!$P:$P)</f>
        <v>35.703941215407497</v>
      </c>
      <c r="Q51" s="4">
        <f>_xlfn.XLOOKUP(الجدول1[[#This Row],[القرية– البلدة]],[2]!الجدول1[القرية– البلدة],[2]!الجدول1[Longitude])</f>
        <v>36.216792113176503</v>
      </c>
    </row>
    <row r="52" spans="2:17" ht="15">
      <c r="B52" t="s">
        <v>614</v>
      </c>
      <c r="C52" t="s">
        <v>154</v>
      </c>
      <c r="D52" t="s">
        <v>128</v>
      </c>
      <c r="E52" t="s">
        <v>753</v>
      </c>
      <c r="F52" t="s">
        <v>346</v>
      </c>
      <c r="G52" t="s">
        <v>347</v>
      </c>
      <c r="H52" t="s">
        <v>124</v>
      </c>
      <c r="I52">
        <v>1</v>
      </c>
      <c r="J52" t="s">
        <v>108</v>
      </c>
      <c r="K52" t="s">
        <v>730</v>
      </c>
      <c r="L52" t="s">
        <v>690</v>
      </c>
      <c r="M52" t="s">
        <v>27</v>
      </c>
      <c r="N52" t="s">
        <v>387</v>
      </c>
      <c r="O52" t="e">
        <f>_xlfn.XLOOKUP(E52,[1]syr_populatedplaces!$L:$L,[1]syr_populatedplaces!$M:$M)</f>
        <v>#N/A</v>
      </c>
      <c r="P52">
        <f>_xlfn.XLOOKUP(الجدول1[[#This Row],[القرية– البلدة]],[2]Storm_GIS!$E:$E,[2]Storm_GIS!$P:$P)</f>
        <v>35.564938585747697</v>
      </c>
      <c r="Q52" s="4">
        <f>_xlfn.XLOOKUP(الجدول1[[#This Row],[القرية– البلدة]],[2]!الجدول1[القرية– البلدة],[2]!الجدول1[Longitude])</f>
        <v>35.7488791022936</v>
      </c>
    </row>
    <row r="53" spans="2:17" ht="15">
      <c r="B53" t="s">
        <v>614</v>
      </c>
      <c r="C53" t="s">
        <v>154</v>
      </c>
      <c r="D53" t="s">
        <v>128</v>
      </c>
      <c r="E53" t="s">
        <v>740</v>
      </c>
      <c r="F53" t="s">
        <v>346</v>
      </c>
      <c r="G53" t="s">
        <v>347</v>
      </c>
      <c r="H53" t="s">
        <v>124</v>
      </c>
      <c r="I53">
        <v>1</v>
      </c>
      <c r="J53" t="s">
        <v>108</v>
      </c>
      <c r="K53" t="s">
        <v>730</v>
      </c>
      <c r="L53" t="s">
        <v>690</v>
      </c>
      <c r="M53" t="s">
        <v>27</v>
      </c>
      <c r="N53" t="s">
        <v>387</v>
      </c>
      <c r="O53" t="str">
        <f>_xlfn.XLOOKUP(E53,[1]syr_populatedplaces!$L:$L,[1]syr_populatedplaces!$M:$M)</f>
        <v>C3857</v>
      </c>
      <c r="P53">
        <f>_xlfn.XLOOKUP(الجدول1[[#This Row],[القرية– البلدة]],[2]Storm_GIS!$E:$E,[2]Storm_GIS!$P:$P)</f>
        <v>35.49353</v>
      </c>
      <c r="Q53" s="4">
        <f>_xlfn.XLOOKUP(الجدول1[[#This Row],[القرية– البلدة]],[2]!الجدول1[القرية– البلدة],[2]!الجدول1[Longitude])</f>
        <v>36.171875</v>
      </c>
    </row>
    <row r="54" spans="2:17" ht="15">
      <c r="B54" t="s">
        <v>614</v>
      </c>
      <c r="C54" t="s">
        <v>154</v>
      </c>
      <c r="D54" t="s">
        <v>128</v>
      </c>
      <c r="E54" t="s">
        <v>1863</v>
      </c>
      <c r="F54" t="s">
        <v>346</v>
      </c>
      <c r="G54" t="s">
        <v>347</v>
      </c>
      <c r="H54" t="s">
        <v>124</v>
      </c>
      <c r="I54">
        <v>1</v>
      </c>
      <c r="J54" t="s">
        <v>108</v>
      </c>
      <c r="K54" t="s">
        <v>730</v>
      </c>
      <c r="L54" t="s">
        <v>690</v>
      </c>
      <c r="M54" t="s">
        <v>27</v>
      </c>
      <c r="N54" t="s">
        <v>387</v>
      </c>
      <c r="O54" t="e">
        <f>_xlfn.XLOOKUP(E54,[1]syr_populatedplaces!$L:$L,[1]syr_populatedplaces!$M:$M)</f>
        <v>#N/A</v>
      </c>
      <c r="P54" s="4" t="e">
        <f>_xlfn.XLOOKUP(الجدول1[[#This Row],[القرية– البلدة]],[1]syr_populatedplaces!$L:$L,[1]syr_populatedplaces!$AD:$AD)</f>
        <v>#N/A</v>
      </c>
      <c r="Q54" s="4" t="e">
        <f>_xlfn.XLOOKUP(الجدول1[[#This Row],[القرية– البلدة]],[1]syr_populatedplaces!$L:$L,[1]syr_populatedplaces!$AC:$AC)</f>
        <v>#N/A</v>
      </c>
    </row>
    <row r="55" spans="2:17" ht="15">
      <c r="B55" t="s">
        <v>614</v>
      </c>
      <c r="C55" t="s">
        <v>154</v>
      </c>
      <c r="D55" t="s">
        <v>128</v>
      </c>
      <c r="E55" t="s">
        <v>759</v>
      </c>
      <c r="F55" t="s">
        <v>346</v>
      </c>
      <c r="G55" t="s">
        <v>347</v>
      </c>
      <c r="H55" t="s">
        <v>124</v>
      </c>
      <c r="I55">
        <v>1</v>
      </c>
      <c r="J55" t="s">
        <v>108</v>
      </c>
      <c r="K55" t="s">
        <v>730</v>
      </c>
      <c r="L55" t="s">
        <v>690</v>
      </c>
      <c r="M55" t="s">
        <v>27</v>
      </c>
      <c r="N55" t="s">
        <v>387</v>
      </c>
      <c r="O55" t="e">
        <f>_xlfn.XLOOKUP(E55,[1]syr_populatedplaces!$L:$L,[1]syr_populatedplaces!$M:$M)</f>
        <v>#N/A</v>
      </c>
      <c r="P55">
        <f>_xlfn.XLOOKUP(الجدول1[[#This Row],[القرية– البلدة]],[2]Storm_GIS!$E:$E,[2]Storm_GIS!$P:$P)</f>
        <v>35.707765255761899</v>
      </c>
      <c r="Q55" s="4">
        <f>_xlfn.XLOOKUP(الجدول1[[#This Row],[القرية– البلدة]],[2]!الجدول1[القرية– البلدة],[2]!الجدول1[Longitude])</f>
        <v>36.217571595974</v>
      </c>
    </row>
    <row r="56" spans="2:17" ht="15">
      <c r="B56" t="s">
        <v>17</v>
      </c>
      <c r="C56" t="s">
        <v>154</v>
      </c>
      <c r="D56" t="s">
        <v>211</v>
      </c>
      <c r="E56" t="s">
        <v>215</v>
      </c>
      <c r="F56" t="s">
        <v>96</v>
      </c>
      <c r="G56" t="s">
        <v>212</v>
      </c>
      <c r="H56" t="s">
        <v>124</v>
      </c>
      <c r="I56">
        <v>1</v>
      </c>
      <c r="J56" t="s">
        <v>99</v>
      </c>
      <c r="K56" t="s">
        <v>213</v>
      </c>
      <c r="L56" t="s">
        <v>214</v>
      </c>
      <c r="M56" t="s">
        <v>27</v>
      </c>
      <c r="N56" t="s">
        <v>24</v>
      </c>
      <c r="O56" t="s">
        <v>216</v>
      </c>
      <c r="P56">
        <f>_xlfn.XLOOKUP(الجدول1[[#This Row],[القرية– البلدة]],[2]Storm_GIS!$E:$E,[2]Storm_GIS!$P:$P)</f>
        <v>35.364502000000002</v>
      </c>
      <c r="Q56" s="4">
        <f>_xlfn.XLOOKUP(الجدول1[[#This Row],[القرية– البلدة]],[2]!الجدول1[القرية– البلدة],[2]!الجدول1[Longitude])</f>
        <v>35.930481</v>
      </c>
    </row>
    <row r="57" spans="2:17" ht="15">
      <c r="B57" t="s">
        <v>17</v>
      </c>
      <c r="C57" t="s">
        <v>154</v>
      </c>
      <c r="D57" t="s">
        <v>211</v>
      </c>
      <c r="E57" t="s">
        <v>1789</v>
      </c>
      <c r="F57" t="s">
        <v>96</v>
      </c>
      <c r="G57" t="s">
        <v>212</v>
      </c>
      <c r="H57" t="s">
        <v>124</v>
      </c>
      <c r="I57">
        <v>1</v>
      </c>
      <c r="J57" t="s">
        <v>99</v>
      </c>
      <c r="K57" t="s">
        <v>213</v>
      </c>
      <c r="L57" t="s">
        <v>214</v>
      </c>
      <c r="M57" t="s">
        <v>27</v>
      </c>
      <c r="N57" t="s">
        <v>24</v>
      </c>
      <c r="O57" t="str">
        <f>_xlfn.XLOOKUP(E57,[1]syr_populatedplaces!$L:$L,[1]syr_populatedplaces!$M:$M)</f>
        <v>C8341</v>
      </c>
      <c r="P57">
        <f>_xlfn.XLOOKUP(الجدول1[[#This Row],[القرية– البلدة]],[2]Storm_GIS!$E:$E,[2]Storm_GIS!$P:$P)</f>
        <v>35.852752000000002</v>
      </c>
      <c r="Q57" s="4">
        <f>_xlfn.XLOOKUP(الجدول1[[#This Row],[القرية– البلدة]],[2]!الجدول1[القرية– البلدة],[2]!الجدول1[Longitude])</f>
        <v>35.804462999999998</v>
      </c>
    </row>
    <row r="58" spans="2:17" ht="15">
      <c r="B58" t="s">
        <v>614</v>
      </c>
      <c r="C58" t="s">
        <v>154</v>
      </c>
      <c r="D58" t="s">
        <v>128</v>
      </c>
      <c r="E58" t="s">
        <v>760</v>
      </c>
      <c r="F58" t="s">
        <v>346</v>
      </c>
      <c r="G58" t="s">
        <v>347</v>
      </c>
      <c r="H58" t="s">
        <v>124</v>
      </c>
      <c r="I58">
        <v>1</v>
      </c>
      <c r="J58" t="s">
        <v>108</v>
      </c>
      <c r="K58" t="s">
        <v>730</v>
      </c>
      <c r="L58" t="s">
        <v>690</v>
      </c>
      <c r="M58" t="s">
        <v>27</v>
      </c>
      <c r="N58" t="s">
        <v>387</v>
      </c>
      <c r="O58" t="e">
        <f>_xlfn.XLOOKUP(E58,[1]syr_populatedplaces!$L:$L,[1]syr_populatedplaces!$M:$M)</f>
        <v>#N/A</v>
      </c>
      <c r="P58" s="4" t="e">
        <f>_xlfn.XLOOKUP(الجدول1[[#This Row],[القرية– البلدة]],[1]syr_populatedplaces!$L:$L,[1]syr_populatedplaces!$AD:$AD)</f>
        <v>#N/A</v>
      </c>
      <c r="Q58" s="4" t="e">
        <f>_xlfn.XLOOKUP(الجدول1[[#This Row],[القرية– البلدة]],[1]syr_populatedplaces!$L:$L,[1]syr_populatedplaces!$AC:$AC)</f>
        <v>#N/A</v>
      </c>
    </row>
    <row r="59" spans="2:17" ht="15">
      <c r="B59" t="s">
        <v>614</v>
      </c>
      <c r="C59" t="s">
        <v>154</v>
      </c>
      <c r="D59" t="s">
        <v>128</v>
      </c>
      <c r="E59" t="s">
        <v>154</v>
      </c>
      <c r="F59" t="s">
        <v>346</v>
      </c>
      <c r="G59" t="s">
        <v>254</v>
      </c>
      <c r="H59" t="s">
        <v>260</v>
      </c>
      <c r="I59">
        <v>12</v>
      </c>
      <c r="J59" t="s">
        <v>108</v>
      </c>
      <c r="K59" t="s">
        <v>761</v>
      </c>
      <c r="L59" t="s">
        <v>762</v>
      </c>
      <c r="M59" t="s">
        <v>27</v>
      </c>
      <c r="N59" t="s">
        <v>387</v>
      </c>
      <c r="O59" t="str">
        <f>_xlfn.XLOOKUP(E59,[1]syr_populatedplaces!$L:$L,[1]syr_populatedplaces!$M:$M)</f>
        <v>C3480</v>
      </c>
      <c r="P59">
        <f>_xlfn.XLOOKUP(الجدول1[[#This Row],[القرية– البلدة]],[2]Storm_GIS!$E:$E,[2]Storm_GIS!$P:$P)</f>
        <v>35.539123539999999</v>
      </c>
      <c r="Q59" s="4">
        <f>_xlfn.XLOOKUP(الجدول1[[#This Row],[القرية– البلدة]],[2]!الجدول1[القرية– البلدة],[2]!الجدول1[Longitude])</f>
        <v>35.789672850000002</v>
      </c>
    </row>
    <row r="60" spans="2:17" ht="15">
      <c r="B60" t="s">
        <v>17</v>
      </c>
      <c r="C60" t="s">
        <v>154</v>
      </c>
      <c r="D60" t="s">
        <v>211</v>
      </c>
      <c r="E60" t="s">
        <v>217</v>
      </c>
      <c r="F60" t="s">
        <v>96</v>
      </c>
      <c r="G60" t="s">
        <v>212</v>
      </c>
      <c r="H60" t="s">
        <v>124</v>
      </c>
      <c r="I60">
        <v>1</v>
      </c>
      <c r="J60" t="s">
        <v>99</v>
      </c>
      <c r="K60" t="s">
        <v>213</v>
      </c>
      <c r="L60" t="s">
        <v>214</v>
      </c>
      <c r="M60" t="s">
        <v>27</v>
      </c>
      <c r="N60" t="s">
        <v>24</v>
      </c>
      <c r="O60" t="s">
        <v>218</v>
      </c>
      <c r="P60">
        <f>_xlfn.XLOOKUP(الجدول1[[#This Row],[القرية– البلدة]],[2]Storm_GIS!$E:$E,[2]Storm_GIS!$P:$P)</f>
        <v>35.723511000000002</v>
      </c>
      <c r="Q60" s="4">
        <f>_xlfn.XLOOKUP(الجدول1[[#This Row],[القرية– البلدة]],[2]!الجدول1[القرية– البلدة],[2]!الجدول1[Longitude])</f>
        <v>36.081909000000003</v>
      </c>
    </row>
    <row r="61" spans="2:17" ht="15">
      <c r="B61" t="s">
        <v>17</v>
      </c>
      <c r="C61" t="s">
        <v>154</v>
      </c>
      <c r="D61" t="s">
        <v>211</v>
      </c>
      <c r="E61" t="s">
        <v>219</v>
      </c>
      <c r="F61" t="s">
        <v>96</v>
      </c>
      <c r="G61" t="s">
        <v>212</v>
      </c>
      <c r="H61" t="s">
        <v>124</v>
      </c>
      <c r="I61">
        <v>1</v>
      </c>
      <c r="J61" t="s">
        <v>99</v>
      </c>
      <c r="K61" t="s">
        <v>213</v>
      </c>
      <c r="L61" t="s">
        <v>214</v>
      </c>
      <c r="M61" t="s">
        <v>27</v>
      </c>
      <c r="N61" t="s">
        <v>24</v>
      </c>
      <c r="O61" t="s">
        <v>220</v>
      </c>
      <c r="P61">
        <f>_xlfn.XLOOKUP(الجدول1[[#This Row],[القرية– البلدة]],[2]Storm_GIS!$E:$E,[2]Storm_GIS!$P:$P)</f>
        <v>35.790100000000002</v>
      </c>
      <c r="Q61" s="4">
        <f>_xlfn.XLOOKUP(الجدول1[[#This Row],[القرية– البلدة]],[2]!الجدول1[القرية– البلدة],[2]!الجدول1[Longitude])</f>
        <v>36.102294999999998</v>
      </c>
    </row>
    <row r="62" spans="2:17" ht="15">
      <c r="B62" t="s">
        <v>17</v>
      </c>
      <c r="C62" t="s">
        <v>154</v>
      </c>
      <c r="D62" t="s">
        <v>211</v>
      </c>
      <c r="E62" t="s">
        <v>221</v>
      </c>
      <c r="F62" t="s">
        <v>96</v>
      </c>
      <c r="G62" t="s">
        <v>212</v>
      </c>
      <c r="H62" t="s">
        <v>124</v>
      </c>
      <c r="I62">
        <v>1</v>
      </c>
      <c r="J62" t="s">
        <v>99</v>
      </c>
      <c r="K62" t="s">
        <v>213</v>
      </c>
      <c r="L62" t="s">
        <v>214</v>
      </c>
      <c r="M62" t="s">
        <v>27</v>
      </c>
      <c r="N62" t="s">
        <v>24</v>
      </c>
      <c r="O62" t="s">
        <v>222</v>
      </c>
      <c r="P62">
        <f>_xlfn.XLOOKUP(الجدول1[[#This Row],[القرية– البلدة]],[2]Storm_GIS!$E:$E,[2]Storm_GIS!$P:$P)</f>
        <v>35.751708999999998</v>
      </c>
      <c r="Q62" s="4">
        <f>_xlfn.XLOOKUP(الجدول1[[#This Row],[القرية– البلدة]],[2]!الجدول1[القرية– البلدة],[2]!الجدول1[Longitude])</f>
        <v>36.103270999999999</v>
      </c>
    </row>
    <row r="63" spans="2:17" ht="15">
      <c r="B63" t="s">
        <v>614</v>
      </c>
      <c r="C63" t="s">
        <v>154</v>
      </c>
      <c r="D63" t="s">
        <v>128</v>
      </c>
      <c r="E63" t="s">
        <v>154</v>
      </c>
      <c r="F63" t="s">
        <v>346</v>
      </c>
      <c r="G63" t="s">
        <v>672</v>
      </c>
      <c r="H63" t="s">
        <v>260</v>
      </c>
      <c r="I63">
        <v>8</v>
      </c>
      <c r="J63" t="s">
        <v>108</v>
      </c>
      <c r="K63" t="s">
        <v>763</v>
      </c>
      <c r="L63" t="s">
        <v>764</v>
      </c>
      <c r="M63" t="s">
        <v>27</v>
      </c>
      <c r="N63" t="s">
        <v>108</v>
      </c>
      <c r="O63" t="str">
        <f>_xlfn.XLOOKUP(E63,[1]syr_populatedplaces!$L:$L,[1]syr_populatedplaces!$M:$M)</f>
        <v>C3480</v>
      </c>
      <c r="P63">
        <f>_xlfn.XLOOKUP(الجدول1[[#This Row],[القرية– البلدة]],[2]Storm_GIS!$E:$E,[2]Storm_GIS!$P:$P)</f>
        <v>35.539123539999999</v>
      </c>
      <c r="Q63" s="4">
        <f>_xlfn.XLOOKUP(الجدول1[[#This Row],[القرية– البلدة]],[2]!الجدول1[القرية– البلدة],[2]!الجدول1[Longitude])</f>
        <v>35.789672850000002</v>
      </c>
    </row>
    <row r="64" spans="2:17" ht="15">
      <c r="B64" t="s">
        <v>614</v>
      </c>
      <c r="C64" t="s">
        <v>154</v>
      </c>
      <c r="D64" t="s">
        <v>128</v>
      </c>
      <c r="E64" t="s">
        <v>740</v>
      </c>
      <c r="F64" t="s">
        <v>346</v>
      </c>
      <c r="G64" t="s">
        <v>506</v>
      </c>
      <c r="H64" t="s">
        <v>124</v>
      </c>
      <c r="I64">
        <v>1</v>
      </c>
      <c r="J64" t="s">
        <v>99</v>
      </c>
      <c r="K64" t="s">
        <v>765</v>
      </c>
      <c r="L64" t="s">
        <v>508</v>
      </c>
      <c r="M64" t="s">
        <v>27</v>
      </c>
      <c r="N64" t="s">
        <v>99</v>
      </c>
      <c r="O64" t="str">
        <f>_xlfn.XLOOKUP(E64,[1]syr_populatedplaces!$L:$L,[1]syr_populatedplaces!$M:$M)</f>
        <v>C3857</v>
      </c>
      <c r="P64">
        <f>_xlfn.XLOOKUP(الجدول1[[#This Row],[القرية– البلدة]],[2]Storm_GIS!$E:$E,[2]Storm_GIS!$P:$P)</f>
        <v>35.49353</v>
      </c>
      <c r="Q64" s="4">
        <f>_xlfn.XLOOKUP(الجدول1[[#This Row],[القرية– البلدة]],[2]!الجدول1[القرية– البلدة],[2]!الجدول1[Longitude])</f>
        <v>36.171875</v>
      </c>
    </row>
    <row r="65" spans="2:17" ht="15">
      <c r="B65" t="s">
        <v>614</v>
      </c>
      <c r="C65" t="s">
        <v>154</v>
      </c>
      <c r="D65" t="s">
        <v>128</v>
      </c>
      <c r="E65" t="s">
        <v>766</v>
      </c>
      <c r="F65" t="s">
        <v>346</v>
      </c>
      <c r="G65" t="s">
        <v>767</v>
      </c>
      <c r="H65" t="s">
        <v>260</v>
      </c>
      <c r="I65">
        <v>1</v>
      </c>
      <c r="J65" t="s">
        <v>108</v>
      </c>
      <c r="K65" t="s">
        <v>768</v>
      </c>
      <c r="L65" t="s">
        <v>769</v>
      </c>
      <c r="M65" t="s">
        <v>27</v>
      </c>
      <c r="N65" t="s">
        <v>387</v>
      </c>
      <c r="O65" t="e">
        <f>_xlfn.XLOOKUP(E65,[1]syr_populatedplaces!$L:$L,[1]syr_populatedplaces!$M:$M)</f>
        <v>#N/A</v>
      </c>
      <c r="P65" s="4" t="e">
        <f>_xlfn.XLOOKUP(الجدول1[[#This Row],[القرية– البلدة]],[1]syr_populatedplaces!$L:$L,[1]syr_populatedplaces!$AD:$AD)</f>
        <v>#N/A</v>
      </c>
      <c r="Q65" s="4" t="e">
        <f>_xlfn.XLOOKUP(الجدول1[[#This Row],[القرية– البلدة]],[1]syr_populatedplaces!$L:$L,[1]syr_populatedplaces!$AC:$AC)</f>
        <v>#N/A</v>
      </c>
    </row>
    <row r="66" spans="2:17" ht="15">
      <c r="B66" t="s">
        <v>17</v>
      </c>
      <c r="C66" t="s">
        <v>154</v>
      </c>
      <c r="D66" t="s">
        <v>128</v>
      </c>
      <c r="E66" t="s">
        <v>235</v>
      </c>
      <c r="F66" t="s">
        <v>96</v>
      </c>
      <c r="G66" t="s">
        <v>224</v>
      </c>
      <c r="H66" t="s">
        <v>225</v>
      </c>
      <c r="I66">
        <v>1</v>
      </c>
      <c r="J66" t="s">
        <v>24</v>
      </c>
      <c r="K66" t="s">
        <v>226</v>
      </c>
      <c r="L66" t="s">
        <v>227</v>
      </c>
      <c r="M66" t="s">
        <v>27</v>
      </c>
      <c r="N66" t="s">
        <v>108</v>
      </c>
      <c r="O66" t="str">
        <f>_xlfn.XLOOKUP(E66,[1]syr_populatedplaces!$L:$L,[1]syr_populatedplaces!$M:$M)</f>
        <v>C3671</v>
      </c>
      <c r="P66">
        <f>_xlfn.XLOOKUP(الجدول1[[#This Row],[القرية– البلدة]],[2]Storm_GIS!$E:$E,[2]Storm_GIS!$P:$P)</f>
        <v>35.599487000000003</v>
      </c>
      <c r="Q66" s="4">
        <f>_xlfn.XLOOKUP(الجدول1[[#This Row],[القرية– البلدة]],[2]!الجدول1[القرية– البلدة],[2]!الجدول1[Longitude])</f>
        <v>36.034911999999998</v>
      </c>
    </row>
    <row r="67" spans="2:17" ht="15">
      <c r="B67" t="s">
        <v>809</v>
      </c>
      <c r="C67" t="s">
        <v>154</v>
      </c>
      <c r="D67" t="s">
        <v>235</v>
      </c>
      <c r="E67" t="s">
        <v>235</v>
      </c>
      <c r="F67" t="s">
        <v>812</v>
      </c>
      <c r="G67" t="s">
        <v>496</v>
      </c>
      <c r="H67" t="s">
        <v>919</v>
      </c>
      <c r="I67">
        <v>1</v>
      </c>
      <c r="J67" t="s">
        <v>99</v>
      </c>
      <c r="K67" t="s">
        <v>558</v>
      </c>
      <c r="L67" t="s">
        <v>360</v>
      </c>
      <c r="M67" t="s">
        <v>27</v>
      </c>
      <c r="N67" t="s">
        <v>99</v>
      </c>
      <c r="O67" t="str">
        <f>_xlfn.XLOOKUP(E67,[1]syr_populatedplaces!$L:$L,[1]syr_populatedplaces!$M:$M)</f>
        <v>C3671</v>
      </c>
      <c r="P67">
        <f>_xlfn.XLOOKUP(الجدول1[[#This Row],[القرية– البلدة]],[2]Storm_GIS!$E:$E,[2]Storm_GIS!$P:$P)</f>
        <v>35.599487000000003</v>
      </c>
      <c r="Q67" s="4">
        <f>_xlfn.XLOOKUP(الجدول1[[#This Row],[القرية– البلدة]],[2]!الجدول1[القرية– البلدة],[2]!الجدول1[Longitude])</f>
        <v>36.034911999999998</v>
      </c>
    </row>
    <row r="68" spans="2:17" ht="15">
      <c r="B68" t="s">
        <v>809</v>
      </c>
      <c r="C68" t="s">
        <v>154</v>
      </c>
      <c r="D68" t="s">
        <v>27</v>
      </c>
      <c r="E68" t="s">
        <v>1864</v>
      </c>
      <c r="F68" t="s">
        <v>812</v>
      </c>
      <c r="G68" t="s">
        <v>873</v>
      </c>
      <c r="H68" t="s">
        <v>920</v>
      </c>
      <c r="I68">
        <v>1</v>
      </c>
      <c r="J68" t="s">
        <v>99</v>
      </c>
      <c r="K68" t="s">
        <v>921</v>
      </c>
      <c r="L68" t="s">
        <v>825</v>
      </c>
      <c r="M68" t="s">
        <v>27</v>
      </c>
      <c r="N68" t="s">
        <v>99</v>
      </c>
      <c r="O68" t="str">
        <f>_xlfn.XLOOKUP(E68,[1]syr_populatedplaces!$L:$L,[1]syr_populatedplaces!$M:$M)</f>
        <v>C3546</v>
      </c>
      <c r="P68">
        <v>35.961303710000003</v>
      </c>
      <c r="Q68" s="4">
        <v>35.779724119999997</v>
      </c>
    </row>
    <row r="69" spans="2:17" ht="15">
      <c r="B69" t="s">
        <v>17</v>
      </c>
      <c r="C69" t="s">
        <v>154</v>
      </c>
      <c r="D69" t="s">
        <v>128</v>
      </c>
      <c r="E69" t="s">
        <v>215</v>
      </c>
      <c r="F69" t="s">
        <v>96</v>
      </c>
      <c r="G69" t="s">
        <v>224</v>
      </c>
      <c r="H69" t="s">
        <v>225</v>
      </c>
      <c r="I69">
        <v>1</v>
      </c>
      <c r="J69" t="s">
        <v>24</v>
      </c>
      <c r="K69" t="s">
        <v>226</v>
      </c>
      <c r="L69" t="s">
        <v>227</v>
      </c>
      <c r="M69" t="s">
        <v>27</v>
      </c>
      <c r="N69" t="s">
        <v>108</v>
      </c>
      <c r="O69" t="s">
        <v>216</v>
      </c>
      <c r="P69">
        <f>_xlfn.XLOOKUP(الجدول1[[#This Row],[القرية– البلدة]],[2]Storm_GIS!$E:$E,[2]Storm_GIS!$P:$P)</f>
        <v>35.364502000000002</v>
      </c>
      <c r="Q69" s="4">
        <f>_xlfn.XLOOKUP(الجدول1[[#This Row],[القرية– البلدة]],[2]!الجدول1[القرية– البلدة],[2]!الجدول1[Longitude])</f>
        <v>35.930481</v>
      </c>
    </row>
    <row r="70" spans="2:17" ht="15">
      <c r="B70" t="s">
        <v>17</v>
      </c>
      <c r="C70" t="s">
        <v>154</v>
      </c>
      <c r="D70" t="s">
        <v>128</v>
      </c>
      <c r="E70" t="s">
        <v>230</v>
      </c>
      <c r="F70" t="s">
        <v>96</v>
      </c>
      <c r="G70" t="s">
        <v>224</v>
      </c>
      <c r="H70" t="s">
        <v>225</v>
      </c>
      <c r="I70">
        <v>1</v>
      </c>
      <c r="J70" t="s">
        <v>24</v>
      </c>
      <c r="K70" t="s">
        <v>226</v>
      </c>
      <c r="L70" t="s">
        <v>227</v>
      </c>
      <c r="M70" t="s">
        <v>27</v>
      </c>
      <c r="N70" t="s">
        <v>108</v>
      </c>
      <c r="O70" t="s">
        <v>231</v>
      </c>
      <c r="P70">
        <f>_xlfn.XLOOKUP(الجدول1[[#This Row],[القرية– البلدة]],[2]Storm_GIS!$E:$E,[2]Storm_GIS!$P:$P)</f>
        <v>35.397095</v>
      </c>
      <c r="Q70" s="4">
        <f>_xlfn.XLOOKUP(الجدول1[[#This Row],[القرية– البلدة]],[2]!الجدول1[القرية– البلدة],[2]!الجدول1[Longitude])</f>
        <v>36.030090000000001</v>
      </c>
    </row>
    <row r="71" spans="2:17" ht="15">
      <c r="B71" t="s">
        <v>809</v>
      </c>
      <c r="C71" t="s">
        <v>154</v>
      </c>
      <c r="D71" t="s">
        <v>27</v>
      </c>
      <c r="E71" t="s">
        <v>922</v>
      </c>
      <c r="F71" t="s">
        <v>812</v>
      </c>
      <c r="G71" t="s">
        <v>873</v>
      </c>
      <c r="H71" t="s">
        <v>920</v>
      </c>
      <c r="I71">
        <v>1</v>
      </c>
      <c r="J71" t="s">
        <v>99</v>
      </c>
      <c r="K71" t="s">
        <v>921</v>
      </c>
      <c r="L71" t="s">
        <v>825</v>
      </c>
      <c r="M71" t="s">
        <v>27</v>
      </c>
      <c r="N71" t="s">
        <v>99</v>
      </c>
      <c r="O71" t="e">
        <f>_xlfn.XLOOKUP(E71,[1]syr_populatedplaces!$L:$L,[1]syr_populatedplaces!$M:$M)</f>
        <v>#N/A</v>
      </c>
      <c r="P71">
        <f>_xlfn.XLOOKUP(الجدول1[[#This Row],[القرية– البلدة]],[2]Storm_GIS!$E:$E,[2]Storm_GIS!$P:$P)</f>
        <v>35.506031533277699</v>
      </c>
      <c r="Q71" s="4">
        <f>_xlfn.XLOOKUP(الجدول1[[#This Row],[القرية– البلدة]],[2]!الجدول1[القرية– البلدة],[2]!الجدول1[Longitude])</f>
        <v>35.814179572442598</v>
      </c>
    </row>
    <row r="72" spans="2:17">
      <c r="B72" t="s">
        <v>17</v>
      </c>
      <c r="C72" t="s">
        <v>154</v>
      </c>
      <c r="D72" t="s">
        <v>128</v>
      </c>
      <c r="E72" t="s">
        <v>233</v>
      </c>
      <c r="F72" t="s">
        <v>96</v>
      </c>
      <c r="G72" t="s">
        <v>224</v>
      </c>
      <c r="H72" t="s">
        <v>225</v>
      </c>
      <c r="I72">
        <v>1</v>
      </c>
      <c r="J72" t="s">
        <v>24</v>
      </c>
      <c r="K72" t="s">
        <v>226</v>
      </c>
      <c r="L72" t="s">
        <v>227</v>
      </c>
      <c r="M72" t="s">
        <v>27</v>
      </c>
      <c r="N72" t="s">
        <v>108</v>
      </c>
      <c r="O72" t="s">
        <v>234</v>
      </c>
      <c r="P72">
        <f>_xlfn.XLOOKUP(الجدول1[[#This Row],[القرية– البلدة]],[2]Storm_GIS!$E:$E,[2]Storm_GIS!$P:$P)</f>
        <v>36.046326000000001</v>
      </c>
      <c r="Q72">
        <v>36.491882320000002</v>
      </c>
    </row>
    <row r="73" spans="2:17">
      <c r="B73" t="s">
        <v>17</v>
      </c>
      <c r="C73" t="s">
        <v>154</v>
      </c>
      <c r="D73" t="s">
        <v>128</v>
      </c>
      <c r="E73" t="s">
        <v>235</v>
      </c>
      <c r="F73" t="s">
        <v>96</v>
      </c>
      <c r="G73" t="s">
        <v>224</v>
      </c>
      <c r="H73" t="s">
        <v>225</v>
      </c>
      <c r="I73">
        <v>1</v>
      </c>
      <c r="J73" t="s">
        <v>24</v>
      </c>
      <c r="K73" t="s">
        <v>226</v>
      </c>
      <c r="L73" t="s">
        <v>227</v>
      </c>
      <c r="M73" t="s">
        <v>27</v>
      </c>
      <c r="N73" t="s">
        <v>108</v>
      </c>
      <c r="O73" t="str">
        <f>_xlfn.XLOOKUP(E73,[1]syr_populatedplaces!$L:$L,[1]syr_populatedplaces!$M:$M)</f>
        <v>C3671</v>
      </c>
      <c r="P73">
        <f>_xlfn.XLOOKUP(الجدول1[[#This Row],[القرية– البلدة]],[2]Storm_GIS!$E:$E,[2]Storm_GIS!$P:$P)</f>
        <v>35.599487000000003</v>
      </c>
      <c r="Q73">
        <f>_xlfn.XLOOKUP(E73,[1]syr_populatedplaces!$L:$L,[1]syr_populatedplaces!$AC:$AC)</f>
        <v>36.03491211</v>
      </c>
    </row>
    <row r="74" spans="2:17">
      <c r="B74" t="s">
        <v>17</v>
      </c>
      <c r="C74" t="s">
        <v>154</v>
      </c>
      <c r="D74" t="s">
        <v>128</v>
      </c>
      <c r="E74" t="s">
        <v>235</v>
      </c>
      <c r="F74" t="s">
        <v>96</v>
      </c>
      <c r="G74" t="s">
        <v>236</v>
      </c>
      <c r="H74" t="s">
        <v>237</v>
      </c>
      <c r="I74">
        <v>1</v>
      </c>
      <c r="J74" t="s">
        <v>99</v>
      </c>
      <c r="K74" t="s">
        <v>238</v>
      </c>
      <c r="L74" t="s">
        <v>239</v>
      </c>
      <c r="M74" t="s">
        <v>27</v>
      </c>
      <c r="N74" t="s">
        <v>99</v>
      </c>
      <c r="O74" t="s">
        <v>240</v>
      </c>
      <c r="P74">
        <f>_xlfn.XLOOKUP(الجدول1[[#This Row],[القرية– البلدة]],[2]Storm_GIS!$E:$E,[2]Storm_GIS!$P:$P)</f>
        <v>35.599487000000003</v>
      </c>
      <c r="Q74">
        <v>36.03491211</v>
      </c>
    </row>
    <row r="75" spans="2:17">
      <c r="B75" t="s">
        <v>809</v>
      </c>
      <c r="C75" t="s">
        <v>154</v>
      </c>
      <c r="D75" t="s">
        <v>923</v>
      </c>
      <c r="E75" t="s">
        <v>924</v>
      </c>
      <c r="F75" t="s">
        <v>812</v>
      </c>
      <c r="G75" t="s">
        <v>925</v>
      </c>
      <c r="H75" t="s">
        <v>926</v>
      </c>
      <c r="I75">
        <v>1</v>
      </c>
      <c r="J75" t="s">
        <v>108</v>
      </c>
      <c r="K75" t="s">
        <v>927</v>
      </c>
      <c r="L75" t="s">
        <v>360</v>
      </c>
      <c r="M75" t="s">
        <v>27</v>
      </c>
      <c r="N75" t="s">
        <v>108</v>
      </c>
      <c r="O75" t="e">
        <f>_xlfn.XLOOKUP(E75,[1]syr_populatedplaces!$L:$L,[1]syr_populatedplaces!$M:$M)</f>
        <v>#N/A</v>
      </c>
      <c r="P75">
        <f>_xlfn.XLOOKUP(الجدول1[[#This Row],[القرية– البلدة]],[2]Storm_GIS!$E:$E,[2]Storm_GIS!$P:$P)</f>
        <v>35.583947858704903</v>
      </c>
      <c r="Q75">
        <v>35.588830399999999</v>
      </c>
    </row>
    <row r="76" spans="2:17">
      <c r="B76" t="s">
        <v>928</v>
      </c>
      <c r="C76" t="s">
        <v>154</v>
      </c>
      <c r="D76" t="s">
        <v>937</v>
      </c>
      <c r="E76" t="s">
        <v>937</v>
      </c>
      <c r="F76" t="s">
        <v>930</v>
      </c>
      <c r="G76" t="s">
        <v>938</v>
      </c>
      <c r="H76" t="s">
        <v>939</v>
      </c>
      <c r="I76">
        <v>1</v>
      </c>
      <c r="J76" t="s">
        <v>845</v>
      </c>
      <c r="K76" t="s">
        <v>940</v>
      </c>
      <c r="L76" t="s">
        <v>941</v>
      </c>
      <c r="M76" t="s">
        <v>942</v>
      </c>
      <c r="N76" t="s">
        <v>387</v>
      </c>
      <c r="O76" t="e">
        <f>_xlfn.XLOOKUP(E76,[1]syr_populatedplaces!$L:$L,[1]syr_populatedplaces!$M:$M)</f>
        <v>#N/A</v>
      </c>
      <c r="P76">
        <f>_xlfn.XLOOKUP(الجدول1[[#This Row],[القرية– البلدة]],[2]Storm_GIS!$E:$E,[2]Storm_GIS!$P:$P)</f>
        <v>35.813189696045697</v>
      </c>
      <c r="Q76">
        <v>35.814492999999999</v>
      </c>
    </row>
    <row r="77" spans="2:17">
      <c r="B77" t="s">
        <v>928</v>
      </c>
      <c r="C77" t="s">
        <v>154</v>
      </c>
      <c r="D77" t="s">
        <v>1037</v>
      </c>
      <c r="E77" t="s">
        <v>1860</v>
      </c>
      <c r="F77" t="s">
        <v>930</v>
      </c>
      <c r="G77" t="s">
        <v>1038</v>
      </c>
      <c r="H77" t="s">
        <v>1039</v>
      </c>
      <c r="I77">
        <v>1</v>
      </c>
      <c r="J77" t="s">
        <v>883</v>
      </c>
      <c r="K77" t="s">
        <v>1040</v>
      </c>
      <c r="L77" t="s">
        <v>1041</v>
      </c>
      <c r="M77" t="s">
        <v>1042</v>
      </c>
      <c r="N77" t="s">
        <v>387</v>
      </c>
      <c r="O77" t="str">
        <f>_xlfn.XLOOKUP(E77,[1]syr_populatedplaces!$L:$L,[1]syr_populatedplaces!$M:$M)</f>
        <v>C3537</v>
      </c>
      <c r="P77">
        <f>_xlfn.XLOOKUP(الجدول1[[#This Row],[القرية– البلدة]],[2]Storm_GIS!$E:$E,[2]Storm_GIS!$P:$P)</f>
        <v>35.892119999999998</v>
      </c>
      <c r="Q77">
        <f>_xlfn.XLOOKUP(E77,[1]syr_populatedplaces!$L:$L,[1]syr_populatedplaces!$AC:$AC)</f>
        <v>35.895507809999998</v>
      </c>
    </row>
    <row r="78" spans="2:17">
      <c r="B78" t="s">
        <v>928</v>
      </c>
      <c r="C78" t="s">
        <v>154</v>
      </c>
      <c r="D78" t="s">
        <v>937</v>
      </c>
      <c r="E78" t="s">
        <v>937</v>
      </c>
      <c r="F78" t="s">
        <v>930</v>
      </c>
      <c r="G78" t="s">
        <v>1052</v>
      </c>
      <c r="H78" t="s">
        <v>1053</v>
      </c>
      <c r="I78">
        <v>1</v>
      </c>
      <c r="J78" t="s">
        <v>845</v>
      </c>
      <c r="K78" t="s">
        <v>1054</v>
      </c>
      <c r="L78" t="s">
        <v>1055</v>
      </c>
      <c r="M78" t="s">
        <v>1056</v>
      </c>
      <c r="N78" t="s">
        <v>387</v>
      </c>
      <c r="O78" t="e">
        <f>_xlfn.XLOOKUP(E78,[1]syr_populatedplaces!$L:$L,[1]syr_populatedplaces!$M:$M)</f>
        <v>#N/A</v>
      </c>
      <c r="P78">
        <f>_xlfn.XLOOKUP(الجدول1[[#This Row],[القرية– البلدة]],[2]Storm_GIS!$E:$E,[2]Storm_GIS!$P:$P)</f>
        <v>35.813189696045697</v>
      </c>
      <c r="Q78">
        <v>35.814492999999999</v>
      </c>
    </row>
    <row r="79" spans="2:17">
      <c r="B79" t="s">
        <v>928</v>
      </c>
      <c r="C79" t="s">
        <v>154</v>
      </c>
      <c r="D79" t="s">
        <v>488</v>
      </c>
      <c r="E79" t="s">
        <v>488</v>
      </c>
      <c r="F79" t="s">
        <v>930</v>
      </c>
      <c r="G79" t="s">
        <v>1057</v>
      </c>
      <c r="H79" t="s">
        <v>1058</v>
      </c>
      <c r="I79">
        <v>1</v>
      </c>
      <c r="J79" t="s">
        <v>883</v>
      </c>
      <c r="K79" t="s">
        <v>1059</v>
      </c>
      <c r="L79" t="s">
        <v>1060</v>
      </c>
      <c r="M79" t="s">
        <v>27</v>
      </c>
      <c r="N79" t="s">
        <v>387</v>
      </c>
      <c r="O79" t="e">
        <f>_xlfn.XLOOKUP(E79,[1]syr_populatedplaces!$L:$L,[1]syr_populatedplaces!$M:$M)</f>
        <v>#N/A</v>
      </c>
      <c r="P79">
        <f>_xlfn.XLOOKUP(الجدول1[[#This Row],[القرية– البلدة]],[2]Storm_GIS!$E:$E,[2]Storm_GIS!$P:$P)</f>
        <v>35.650346480191999</v>
      </c>
      <c r="Q79">
        <v>35.651638699999999</v>
      </c>
    </row>
    <row r="80" spans="2:17">
      <c r="B80" t="s">
        <v>928</v>
      </c>
      <c r="C80" t="s">
        <v>154</v>
      </c>
      <c r="D80" t="s">
        <v>1061</v>
      </c>
      <c r="E80" t="s">
        <v>1861</v>
      </c>
      <c r="F80" t="s">
        <v>930</v>
      </c>
      <c r="G80" t="s">
        <v>1062</v>
      </c>
      <c r="H80" t="s">
        <v>976</v>
      </c>
      <c r="I80">
        <v>1</v>
      </c>
      <c r="J80" t="s">
        <v>99</v>
      </c>
      <c r="K80" t="s">
        <v>1063</v>
      </c>
      <c r="L80" t="s">
        <v>1064</v>
      </c>
      <c r="M80" t="s">
        <v>1065</v>
      </c>
      <c r="N80" t="s">
        <v>99</v>
      </c>
      <c r="O80" t="str">
        <f>_xlfn.XLOOKUP(E80,[1]syr_populatedplaces!$L:$L,[1]syr_populatedplaces!$M:$M)</f>
        <v>C3797</v>
      </c>
      <c r="P80">
        <f>_xlfn.XLOOKUP(الجدول1[[#This Row],[القرية– البلدة]],[2]Storm_GIS!$E:$E,[2]Storm_GIS!$P:$P)</f>
        <v>35.465020000000003</v>
      </c>
      <c r="Q80">
        <f>_xlfn.XLOOKUP(E80,[1]syr_populatedplaces!$L:$L,[1]syr_populatedplaces!$AC:$AC)</f>
        <v>36.030273440000002</v>
      </c>
    </row>
    <row r="81" spans="2:17">
      <c r="B81" t="s">
        <v>928</v>
      </c>
      <c r="C81" t="s">
        <v>154</v>
      </c>
      <c r="D81" t="s">
        <v>183</v>
      </c>
      <c r="E81" t="s">
        <v>183</v>
      </c>
      <c r="F81" t="s">
        <v>930</v>
      </c>
      <c r="G81" t="s">
        <v>1070</v>
      </c>
      <c r="H81" t="s">
        <v>1071</v>
      </c>
      <c r="I81">
        <v>1</v>
      </c>
      <c r="J81" t="s">
        <v>883</v>
      </c>
      <c r="K81" t="s">
        <v>1072</v>
      </c>
      <c r="L81" t="s">
        <v>1073</v>
      </c>
      <c r="M81" t="s">
        <v>27</v>
      </c>
      <c r="N81" t="s">
        <v>387</v>
      </c>
      <c r="O81" t="str">
        <f>_xlfn.XLOOKUP(E81,[1]syr_populatedplaces!$L:$L,[1]syr_populatedplaces!$M:$M)</f>
        <v>C4231</v>
      </c>
      <c r="P81">
        <f>_xlfn.XLOOKUP(الجدول1[[#This Row],[القرية– البلدة]],[2]Storm_GIS!$E:$E,[2]Storm_GIS!$P:$P)</f>
        <v>35.903076169999999</v>
      </c>
      <c r="Q81">
        <f>_xlfn.XLOOKUP(E81,[1]syr_populatedplaces!$L:$L,[1]syr_populatedplaces!$AC:$AC)</f>
        <v>36.191101070000002</v>
      </c>
    </row>
    <row r="82" spans="2:17">
      <c r="B82" t="s">
        <v>1074</v>
      </c>
      <c r="C82" t="s">
        <v>154</v>
      </c>
      <c r="D82" t="s">
        <v>215</v>
      </c>
      <c r="E82" t="s">
        <v>215</v>
      </c>
      <c r="F82" t="s">
        <v>1075</v>
      </c>
      <c r="G82" t="s">
        <v>496</v>
      </c>
      <c r="H82" t="s">
        <v>1137</v>
      </c>
      <c r="I82">
        <v>1</v>
      </c>
      <c r="J82" t="s">
        <v>108</v>
      </c>
      <c r="K82" t="s">
        <v>1138</v>
      </c>
      <c r="L82" t="s">
        <v>1139</v>
      </c>
      <c r="M82" t="s">
        <v>27</v>
      </c>
      <c r="N82" t="s">
        <v>108</v>
      </c>
      <c r="O82" t="str">
        <f>_xlfn.XLOOKUP(E82,[1]syr_populatedplaces!$L:$L,[1]syr_populatedplaces!$M:$M)</f>
        <v>C3585</v>
      </c>
      <c r="P82">
        <f>_xlfn.XLOOKUP(E82,[1]syr_populatedplaces!$L:$L,[1]syr_populatedplaces!$AD:$AD)</f>
        <v>35.364501949999998</v>
      </c>
      <c r="Q82">
        <f>_xlfn.XLOOKUP(E82,[1]syr_populatedplaces!$L:$L,[1]syr_populatedplaces!$AC:$AC)</f>
        <v>35.930480959999997</v>
      </c>
    </row>
    <row r="83" spans="2:17">
      <c r="B83" t="s">
        <v>1074</v>
      </c>
      <c r="C83" t="s">
        <v>154</v>
      </c>
      <c r="D83" t="s">
        <v>1140</v>
      </c>
      <c r="E83" t="s">
        <v>270</v>
      </c>
      <c r="F83" t="s">
        <v>1075</v>
      </c>
      <c r="G83" t="s">
        <v>1141</v>
      </c>
      <c r="H83" t="s">
        <v>1142</v>
      </c>
      <c r="I83">
        <v>1</v>
      </c>
      <c r="J83" t="s">
        <v>99</v>
      </c>
      <c r="K83" t="s">
        <v>1143</v>
      </c>
      <c r="L83" t="s">
        <v>592</v>
      </c>
      <c r="M83" t="s">
        <v>27</v>
      </c>
      <c r="N83" t="s">
        <v>99</v>
      </c>
      <c r="O83" t="str">
        <f>_xlfn.XLOOKUP(E83,[1]syr_populatedplaces!$L:$L,[1]syr_populatedplaces!$M:$M)</f>
        <v>C3458</v>
      </c>
      <c r="P83">
        <f>_xlfn.XLOOKUP(E83,[1]syr_populatedplaces!$L:$L,[1]syr_populatedplaces!$AD:$AD)</f>
        <v>35.320678710000003</v>
      </c>
      <c r="Q83">
        <f>_xlfn.XLOOKUP(E83,[1]syr_populatedplaces!$L:$L,[1]syr_populatedplaces!$AC:$AC)</f>
        <v>36.623291020000003</v>
      </c>
    </row>
    <row r="84" spans="2:17">
      <c r="B84" t="s">
        <v>1215</v>
      </c>
      <c r="C84" t="s">
        <v>154</v>
      </c>
      <c r="D84" t="s">
        <v>1140</v>
      </c>
      <c r="E84" t="s">
        <v>282</v>
      </c>
      <c r="F84" t="s">
        <v>1216</v>
      </c>
      <c r="G84" t="s">
        <v>1259</v>
      </c>
      <c r="H84" t="s">
        <v>1260</v>
      </c>
      <c r="I84">
        <v>2</v>
      </c>
      <c r="J84" t="s">
        <v>99</v>
      </c>
      <c r="K84" t="s">
        <v>1261</v>
      </c>
      <c r="L84" t="s">
        <v>1262</v>
      </c>
      <c r="M84" t="s">
        <v>27</v>
      </c>
      <c r="N84" t="s">
        <v>99</v>
      </c>
      <c r="O84" t="str">
        <f>_xlfn.XLOOKUP(E84,[1]syr_populatedplaces!$L:$L,[1]syr_populatedplaces!$M:$M)</f>
        <v>C3114</v>
      </c>
      <c r="P84">
        <f>_xlfn.XLOOKUP(E84,[1]syr_populatedplaces!$L:$L,[1]syr_populatedplaces!$AD:$AD)</f>
        <v>35.361877440000001</v>
      </c>
      <c r="Q84">
        <f>_xlfn.XLOOKUP(E84,[1]syr_populatedplaces!$L:$L,[1]syr_populatedplaces!$AC:$AC)</f>
        <v>36.393920899999998</v>
      </c>
    </row>
    <row r="85" spans="2:17">
      <c r="B85" t="s">
        <v>1215</v>
      </c>
      <c r="C85" t="s">
        <v>154</v>
      </c>
      <c r="D85" t="s">
        <v>923</v>
      </c>
      <c r="E85" t="s">
        <v>270</v>
      </c>
      <c r="F85" t="s">
        <v>1216</v>
      </c>
      <c r="G85" t="s">
        <v>1239</v>
      </c>
      <c r="H85" t="s">
        <v>1270</v>
      </c>
      <c r="I85">
        <v>2</v>
      </c>
      <c r="J85" t="s">
        <v>108</v>
      </c>
      <c r="K85" t="s">
        <v>1271</v>
      </c>
      <c r="L85" t="s">
        <v>1107</v>
      </c>
      <c r="M85" t="s">
        <v>1242</v>
      </c>
      <c r="N85" t="s">
        <v>108</v>
      </c>
      <c r="O85" t="str">
        <f>_xlfn.XLOOKUP(E85,[1]syr_populatedplaces!$L:$L,[1]syr_populatedplaces!$M:$M)</f>
        <v>C3458</v>
      </c>
      <c r="P85">
        <f>_xlfn.XLOOKUP(E85,[1]syr_populatedplaces!$L:$L,[1]syr_populatedplaces!$AD:$AD)</f>
        <v>35.320678710000003</v>
      </c>
      <c r="Q85">
        <f>_xlfn.XLOOKUP(E85,[1]syr_populatedplaces!$L:$L,[1]syr_populatedplaces!$AC:$AC)</f>
        <v>36.623291020000003</v>
      </c>
    </row>
    <row r="86" spans="2:17">
      <c r="B86" t="s">
        <v>1215</v>
      </c>
      <c r="C86" t="s">
        <v>154</v>
      </c>
      <c r="D86" t="s">
        <v>215</v>
      </c>
      <c r="E86" t="s">
        <v>306</v>
      </c>
      <c r="F86" t="s">
        <v>1216</v>
      </c>
      <c r="G86" t="s">
        <v>1272</v>
      </c>
      <c r="H86" t="s">
        <v>1273</v>
      </c>
      <c r="I86">
        <v>1</v>
      </c>
      <c r="J86" t="s">
        <v>108</v>
      </c>
      <c r="K86" t="s">
        <v>1274</v>
      </c>
      <c r="L86" t="s">
        <v>360</v>
      </c>
      <c r="M86" t="s">
        <v>1273</v>
      </c>
      <c r="N86" t="s">
        <v>387</v>
      </c>
      <c r="O86" t="str">
        <f>_xlfn.XLOOKUP(E86,[1]syr_populatedplaces!$L:$L,[1]syr_populatedplaces!$M:$M)</f>
        <v>C3457</v>
      </c>
      <c r="P86">
        <f>_xlfn.XLOOKUP(E86,[1]syr_populatedplaces!$L:$L,[1]syr_populatedplaces!$AD:$AD)</f>
        <v>35.246704100000002</v>
      </c>
      <c r="Q86">
        <f>_xlfn.XLOOKUP(E86,[1]syr_populatedplaces!$L:$L,[1]syr_populatedplaces!$AC:$AC)</f>
        <v>36.574523929999998</v>
      </c>
    </row>
    <row r="87" spans="2:17">
      <c r="B87" t="s">
        <v>1215</v>
      </c>
      <c r="C87" t="s">
        <v>154</v>
      </c>
      <c r="D87" t="s">
        <v>1275</v>
      </c>
      <c r="E87" t="s">
        <v>509</v>
      </c>
      <c r="F87" t="s">
        <v>1216</v>
      </c>
      <c r="G87" t="s">
        <v>496</v>
      </c>
      <c r="H87" t="s">
        <v>260</v>
      </c>
      <c r="I87">
        <v>2</v>
      </c>
      <c r="J87" t="s">
        <v>108</v>
      </c>
      <c r="K87" t="s">
        <v>1276</v>
      </c>
      <c r="L87" t="s">
        <v>1277</v>
      </c>
      <c r="M87" t="s">
        <v>27</v>
      </c>
      <c r="N87" t="s">
        <v>387</v>
      </c>
      <c r="O87" t="str">
        <f>_xlfn.XLOOKUP(E87,[1]syr_populatedplaces!$L:$L,[1]syr_populatedplaces!$M:$M)</f>
        <v>C7368</v>
      </c>
      <c r="P87">
        <f>_xlfn.XLOOKUP(E87,[1]syr_populatedplaces!$L:$L,[1]syr_populatedplaces!$AD:$AD)</f>
        <v>36.15991211</v>
      </c>
      <c r="Q87">
        <f>_xlfn.XLOOKUP(E87,[1]syr_populatedplaces!$L:$L,[1]syr_populatedplaces!$AC:$AC)</f>
        <v>37.189880369999997</v>
      </c>
    </row>
    <row r="88" spans="2:17">
      <c r="B88" t="s">
        <v>1215</v>
      </c>
      <c r="C88" t="s">
        <v>154</v>
      </c>
      <c r="D88" t="s">
        <v>1275</v>
      </c>
      <c r="E88" t="s">
        <v>294</v>
      </c>
      <c r="F88" t="s">
        <v>1216</v>
      </c>
      <c r="G88" t="s">
        <v>1284</v>
      </c>
      <c r="H88" t="s">
        <v>1290</v>
      </c>
      <c r="I88">
        <v>1</v>
      </c>
      <c r="J88" t="s">
        <v>99</v>
      </c>
      <c r="K88" t="s">
        <v>1294</v>
      </c>
      <c r="L88" t="s">
        <v>1295</v>
      </c>
      <c r="M88" t="s">
        <v>1296</v>
      </c>
      <c r="N88" t="s">
        <v>99</v>
      </c>
      <c r="O88" t="str">
        <f>_xlfn.XLOOKUP(E88,[1]syr_populatedplaces!$L:$L,[1]syr_populatedplaces!$M:$M)</f>
        <v>C3453</v>
      </c>
      <c r="P88">
        <f>_xlfn.XLOOKUP(E88,[1]syr_populatedplaces!$L:$L,[1]syr_populatedplaces!$AD:$AD)</f>
        <v>35.258483890000001</v>
      </c>
      <c r="Q88">
        <f>_xlfn.XLOOKUP(E88,[1]syr_populatedplaces!$L:$L,[1]syr_populatedplaces!$AC:$AC)</f>
        <v>36.608886720000001</v>
      </c>
    </row>
    <row r="89" spans="2:17">
      <c r="B89" t="s">
        <v>1309</v>
      </c>
      <c r="C89" t="s">
        <v>154</v>
      </c>
      <c r="D89" t="s">
        <v>235</v>
      </c>
      <c r="E89" t="s">
        <v>521</v>
      </c>
      <c r="F89" t="s">
        <v>812</v>
      </c>
      <c r="G89" t="s">
        <v>1105</v>
      </c>
      <c r="H89" t="s">
        <v>124</v>
      </c>
      <c r="I89">
        <v>1</v>
      </c>
      <c r="J89" t="s">
        <v>99</v>
      </c>
      <c r="K89" t="s">
        <v>1373</v>
      </c>
      <c r="L89" t="s">
        <v>1374</v>
      </c>
      <c r="M89" t="s">
        <v>1314</v>
      </c>
      <c r="N89" t="s">
        <v>99</v>
      </c>
      <c r="O89" t="str">
        <f>_xlfn.XLOOKUP(E89,[1]syr_populatedplaces!$L:$L,[1]syr_populatedplaces!$M:$M)</f>
        <v>C3465</v>
      </c>
      <c r="P89">
        <f>_xlfn.XLOOKUP(E89,[1]syr_populatedplaces!$L:$L,[1]syr_populatedplaces!$AD:$AD)</f>
        <v>35.4083252</v>
      </c>
      <c r="Q89">
        <f>_xlfn.XLOOKUP(E89,[1]syr_populatedplaces!$L:$L,[1]syr_populatedplaces!$AC:$AC)</f>
        <v>36.487670899999998</v>
      </c>
    </row>
    <row r="90" spans="2:17">
      <c r="B90" t="s">
        <v>1309</v>
      </c>
      <c r="C90" t="s">
        <v>154</v>
      </c>
      <c r="D90" t="s">
        <v>235</v>
      </c>
      <c r="E90" t="s">
        <v>529</v>
      </c>
      <c r="F90" t="s">
        <v>812</v>
      </c>
      <c r="G90" t="s">
        <v>378</v>
      </c>
      <c r="H90" t="s">
        <v>124</v>
      </c>
      <c r="I90">
        <v>1</v>
      </c>
      <c r="J90" t="s">
        <v>99</v>
      </c>
      <c r="K90" t="s">
        <v>1375</v>
      </c>
      <c r="L90" t="s">
        <v>380</v>
      </c>
      <c r="M90" t="s">
        <v>1314</v>
      </c>
      <c r="N90" t="s">
        <v>99</v>
      </c>
      <c r="O90" t="str">
        <f>_xlfn.XLOOKUP(E90,[1]syr_populatedplaces!$L:$L,[1]syr_populatedplaces!$M:$M)</f>
        <v>C3208</v>
      </c>
      <c r="P90">
        <f>_xlfn.XLOOKUP(E90,[1]syr_populatedplaces!$L:$L,[1]syr_populatedplaces!$AD:$AD)</f>
        <v>35.489685059999999</v>
      </c>
      <c r="Q90">
        <f>_xlfn.XLOOKUP(E90,[1]syr_populatedplaces!$L:$L,[1]syr_populatedplaces!$AC:$AC)</f>
        <v>36.322326660000002</v>
      </c>
    </row>
    <row r="91" spans="2:17">
      <c r="B91" t="s">
        <v>381</v>
      </c>
      <c r="C91" t="s">
        <v>154</v>
      </c>
      <c r="D91" t="s">
        <v>128</v>
      </c>
      <c r="E91" t="s">
        <v>485</v>
      </c>
      <c r="F91" t="s">
        <v>96</v>
      </c>
      <c r="G91" t="s">
        <v>486</v>
      </c>
      <c r="H91" t="s">
        <v>124</v>
      </c>
      <c r="I91">
        <v>1</v>
      </c>
      <c r="J91" t="s">
        <v>99</v>
      </c>
      <c r="K91" t="s">
        <v>213</v>
      </c>
      <c r="L91" t="s">
        <v>132</v>
      </c>
      <c r="M91" t="s">
        <v>27</v>
      </c>
      <c r="N91" t="s">
        <v>24</v>
      </c>
      <c r="O91" t="s">
        <v>487</v>
      </c>
      <c r="P91">
        <v>35.631286619999997</v>
      </c>
      <c r="Q91">
        <v>36.019103999999999</v>
      </c>
    </row>
    <row r="92" spans="2:17">
      <c r="B92" t="s">
        <v>381</v>
      </c>
      <c r="C92" t="s">
        <v>154</v>
      </c>
      <c r="D92" t="s">
        <v>128</v>
      </c>
      <c r="E92" t="s">
        <v>154</v>
      </c>
      <c r="F92" t="s">
        <v>96</v>
      </c>
      <c r="G92" t="s">
        <v>486</v>
      </c>
      <c r="H92" t="s">
        <v>124</v>
      </c>
      <c r="I92">
        <v>1</v>
      </c>
      <c r="J92" t="s">
        <v>99</v>
      </c>
      <c r="K92" t="s">
        <v>213</v>
      </c>
      <c r="L92" t="s">
        <v>132</v>
      </c>
      <c r="M92" t="s">
        <v>27</v>
      </c>
      <c r="N92" t="s">
        <v>24</v>
      </c>
      <c r="O92" t="s">
        <v>155</v>
      </c>
      <c r="P92">
        <v>35.539123539999999</v>
      </c>
      <c r="Q92">
        <v>35.789672850000002</v>
      </c>
    </row>
    <row r="93" spans="2:17">
      <c r="B93" t="s">
        <v>381</v>
      </c>
      <c r="C93" t="s">
        <v>154</v>
      </c>
      <c r="D93" t="s">
        <v>128</v>
      </c>
      <c r="E93" t="s">
        <v>215</v>
      </c>
      <c r="F93" t="s">
        <v>96</v>
      </c>
      <c r="G93" t="s">
        <v>486</v>
      </c>
      <c r="H93" t="s">
        <v>124</v>
      </c>
      <c r="I93">
        <v>1</v>
      </c>
      <c r="J93" t="s">
        <v>99</v>
      </c>
      <c r="K93" t="s">
        <v>213</v>
      </c>
      <c r="L93" t="s">
        <v>132</v>
      </c>
      <c r="M93" t="s">
        <v>27</v>
      </c>
      <c r="N93" t="s">
        <v>24</v>
      </c>
      <c r="O93" t="s">
        <v>216</v>
      </c>
      <c r="P93">
        <v>35.364501949999998</v>
      </c>
      <c r="Q93">
        <v>35.930480959999997</v>
      </c>
    </row>
    <row r="94" spans="2:17">
      <c r="B94" t="s">
        <v>381</v>
      </c>
      <c r="C94" t="s">
        <v>154</v>
      </c>
      <c r="D94" t="s">
        <v>128</v>
      </c>
      <c r="E94" t="s">
        <v>154</v>
      </c>
      <c r="F94" t="s">
        <v>96</v>
      </c>
      <c r="G94" t="s">
        <v>486</v>
      </c>
      <c r="H94" t="s">
        <v>124</v>
      </c>
      <c r="I94">
        <v>1</v>
      </c>
      <c r="J94" t="s">
        <v>99</v>
      </c>
      <c r="K94" t="s">
        <v>213</v>
      </c>
      <c r="L94" t="s">
        <v>132</v>
      </c>
      <c r="M94" t="s">
        <v>27</v>
      </c>
      <c r="N94" t="s">
        <v>24</v>
      </c>
      <c r="O94" t="s">
        <v>155</v>
      </c>
      <c r="P94">
        <v>35.539123539999999</v>
      </c>
      <c r="Q94">
        <v>35.789672850000002</v>
      </c>
    </row>
    <row r="95" spans="2:17">
      <c r="B95" t="s">
        <v>381</v>
      </c>
      <c r="C95" t="s">
        <v>154</v>
      </c>
      <c r="D95" t="s">
        <v>128</v>
      </c>
      <c r="E95" t="s">
        <v>235</v>
      </c>
      <c r="F95" t="s">
        <v>96</v>
      </c>
      <c r="G95" t="s">
        <v>486</v>
      </c>
      <c r="H95" t="s">
        <v>124</v>
      </c>
      <c r="I95">
        <v>1</v>
      </c>
      <c r="J95" t="s">
        <v>99</v>
      </c>
      <c r="K95" t="s">
        <v>213</v>
      </c>
      <c r="L95" t="s">
        <v>132</v>
      </c>
      <c r="M95" t="s">
        <v>27</v>
      </c>
      <c r="N95" t="s">
        <v>24</v>
      </c>
      <c r="O95" t="s">
        <v>240</v>
      </c>
      <c r="P95">
        <v>35.599487310000001</v>
      </c>
      <c r="Q95">
        <v>36.03491211</v>
      </c>
    </row>
    <row r="96" spans="2:17">
      <c r="B96" t="s">
        <v>381</v>
      </c>
      <c r="C96" t="s">
        <v>154</v>
      </c>
      <c r="D96" t="s">
        <v>128</v>
      </c>
      <c r="E96" t="s">
        <v>489</v>
      </c>
      <c r="F96" t="s">
        <v>96</v>
      </c>
      <c r="G96" t="s">
        <v>486</v>
      </c>
      <c r="H96" t="s">
        <v>124</v>
      </c>
      <c r="I96">
        <v>1</v>
      </c>
      <c r="J96" t="s">
        <v>99</v>
      </c>
      <c r="K96" t="s">
        <v>213</v>
      </c>
      <c r="L96" t="s">
        <v>132</v>
      </c>
      <c r="M96" t="s">
        <v>27</v>
      </c>
      <c r="N96" t="s">
        <v>24</v>
      </c>
      <c r="O96" t="s">
        <v>490</v>
      </c>
      <c r="P96">
        <v>35.596679690000002</v>
      </c>
      <c r="Q96">
        <v>36.184082029999999</v>
      </c>
    </row>
    <row r="97" spans="2:17">
      <c r="B97" t="s">
        <v>381</v>
      </c>
      <c r="C97" t="s">
        <v>154</v>
      </c>
      <c r="D97" t="s">
        <v>128</v>
      </c>
      <c r="E97" t="s">
        <v>215</v>
      </c>
      <c r="F97" t="s">
        <v>96</v>
      </c>
      <c r="G97" t="s">
        <v>486</v>
      </c>
      <c r="H97" t="s">
        <v>124</v>
      </c>
      <c r="I97">
        <v>1</v>
      </c>
      <c r="J97" t="s">
        <v>99</v>
      </c>
      <c r="K97" t="s">
        <v>213</v>
      </c>
      <c r="L97" t="s">
        <v>132</v>
      </c>
      <c r="M97" t="s">
        <v>27</v>
      </c>
      <c r="N97" t="s">
        <v>24</v>
      </c>
      <c r="O97" t="s">
        <v>216</v>
      </c>
      <c r="P97">
        <v>35.364501949999998</v>
      </c>
      <c r="Q97">
        <v>35.930480959999997</v>
      </c>
    </row>
    <row r="98" spans="2:17">
      <c r="B98" t="s">
        <v>381</v>
      </c>
      <c r="C98" t="s">
        <v>154</v>
      </c>
      <c r="D98" t="s">
        <v>128</v>
      </c>
      <c r="E98" t="s">
        <v>230</v>
      </c>
      <c r="F98" t="s">
        <v>96</v>
      </c>
      <c r="G98" t="s">
        <v>486</v>
      </c>
      <c r="H98" t="s">
        <v>124</v>
      </c>
      <c r="I98">
        <v>1</v>
      </c>
      <c r="J98" t="s">
        <v>99</v>
      </c>
      <c r="K98" t="s">
        <v>213</v>
      </c>
      <c r="L98" t="s">
        <v>132</v>
      </c>
      <c r="M98" t="s">
        <v>27</v>
      </c>
      <c r="N98" t="s">
        <v>24</v>
      </c>
      <c r="O98" t="s">
        <v>231</v>
      </c>
      <c r="P98">
        <v>35.397094729999999</v>
      </c>
      <c r="Q98">
        <v>36.03009033</v>
      </c>
    </row>
    <row r="99" spans="2:17">
      <c r="B99" t="s">
        <v>381</v>
      </c>
      <c r="C99" t="s">
        <v>154</v>
      </c>
      <c r="D99" t="s">
        <v>128</v>
      </c>
      <c r="E99" t="s">
        <v>235</v>
      </c>
      <c r="F99" t="s">
        <v>96</v>
      </c>
      <c r="G99" t="s">
        <v>486</v>
      </c>
      <c r="H99" t="s">
        <v>124</v>
      </c>
      <c r="I99">
        <v>1</v>
      </c>
      <c r="J99" t="s">
        <v>99</v>
      </c>
      <c r="K99" t="s">
        <v>213</v>
      </c>
      <c r="L99" t="s">
        <v>132</v>
      </c>
      <c r="M99" t="s">
        <v>27</v>
      </c>
      <c r="N99" t="s">
        <v>24</v>
      </c>
      <c r="O99" t="s">
        <v>240</v>
      </c>
      <c r="P99">
        <v>35.599487310000001</v>
      </c>
      <c r="Q99">
        <v>36.03491211</v>
      </c>
    </row>
    <row r="100" spans="2:17">
      <c r="B100" t="s">
        <v>381</v>
      </c>
      <c r="C100" t="s">
        <v>154</v>
      </c>
      <c r="D100" t="s">
        <v>128</v>
      </c>
      <c r="E100" t="s">
        <v>154</v>
      </c>
      <c r="F100" t="s">
        <v>96</v>
      </c>
      <c r="G100" t="s">
        <v>486</v>
      </c>
      <c r="H100" t="s">
        <v>124</v>
      </c>
      <c r="I100">
        <v>1</v>
      </c>
      <c r="J100" t="s">
        <v>99</v>
      </c>
      <c r="K100" t="s">
        <v>213</v>
      </c>
      <c r="L100" t="s">
        <v>132</v>
      </c>
      <c r="M100" t="s">
        <v>27</v>
      </c>
      <c r="N100" t="s">
        <v>24</v>
      </c>
      <c r="O100" t="s">
        <v>155</v>
      </c>
      <c r="P100">
        <v>35.539123539999999</v>
      </c>
      <c r="Q100">
        <v>35.789672850000002</v>
      </c>
    </row>
    <row r="101" spans="2:17">
      <c r="B101" t="s">
        <v>381</v>
      </c>
      <c r="C101" t="s">
        <v>154</v>
      </c>
      <c r="D101" t="s">
        <v>128</v>
      </c>
      <c r="E101" t="s">
        <v>492</v>
      </c>
      <c r="F101" t="s">
        <v>96</v>
      </c>
      <c r="G101" t="s">
        <v>486</v>
      </c>
      <c r="H101" t="s">
        <v>124</v>
      </c>
      <c r="I101">
        <v>1</v>
      </c>
      <c r="J101" t="s">
        <v>99</v>
      </c>
      <c r="K101" t="s">
        <v>213</v>
      </c>
      <c r="L101" t="s">
        <v>132</v>
      </c>
      <c r="M101" t="s">
        <v>27</v>
      </c>
      <c r="N101" t="s">
        <v>24</v>
      </c>
      <c r="O101" t="s">
        <v>493</v>
      </c>
      <c r="P101">
        <v>35.674072270000003</v>
      </c>
      <c r="Q101">
        <v>36.00689697</v>
      </c>
    </row>
    <row r="102" spans="2:17">
      <c r="B102" t="s">
        <v>381</v>
      </c>
      <c r="C102" t="s">
        <v>154</v>
      </c>
      <c r="D102" t="s">
        <v>128</v>
      </c>
      <c r="E102" t="s">
        <v>485</v>
      </c>
      <c r="F102" t="s">
        <v>96</v>
      </c>
      <c r="G102" t="s">
        <v>486</v>
      </c>
      <c r="H102" t="s">
        <v>124</v>
      </c>
      <c r="I102">
        <v>1</v>
      </c>
      <c r="J102" t="s">
        <v>99</v>
      </c>
      <c r="K102" t="s">
        <v>213</v>
      </c>
      <c r="L102" t="s">
        <v>132</v>
      </c>
      <c r="M102" t="s">
        <v>27</v>
      </c>
      <c r="N102" t="s">
        <v>24</v>
      </c>
      <c r="O102" t="s">
        <v>487</v>
      </c>
      <c r="P102">
        <v>35.631286619999997</v>
      </c>
      <c r="Q102">
        <v>36.019103999999999</v>
      </c>
    </row>
    <row r="103" spans="2:17">
      <c r="B103" t="s">
        <v>381</v>
      </c>
      <c r="C103" t="s">
        <v>154</v>
      </c>
      <c r="D103" t="s">
        <v>128</v>
      </c>
      <c r="E103" t="s">
        <v>221</v>
      </c>
      <c r="F103" t="s">
        <v>96</v>
      </c>
      <c r="G103" t="s">
        <v>486</v>
      </c>
      <c r="H103" t="s">
        <v>124</v>
      </c>
      <c r="I103">
        <v>1</v>
      </c>
      <c r="J103" t="s">
        <v>99</v>
      </c>
      <c r="K103" t="s">
        <v>213</v>
      </c>
      <c r="L103" t="s">
        <v>132</v>
      </c>
      <c r="M103" t="s">
        <v>27</v>
      </c>
      <c r="N103" t="s">
        <v>24</v>
      </c>
      <c r="O103" t="s">
        <v>222</v>
      </c>
      <c r="P103">
        <v>35.751708979999997</v>
      </c>
      <c r="Q103">
        <v>36.103271479999997</v>
      </c>
    </row>
    <row r="104" spans="2:17">
      <c r="B104" t="s">
        <v>381</v>
      </c>
      <c r="C104" t="s">
        <v>154</v>
      </c>
      <c r="D104" t="s">
        <v>128</v>
      </c>
      <c r="E104" t="s">
        <v>154</v>
      </c>
      <c r="F104" t="s">
        <v>96</v>
      </c>
      <c r="G104" t="s">
        <v>486</v>
      </c>
      <c r="H104" t="s">
        <v>124</v>
      </c>
      <c r="I104">
        <v>1</v>
      </c>
      <c r="J104" t="s">
        <v>99</v>
      </c>
      <c r="K104" t="s">
        <v>213</v>
      </c>
      <c r="L104" t="s">
        <v>132</v>
      </c>
      <c r="M104" t="s">
        <v>27</v>
      </c>
      <c r="N104" t="s">
        <v>24</v>
      </c>
      <c r="O104" t="s">
        <v>155</v>
      </c>
      <c r="P104">
        <v>35.539123539999999</v>
      </c>
      <c r="Q104">
        <v>35.789672850000002</v>
      </c>
    </row>
    <row r="105" spans="2:17">
      <c r="B105" t="s">
        <v>381</v>
      </c>
      <c r="C105" t="s">
        <v>154</v>
      </c>
      <c r="D105" t="s">
        <v>128</v>
      </c>
      <c r="E105" t="s">
        <v>498</v>
      </c>
      <c r="F105" t="s">
        <v>96</v>
      </c>
      <c r="G105" t="s">
        <v>494</v>
      </c>
      <c r="H105" t="s">
        <v>495</v>
      </c>
      <c r="I105">
        <v>1</v>
      </c>
      <c r="J105" t="s">
        <v>24</v>
      </c>
      <c r="K105" t="s">
        <v>496</v>
      </c>
      <c r="L105" t="s">
        <v>497</v>
      </c>
      <c r="M105" t="s">
        <v>27</v>
      </c>
      <c r="N105" t="s">
        <v>108</v>
      </c>
      <c r="O105" t="s">
        <v>499</v>
      </c>
      <c r="P105">
        <v>34.95611572</v>
      </c>
      <c r="Q105">
        <v>35.970275880000003</v>
      </c>
    </row>
    <row r="106" spans="2:17">
      <c r="B106" t="s">
        <v>381</v>
      </c>
      <c r="C106" t="s">
        <v>154</v>
      </c>
      <c r="D106" t="s">
        <v>128</v>
      </c>
      <c r="E106" t="s">
        <v>215</v>
      </c>
      <c r="F106" t="s">
        <v>96</v>
      </c>
      <c r="G106" t="s">
        <v>318</v>
      </c>
      <c r="H106" t="s">
        <v>411</v>
      </c>
      <c r="I106">
        <v>1</v>
      </c>
      <c r="J106" t="s">
        <v>24</v>
      </c>
      <c r="K106" t="s">
        <v>501</v>
      </c>
      <c r="L106" t="s">
        <v>360</v>
      </c>
      <c r="M106" t="s">
        <v>27</v>
      </c>
      <c r="N106" t="s">
        <v>108</v>
      </c>
      <c r="O106" t="s">
        <v>216</v>
      </c>
      <c r="P106">
        <v>35.364501949999998</v>
      </c>
      <c r="Q106">
        <v>35.930480959999997</v>
      </c>
    </row>
    <row r="107" spans="2:17">
      <c r="B107" t="s">
        <v>381</v>
      </c>
      <c r="C107" t="s">
        <v>154</v>
      </c>
      <c r="D107" t="s">
        <v>128</v>
      </c>
      <c r="E107" t="s">
        <v>230</v>
      </c>
      <c r="F107" t="s">
        <v>96</v>
      </c>
      <c r="G107" t="s">
        <v>318</v>
      </c>
      <c r="H107" t="s">
        <v>411</v>
      </c>
      <c r="I107">
        <v>1</v>
      </c>
      <c r="J107" t="s">
        <v>24</v>
      </c>
      <c r="K107" t="s">
        <v>501</v>
      </c>
      <c r="L107" t="s">
        <v>360</v>
      </c>
      <c r="M107" t="s">
        <v>27</v>
      </c>
      <c r="N107" t="s">
        <v>108</v>
      </c>
      <c r="O107" t="s">
        <v>231</v>
      </c>
      <c r="P107">
        <v>35.397094729999999</v>
      </c>
      <c r="Q107">
        <v>36.03009033</v>
      </c>
    </row>
    <row r="108" spans="2:17">
      <c r="B108" t="s">
        <v>381</v>
      </c>
      <c r="C108" t="s">
        <v>154</v>
      </c>
      <c r="D108" t="s">
        <v>128</v>
      </c>
      <c r="E108" t="s">
        <v>233</v>
      </c>
      <c r="F108" t="s">
        <v>96</v>
      </c>
      <c r="G108" t="s">
        <v>318</v>
      </c>
      <c r="H108" t="s">
        <v>411</v>
      </c>
      <c r="I108">
        <v>1</v>
      </c>
      <c r="J108" t="s">
        <v>24</v>
      </c>
      <c r="K108" t="s">
        <v>501</v>
      </c>
      <c r="L108" t="s">
        <v>360</v>
      </c>
      <c r="M108" t="s">
        <v>27</v>
      </c>
      <c r="N108" t="s">
        <v>108</v>
      </c>
      <c r="O108" t="s">
        <v>234</v>
      </c>
      <c r="P108">
        <v>36.046325680000002</v>
      </c>
      <c r="Q108">
        <v>36.491882320000002</v>
      </c>
    </row>
    <row r="109" spans="2:17">
      <c r="B109" t="s">
        <v>614</v>
      </c>
      <c r="C109" t="s">
        <v>154</v>
      </c>
      <c r="D109" t="s">
        <v>128</v>
      </c>
      <c r="E109" t="s">
        <v>154</v>
      </c>
      <c r="F109" t="s">
        <v>346</v>
      </c>
      <c r="G109" t="s">
        <v>347</v>
      </c>
      <c r="H109" t="s">
        <v>124</v>
      </c>
      <c r="I109">
        <v>1</v>
      </c>
      <c r="J109" t="s">
        <v>108</v>
      </c>
      <c r="K109" t="s">
        <v>730</v>
      </c>
      <c r="L109" t="s">
        <v>690</v>
      </c>
      <c r="M109" t="s">
        <v>27</v>
      </c>
      <c r="N109" t="s">
        <v>387</v>
      </c>
      <c r="O109" t="s">
        <v>155</v>
      </c>
      <c r="P109">
        <v>35.539123539999999</v>
      </c>
      <c r="Q109">
        <v>35.789672850000002</v>
      </c>
    </row>
    <row r="110" spans="2:17">
      <c r="B110" t="s">
        <v>614</v>
      </c>
      <c r="C110" t="s">
        <v>154</v>
      </c>
      <c r="D110" t="s">
        <v>128</v>
      </c>
      <c r="E110" t="s">
        <v>731</v>
      </c>
      <c r="F110" t="s">
        <v>346</v>
      </c>
      <c r="G110" t="s">
        <v>347</v>
      </c>
      <c r="H110" t="s">
        <v>124</v>
      </c>
      <c r="I110">
        <v>1</v>
      </c>
      <c r="J110" t="s">
        <v>108</v>
      </c>
      <c r="K110" t="s">
        <v>730</v>
      </c>
      <c r="L110" t="s">
        <v>690</v>
      </c>
      <c r="M110" t="s">
        <v>27</v>
      </c>
      <c r="N110" t="s">
        <v>387</v>
      </c>
      <c r="O110" t="s">
        <v>732</v>
      </c>
      <c r="P110">
        <v>35.918273929999998</v>
      </c>
      <c r="Q110">
        <v>35.985473630000001</v>
      </c>
    </row>
    <row r="111" spans="2:17">
      <c r="B111" t="s">
        <v>614</v>
      </c>
      <c r="C111" t="s">
        <v>154</v>
      </c>
      <c r="D111" t="s">
        <v>128</v>
      </c>
      <c r="E111" t="s">
        <v>215</v>
      </c>
      <c r="F111" t="s">
        <v>346</v>
      </c>
      <c r="G111" t="s">
        <v>347</v>
      </c>
      <c r="H111" t="s">
        <v>124</v>
      </c>
      <c r="I111">
        <v>1</v>
      </c>
      <c r="J111" t="s">
        <v>108</v>
      </c>
      <c r="K111" t="s">
        <v>730</v>
      </c>
      <c r="L111" t="s">
        <v>690</v>
      </c>
      <c r="M111" t="s">
        <v>27</v>
      </c>
      <c r="N111" t="s">
        <v>387</v>
      </c>
      <c r="O111" t="s">
        <v>216</v>
      </c>
      <c r="P111">
        <v>35.364501949999998</v>
      </c>
      <c r="Q111">
        <v>35.930480959999997</v>
      </c>
    </row>
    <row r="112" spans="2:17">
      <c r="B112" t="s">
        <v>614</v>
      </c>
      <c r="C112" t="s">
        <v>154</v>
      </c>
      <c r="D112" t="s">
        <v>128</v>
      </c>
      <c r="E112" t="s">
        <v>733</v>
      </c>
      <c r="F112" t="s">
        <v>346</v>
      </c>
      <c r="G112" t="s">
        <v>347</v>
      </c>
      <c r="H112" t="s">
        <v>124</v>
      </c>
      <c r="I112">
        <v>1</v>
      </c>
      <c r="J112" t="s">
        <v>108</v>
      </c>
      <c r="K112" t="s">
        <v>730</v>
      </c>
      <c r="L112" t="s">
        <v>690</v>
      </c>
      <c r="M112" t="s">
        <v>27</v>
      </c>
      <c r="N112" t="s">
        <v>387</v>
      </c>
      <c r="O112" t="s">
        <v>734</v>
      </c>
      <c r="P112">
        <v>35.32788086</v>
      </c>
      <c r="Q112">
        <v>36.134704589999998</v>
      </c>
    </row>
    <row r="113" spans="2:17">
      <c r="B113" t="s">
        <v>614</v>
      </c>
      <c r="C113" t="s">
        <v>154</v>
      </c>
      <c r="D113" t="s">
        <v>128</v>
      </c>
      <c r="E113" t="s">
        <v>154</v>
      </c>
      <c r="F113" t="s">
        <v>346</v>
      </c>
      <c r="G113" t="s">
        <v>347</v>
      </c>
      <c r="H113" t="s">
        <v>124</v>
      </c>
      <c r="I113">
        <v>1</v>
      </c>
      <c r="J113" t="s">
        <v>108</v>
      </c>
      <c r="K113" t="s">
        <v>730</v>
      </c>
      <c r="L113" t="s">
        <v>690</v>
      </c>
      <c r="M113" t="s">
        <v>27</v>
      </c>
      <c r="N113" t="s">
        <v>387</v>
      </c>
      <c r="O113" t="s">
        <v>155</v>
      </c>
      <c r="P113">
        <v>35.539123539999999</v>
      </c>
      <c r="Q113">
        <v>35.789672850000002</v>
      </c>
    </row>
    <row r="114" spans="2:17" ht="14.25" customHeight="1">
      <c r="B114" t="s">
        <v>614</v>
      </c>
      <c r="C114" t="s">
        <v>154</v>
      </c>
      <c r="D114" t="s">
        <v>128</v>
      </c>
      <c r="E114" t="s">
        <v>219</v>
      </c>
      <c r="F114" t="s">
        <v>346</v>
      </c>
      <c r="G114" t="s">
        <v>347</v>
      </c>
      <c r="H114" t="s">
        <v>124</v>
      </c>
      <c r="I114">
        <v>1</v>
      </c>
      <c r="J114" t="s">
        <v>108</v>
      </c>
      <c r="K114" t="s">
        <v>730</v>
      </c>
      <c r="L114" t="s">
        <v>690</v>
      </c>
      <c r="M114" t="s">
        <v>27</v>
      </c>
      <c r="N114" t="s">
        <v>387</v>
      </c>
      <c r="O114" t="s">
        <v>220</v>
      </c>
      <c r="P114">
        <v>35.790100099999997</v>
      </c>
      <c r="Q114">
        <v>36.102294919999999</v>
      </c>
    </row>
    <row r="115" spans="2:17">
      <c r="B115" t="s">
        <v>614</v>
      </c>
      <c r="C115" t="s">
        <v>154</v>
      </c>
      <c r="D115" t="s">
        <v>128</v>
      </c>
      <c r="E115" t="s">
        <v>489</v>
      </c>
      <c r="F115" t="s">
        <v>346</v>
      </c>
      <c r="G115" t="s">
        <v>347</v>
      </c>
      <c r="H115" t="s">
        <v>124</v>
      </c>
      <c r="I115">
        <v>1</v>
      </c>
      <c r="J115" t="s">
        <v>108</v>
      </c>
      <c r="K115" t="s">
        <v>730</v>
      </c>
      <c r="L115" t="s">
        <v>690</v>
      </c>
      <c r="M115" t="s">
        <v>27</v>
      </c>
      <c r="N115" t="s">
        <v>387</v>
      </c>
      <c r="O115" t="s">
        <v>490</v>
      </c>
      <c r="P115">
        <v>35.596679690000002</v>
      </c>
      <c r="Q115">
        <v>36.184082029999999</v>
      </c>
    </row>
    <row r="116" spans="2:17">
      <c r="B116" t="s">
        <v>614</v>
      </c>
      <c r="C116" t="s">
        <v>154</v>
      </c>
      <c r="D116" t="s">
        <v>128</v>
      </c>
      <c r="E116" t="s">
        <v>235</v>
      </c>
      <c r="F116" t="s">
        <v>346</v>
      </c>
      <c r="G116" t="s">
        <v>347</v>
      </c>
      <c r="H116" t="s">
        <v>124</v>
      </c>
      <c r="I116">
        <v>1</v>
      </c>
      <c r="J116" t="s">
        <v>108</v>
      </c>
      <c r="K116" t="s">
        <v>730</v>
      </c>
      <c r="L116" t="s">
        <v>690</v>
      </c>
      <c r="M116" t="s">
        <v>27</v>
      </c>
      <c r="N116" t="s">
        <v>387</v>
      </c>
      <c r="O116" t="s">
        <v>240</v>
      </c>
      <c r="P116">
        <v>35.599487310000001</v>
      </c>
      <c r="Q116">
        <v>36.03491211</v>
      </c>
    </row>
    <row r="117" spans="2:17">
      <c r="B117" t="s">
        <v>614</v>
      </c>
      <c r="C117" t="s">
        <v>154</v>
      </c>
      <c r="D117" t="s">
        <v>128</v>
      </c>
      <c r="E117" t="s">
        <v>489</v>
      </c>
      <c r="F117" t="s">
        <v>346</v>
      </c>
      <c r="G117" t="s">
        <v>347</v>
      </c>
      <c r="H117" t="s">
        <v>124</v>
      </c>
      <c r="I117">
        <v>1</v>
      </c>
      <c r="J117" t="s">
        <v>108</v>
      </c>
      <c r="K117" t="s">
        <v>730</v>
      </c>
      <c r="L117" t="s">
        <v>690</v>
      </c>
      <c r="M117" t="s">
        <v>27</v>
      </c>
      <c r="N117" t="s">
        <v>387</v>
      </c>
      <c r="O117" t="s">
        <v>490</v>
      </c>
      <c r="P117">
        <v>35.596679690000002</v>
      </c>
      <c r="Q117">
        <v>36.184082029999999</v>
      </c>
    </row>
    <row r="118" spans="2:17">
      <c r="B118" t="s">
        <v>614</v>
      </c>
      <c r="C118" t="s">
        <v>154</v>
      </c>
      <c r="D118" t="s">
        <v>128</v>
      </c>
      <c r="E118" t="s">
        <v>489</v>
      </c>
      <c r="F118" t="s">
        <v>346</v>
      </c>
      <c r="G118" t="s">
        <v>347</v>
      </c>
      <c r="H118" t="s">
        <v>124</v>
      </c>
      <c r="I118">
        <v>1</v>
      </c>
      <c r="J118" t="s">
        <v>108</v>
      </c>
      <c r="K118" t="s">
        <v>730</v>
      </c>
      <c r="L118" t="s">
        <v>690</v>
      </c>
      <c r="M118" t="s">
        <v>27</v>
      </c>
      <c r="N118" t="s">
        <v>387</v>
      </c>
      <c r="O118" t="s">
        <v>490</v>
      </c>
      <c r="P118">
        <v>35.596679690000002</v>
      </c>
      <c r="Q118">
        <v>36.184082029999999</v>
      </c>
    </row>
    <row r="119" spans="2:17">
      <c r="B119" t="s">
        <v>614</v>
      </c>
      <c r="C119" t="s">
        <v>154</v>
      </c>
      <c r="D119" t="s">
        <v>128</v>
      </c>
      <c r="E119" t="s">
        <v>735</v>
      </c>
      <c r="F119" t="s">
        <v>346</v>
      </c>
      <c r="G119" t="s">
        <v>347</v>
      </c>
      <c r="H119" t="s">
        <v>124</v>
      </c>
      <c r="I119">
        <v>1</v>
      </c>
      <c r="J119" t="s">
        <v>108</v>
      </c>
      <c r="K119" t="s">
        <v>730</v>
      </c>
      <c r="L119" t="s">
        <v>690</v>
      </c>
      <c r="M119" t="s">
        <v>27</v>
      </c>
      <c r="N119" t="s">
        <v>387</v>
      </c>
      <c r="O119" t="s">
        <v>736</v>
      </c>
      <c r="P119">
        <v>35.57189941</v>
      </c>
      <c r="Q119">
        <v>36.191284179999997</v>
      </c>
    </row>
    <row r="120" spans="2:17">
      <c r="B120" t="s">
        <v>614</v>
      </c>
      <c r="C120" t="s">
        <v>154</v>
      </c>
      <c r="D120" t="s">
        <v>128</v>
      </c>
      <c r="E120" t="s">
        <v>737</v>
      </c>
      <c r="F120" t="s">
        <v>346</v>
      </c>
      <c r="G120" t="s">
        <v>347</v>
      </c>
      <c r="H120" t="s">
        <v>124</v>
      </c>
      <c r="I120">
        <v>1</v>
      </c>
      <c r="J120" t="s">
        <v>108</v>
      </c>
      <c r="K120" t="s">
        <v>730</v>
      </c>
      <c r="L120" t="s">
        <v>690</v>
      </c>
      <c r="M120" t="s">
        <v>27</v>
      </c>
      <c r="N120" t="s">
        <v>387</v>
      </c>
      <c r="O120" t="str">
        <f>_xlfn.XLOOKUP(E120,[1]syr_populatedplaces!$L:$L,[1]syr_populatedplaces!$M:$M)</f>
        <v>C3336</v>
      </c>
      <c r="P120">
        <f>_xlfn.XLOOKUP(E120,[1]syr_populatedplaces!$L:$L,[1]syr_populatedplaces!$AD:$AD)</f>
        <v>35.141906740000003</v>
      </c>
      <c r="Q120">
        <f>_xlfn.XLOOKUP(E120,[1]syr_populatedplaces!$L:$L,[1]syr_populatedplaces!$AC:$AC)</f>
        <v>36.33111572</v>
      </c>
    </row>
    <row r="121" spans="2:17">
      <c r="B121" t="s">
        <v>614</v>
      </c>
      <c r="C121" t="s">
        <v>154</v>
      </c>
      <c r="D121" t="s">
        <v>128</v>
      </c>
      <c r="E121" t="s">
        <v>738</v>
      </c>
      <c r="F121" t="s">
        <v>346</v>
      </c>
      <c r="G121" t="s">
        <v>347</v>
      </c>
      <c r="H121" t="s">
        <v>124</v>
      </c>
      <c r="I121">
        <v>1</v>
      </c>
      <c r="J121" t="s">
        <v>108</v>
      </c>
      <c r="K121" t="s">
        <v>730</v>
      </c>
      <c r="L121" t="s">
        <v>690</v>
      </c>
      <c r="M121" t="s">
        <v>27</v>
      </c>
      <c r="N121" t="s">
        <v>387</v>
      </c>
      <c r="O121" t="s">
        <v>739</v>
      </c>
      <c r="P121">
        <v>35.453918459999997</v>
      </c>
      <c r="Q121">
        <v>36.051086429999998</v>
      </c>
    </row>
    <row r="122" spans="2:17">
      <c r="B122" t="s">
        <v>614</v>
      </c>
      <c r="C122" t="s">
        <v>154</v>
      </c>
      <c r="D122" t="s">
        <v>128</v>
      </c>
      <c r="E122" t="s">
        <v>740</v>
      </c>
      <c r="F122" t="s">
        <v>346</v>
      </c>
      <c r="G122" t="s">
        <v>347</v>
      </c>
      <c r="H122" t="s">
        <v>124</v>
      </c>
      <c r="I122">
        <v>1</v>
      </c>
      <c r="J122" t="s">
        <v>108</v>
      </c>
      <c r="K122" t="s">
        <v>730</v>
      </c>
      <c r="L122" t="s">
        <v>690</v>
      </c>
      <c r="M122" t="s">
        <v>27</v>
      </c>
      <c r="N122" t="s">
        <v>387</v>
      </c>
      <c r="O122" t="s">
        <v>741</v>
      </c>
      <c r="P122">
        <v>35.493530270000001</v>
      </c>
      <c r="Q122">
        <v>36.171875</v>
      </c>
    </row>
    <row r="123" spans="2:17">
      <c r="B123" t="s">
        <v>614</v>
      </c>
      <c r="C123" t="s">
        <v>154</v>
      </c>
      <c r="D123" t="s">
        <v>128</v>
      </c>
      <c r="E123" t="s">
        <v>489</v>
      </c>
      <c r="F123" t="s">
        <v>346</v>
      </c>
      <c r="G123" t="s">
        <v>347</v>
      </c>
      <c r="H123" t="s">
        <v>124</v>
      </c>
      <c r="I123">
        <v>1</v>
      </c>
      <c r="J123" t="s">
        <v>108</v>
      </c>
      <c r="K123" t="s">
        <v>730</v>
      </c>
      <c r="L123" t="s">
        <v>690</v>
      </c>
      <c r="M123" t="s">
        <v>27</v>
      </c>
      <c r="N123" t="s">
        <v>387</v>
      </c>
      <c r="O123" t="s">
        <v>490</v>
      </c>
      <c r="P123">
        <v>35.596679690000002</v>
      </c>
      <c r="Q123">
        <v>36.184082029999999</v>
      </c>
    </row>
    <row r="124" spans="2:17">
      <c r="B124" t="s">
        <v>614</v>
      </c>
      <c r="C124" t="s">
        <v>154</v>
      </c>
      <c r="D124" t="s">
        <v>128</v>
      </c>
      <c r="E124" t="s">
        <v>742</v>
      </c>
      <c r="F124" t="s">
        <v>346</v>
      </c>
      <c r="G124" t="s">
        <v>347</v>
      </c>
      <c r="H124" t="s">
        <v>124</v>
      </c>
      <c r="I124">
        <v>1</v>
      </c>
      <c r="J124" t="s">
        <v>108</v>
      </c>
      <c r="K124" t="s">
        <v>730</v>
      </c>
      <c r="L124" t="s">
        <v>690</v>
      </c>
      <c r="M124" t="s">
        <v>27</v>
      </c>
      <c r="N124" t="s">
        <v>387</v>
      </c>
      <c r="O124" t="s">
        <v>743</v>
      </c>
      <c r="P124">
        <v>35.688110350000002</v>
      </c>
      <c r="Q124">
        <v>36.13970947</v>
      </c>
    </row>
    <row r="125" spans="2:17">
      <c r="B125" t="s">
        <v>614</v>
      </c>
      <c r="C125" t="s">
        <v>154</v>
      </c>
      <c r="D125" t="s">
        <v>128</v>
      </c>
      <c r="E125" t="s">
        <v>744</v>
      </c>
      <c r="F125" t="s">
        <v>346</v>
      </c>
      <c r="G125" t="s">
        <v>347</v>
      </c>
      <c r="H125" t="s">
        <v>124</v>
      </c>
      <c r="I125">
        <v>1</v>
      </c>
      <c r="J125" t="s">
        <v>108</v>
      </c>
      <c r="K125" t="s">
        <v>730</v>
      </c>
      <c r="L125" t="s">
        <v>690</v>
      </c>
      <c r="M125" t="s">
        <v>27</v>
      </c>
      <c r="N125" t="s">
        <v>387</v>
      </c>
      <c r="O125" t="s">
        <v>745</v>
      </c>
      <c r="P125">
        <v>35.825683589999997</v>
      </c>
      <c r="Q125">
        <v>35.953308110000002</v>
      </c>
    </row>
    <row r="126" spans="2:17">
      <c r="B126" t="s">
        <v>614</v>
      </c>
      <c r="C126" t="s">
        <v>154</v>
      </c>
      <c r="D126" t="s">
        <v>128</v>
      </c>
      <c r="E126" t="s">
        <v>217</v>
      </c>
      <c r="F126" t="s">
        <v>346</v>
      </c>
      <c r="G126" t="s">
        <v>347</v>
      </c>
      <c r="H126" t="s">
        <v>124</v>
      </c>
      <c r="I126">
        <v>1</v>
      </c>
      <c r="J126" t="s">
        <v>108</v>
      </c>
      <c r="K126" t="s">
        <v>730</v>
      </c>
      <c r="L126" t="s">
        <v>690</v>
      </c>
      <c r="M126" t="s">
        <v>27</v>
      </c>
      <c r="N126" t="s">
        <v>387</v>
      </c>
      <c r="O126" t="s">
        <v>218</v>
      </c>
      <c r="P126">
        <v>35.723510740000002</v>
      </c>
      <c r="Q126">
        <v>36.081909179999997</v>
      </c>
    </row>
    <row r="127" spans="2:17">
      <c r="B127" t="s">
        <v>614</v>
      </c>
      <c r="C127" t="s">
        <v>154</v>
      </c>
      <c r="D127" t="s">
        <v>128</v>
      </c>
      <c r="E127" t="s">
        <v>219</v>
      </c>
      <c r="F127" t="s">
        <v>346</v>
      </c>
      <c r="G127" t="s">
        <v>347</v>
      </c>
      <c r="H127" t="s">
        <v>124</v>
      </c>
      <c r="I127">
        <v>1</v>
      </c>
      <c r="J127" t="s">
        <v>108</v>
      </c>
      <c r="K127" t="s">
        <v>730</v>
      </c>
      <c r="L127" t="s">
        <v>690</v>
      </c>
      <c r="M127" t="s">
        <v>27</v>
      </c>
      <c r="N127" t="s">
        <v>387</v>
      </c>
      <c r="O127" t="s">
        <v>220</v>
      </c>
      <c r="P127">
        <v>35.790100099999997</v>
      </c>
      <c r="Q127">
        <v>36.102294919999999</v>
      </c>
    </row>
    <row r="128" spans="2:17">
      <c r="B128" t="s">
        <v>614</v>
      </c>
      <c r="C128" t="s">
        <v>154</v>
      </c>
      <c r="D128" t="s">
        <v>128</v>
      </c>
      <c r="E128" t="s">
        <v>746</v>
      </c>
      <c r="F128" t="s">
        <v>346</v>
      </c>
      <c r="G128" t="s">
        <v>347</v>
      </c>
      <c r="H128" t="s">
        <v>124</v>
      </c>
      <c r="I128">
        <v>1</v>
      </c>
      <c r="J128" t="s">
        <v>108</v>
      </c>
      <c r="K128" t="s">
        <v>730</v>
      </c>
      <c r="L128" t="s">
        <v>690</v>
      </c>
      <c r="M128" t="s">
        <v>27</v>
      </c>
      <c r="N128" t="s">
        <v>387</v>
      </c>
      <c r="O128" t="s">
        <v>747</v>
      </c>
      <c r="P128">
        <v>35.705688479999999</v>
      </c>
      <c r="Q128">
        <v>36.184875490000003</v>
      </c>
    </row>
    <row r="129" spans="2:17">
      <c r="B129" t="s">
        <v>614</v>
      </c>
      <c r="C129" t="s">
        <v>154</v>
      </c>
      <c r="D129" t="s">
        <v>128</v>
      </c>
      <c r="E129" t="s">
        <v>748</v>
      </c>
      <c r="F129" t="s">
        <v>346</v>
      </c>
      <c r="G129" t="s">
        <v>347</v>
      </c>
      <c r="H129" t="s">
        <v>124</v>
      </c>
      <c r="I129">
        <v>1</v>
      </c>
      <c r="J129" t="s">
        <v>108</v>
      </c>
      <c r="K129" t="s">
        <v>730</v>
      </c>
      <c r="L129" t="s">
        <v>690</v>
      </c>
      <c r="M129" t="s">
        <v>27</v>
      </c>
      <c r="N129" t="s">
        <v>387</v>
      </c>
      <c r="O129" t="s">
        <v>749</v>
      </c>
      <c r="P129">
        <v>35.710083009999998</v>
      </c>
      <c r="Q129">
        <v>36.219116210000003</v>
      </c>
    </row>
    <row r="130" spans="2:17">
      <c r="B130" t="s">
        <v>614</v>
      </c>
      <c r="C130" t="s">
        <v>154</v>
      </c>
      <c r="D130" t="s">
        <v>128</v>
      </c>
      <c r="E130" t="s">
        <v>751</v>
      </c>
      <c r="F130" t="s">
        <v>346</v>
      </c>
      <c r="G130" t="s">
        <v>347</v>
      </c>
      <c r="H130" t="s">
        <v>124</v>
      </c>
      <c r="I130">
        <v>1</v>
      </c>
      <c r="J130" t="s">
        <v>108</v>
      </c>
      <c r="K130" t="s">
        <v>730</v>
      </c>
      <c r="L130" t="s">
        <v>690</v>
      </c>
      <c r="M130" t="s">
        <v>27</v>
      </c>
      <c r="N130" t="s">
        <v>387</v>
      </c>
      <c r="O130" t="s">
        <v>752</v>
      </c>
      <c r="P130">
        <v>35.677917479999998</v>
      </c>
      <c r="Q130">
        <v>36.18127441</v>
      </c>
    </row>
    <row r="131" spans="2:17">
      <c r="B131" t="s">
        <v>614</v>
      </c>
      <c r="C131" t="s">
        <v>154</v>
      </c>
      <c r="D131" t="s">
        <v>128</v>
      </c>
      <c r="E131" t="s">
        <v>235</v>
      </c>
      <c r="F131" t="s">
        <v>346</v>
      </c>
      <c r="G131" t="s">
        <v>347</v>
      </c>
      <c r="H131" t="s">
        <v>124</v>
      </c>
      <c r="I131">
        <v>1</v>
      </c>
      <c r="J131" t="s">
        <v>108</v>
      </c>
      <c r="K131" t="s">
        <v>730</v>
      </c>
      <c r="L131" t="s">
        <v>690</v>
      </c>
      <c r="M131" t="s">
        <v>27</v>
      </c>
      <c r="N131" t="s">
        <v>387</v>
      </c>
      <c r="O131" t="s">
        <v>240</v>
      </c>
      <c r="P131">
        <v>35.599487310000001</v>
      </c>
      <c r="Q131">
        <v>36.03491211</v>
      </c>
    </row>
    <row r="132" spans="2:17">
      <c r="B132" t="s">
        <v>614</v>
      </c>
      <c r="C132" t="s">
        <v>154</v>
      </c>
      <c r="D132" t="s">
        <v>128</v>
      </c>
      <c r="E132" t="s">
        <v>733</v>
      </c>
      <c r="F132" t="s">
        <v>346</v>
      </c>
      <c r="G132" t="s">
        <v>347</v>
      </c>
      <c r="H132" t="s">
        <v>124</v>
      </c>
      <c r="I132">
        <v>1</v>
      </c>
      <c r="J132" t="s">
        <v>108</v>
      </c>
      <c r="K132" t="s">
        <v>730</v>
      </c>
      <c r="L132" t="s">
        <v>690</v>
      </c>
      <c r="M132" t="s">
        <v>27</v>
      </c>
      <c r="N132" t="s">
        <v>387</v>
      </c>
      <c r="O132" t="s">
        <v>734</v>
      </c>
      <c r="P132">
        <v>35.32788086</v>
      </c>
      <c r="Q132">
        <v>36.134704589999998</v>
      </c>
    </row>
    <row r="133" spans="2:17">
      <c r="B133" t="s">
        <v>614</v>
      </c>
      <c r="C133" t="s">
        <v>154</v>
      </c>
      <c r="D133" t="s">
        <v>128</v>
      </c>
      <c r="E133" t="s">
        <v>489</v>
      </c>
      <c r="F133" t="s">
        <v>346</v>
      </c>
      <c r="G133" t="s">
        <v>347</v>
      </c>
      <c r="H133" t="s">
        <v>124</v>
      </c>
      <c r="I133">
        <v>1</v>
      </c>
      <c r="J133" t="s">
        <v>108</v>
      </c>
      <c r="K133" t="s">
        <v>730</v>
      </c>
      <c r="L133" t="s">
        <v>690</v>
      </c>
      <c r="M133" t="s">
        <v>27</v>
      </c>
      <c r="N133" t="s">
        <v>387</v>
      </c>
      <c r="O133" t="s">
        <v>490</v>
      </c>
      <c r="P133">
        <v>35.596679690000002</v>
      </c>
      <c r="Q133">
        <v>36.184082029999999</v>
      </c>
    </row>
    <row r="134" spans="2:17">
      <c r="B134" t="s">
        <v>614</v>
      </c>
      <c r="C134" t="s">
        <v>154</v>
      </c>
      <c r="D134" t="s">
        <v>128</v>
      </c>
      <c r="E134" t="s">
        <v>754</v>
      </c>
      <c r="F134" t="s">
        <v>346</v>
      </c>
      <c r="G134" t="s">
        <v>347</v>
      </c>
      <c r="H134" t="s">
        <v>124</v>
      </c>
      <c r="I134">
        <v>1</v>
      </c>
      <c r="J134" t="s">
        <v>108</v>
      </c>
      <c r="K134" t="s">
        <v>730</v>
      </c>
      <c r="L134" t="s">
        <v>690</v>
      </c>
      <c r="M134" t="s">
        <v>27</v>
      </c>
      <c r="N134" t="s">
        <v>387</v>
      </c>
      <c r="O134" t="str">
        <f>_xlfn.XLOOKUP(E134,[1]syr_populatedplaces!$L:$L,[1]syr_populatedplaces!$M:$M)</f>
        <v>C2269</v>
      </c>
      <c r="P134">
        <f>_xlfn.XLOOKUP(E134,[1]syr_populatedplaces!$L:$L,[1]syr_populatedplaces!$AD:$AD)</f>
        <v>33.324523929999998</v>
      </c>
      <c r="Q134">
        <f>_xlfn.XLOOKUP(E134,[1]syr_populatedplaces!$L:$L,[1]syr_populatedplaces!$AC:$AC)</f>
        <v>36.216125490000003</v>
      </c>
    </row>
    <row r="135" spans="2:17">
      <c r="B135" t="s">
        <v>614</v>
      </c>
      <c r="C135" t="s">
        <v>154</v>
      </c>
      <c r="D135" t="s">
        <v>128</v>
      </c>
      <c r="E135" t="s">
        <v>215</v>
      </c>
      <c r="F135" t="s">
        <v>346</v>
      </c>
      <c r="G135" t="s">
        <v>347</v>
      </c>
      <c r="H135" t="s">
        <v>124</v>
      </c>
      <c r="I135">
        <v>1</v>
      </c>
      <c r="J135" t="s">
        <v>108</v>
      </c>
      <c r="K135" t="s">
        <v>730</v>
      </c>
      <c r="L135" t="s">
        <v>690</v>
      </c>
      <c r="M135" t="s">
        <v>27</v>
      </c>
      <c r="N135" t="s">
        <v>387</v>
      </c>
      <c r="O135" t="s">
        <v>216</v>
      </c>
      <c r="P135">
        <v>35.364501949999998</v>
      </c>
      <c r="Q135">
        <v>35.930480959999997</v>
      </c>
    </row>
    <row r="136" spans="2:17">
      <c r="B136" t="s">
        <v>614</v>
      </c>
      <c r="C136" t="s">
        <v>154</v>
      </c>
      <c r="D136" t="s">
        <v>128</v>
      </c>
      <c r="E136" t="s">
        <v>740</v>
      </c>
      <c r="F136" t="s">
        <v>346</v>
      </c>
      <c r="G136" t="s">
        <v>347</v>
      </c>
      <c r="H136" t="s">
        <v>124</v>
      </c>
      <c r="I136">
        <v>1</v>
      </c>
      <c r="J136" t="s">
        <v>108</v>
      </c>
      <c r="K136" t="s">
        <v>730</v>
      </c>
      <c r="L136" t="s">
        <v>690</v>
      </c>
      <c r="M136" t="s">
        <v>27</v>
      </c>
      <c r="N136" t="s">
        <v>387</v>
      </c>
      <c r="O136" t="s">
        <v>741</v>
      </c>
      <c r="P136">
        <v>35.493530270000001</v>
      </c>
      <c r="Q136">
        <v>36.171875</v>
      </c>
    </row>
    <row r="137" spans="2:17">
      <c r="B137" t="s">
        <v>614</v>
      </c>
      <c r="C137" t="s">
        <v>154</v>
      </c>
      <c r="D137" t="s">
        <v>128</v>
      </c>
      <c r="E137" t="s">
        <v>755</v>
      </c>
      <c r="F137" t="s">
        <v>346</v>
      </c>
      <c r="G137" t="s">
        <v>347</v>
      </c>
      <c r="H137" t="s">
        <v>124</v>
      </c>
      <c r="I137">
        <v>1</v>
      </c>
      <c r="J137" t="s">
        <v>108</v>
      </c>
      <c r="K137" t="s">
        <v>730</v>
      </c>
      <c r="L137" t="s">
        <v>690</v>
      </c>
      <c r="M137" t="s">
        <v>27</v>
      </c>
      <c r="N137" t="s">
        <v>387</v>
      </c>
      <c r="O137" t="s">
        <v>756</v>
      </c>
      <c r="P137">
        <v>36.23828125</v>
      </c>
      <c r="Q137">
        <v>38.573913570000002</v>
      </c>
    </row>
    <row r="138" spans="2:17">
      <c r="B138" t="s">
        <v>614</v>
      </c>
      <c r="C138" t="s">
        <v>154</v>
      </c>
      <c r="D138" t="s">
        <v>128</v>
      </c>
      <c r="E138" t="s">
        <v>757</v>
      </c>
      <c r="F138" t="s">
        <v>346</v>
      </c>
      <c r="G138" t="s">
        <v>347</v>
      </c>
      <c r="H138" t="s">
        <v>124</v>
      </c>
      <c r="I138">
        <v>1</v>
      </c>
      <c r="J138" t="s">
        <v>108</v>
      </c>
      <c r="K138" t="s">
        <v>730</v>
      </c>
      <c r="L138" t="s">
        <v>690</v>
      </c>
      <c r="M138" t="s">
        <v>27</v>
      </c>
      <c r="N138" t="s">
        <v>387</v>
      </c>
      <c r="O138" t="s">
        <v>758</v>
      </c>
      <c r="P138">
        <v>35.531921390000001</v>
      </c>
      <c r="Q138">
        <v>36.142883300000001</v>
      </c>
    </row>
    <row r="139" spans="2:17">
      <c r="B139" t="s">
        <v>614</v>
      </c>
      <c r="C139" t="s">
        <v>154</v>
      </c>
      <c r="D139" t="s">
        <v>128</v>
      </c>
      <c r="E139" t="s">
        <v>740</v>
      </c>
      <c r="F139" t="s">
        <v>346</v>
      </c>
      <c r="G139" t="s">
        <v>347</v>
      </c>
      <c r="H139" t="s">
        <v>124</v>
      </c>
      <c r="I139">
        <v>1</v>
      </c>
      <c r="J139" t="s">
        <v>108</v>
      </c>
      <c r="K139" t="s">
        <v>730</v>
      </c>
      <c r="L139" t="s">
        <v>690</v>
      </c>
      <c r="M139" t="s">
        <v>27</v>
      </c>
      <c r="N139" t="s">
        <v>387</v>
      </c>
      <c r="O139" t="s">
        <v>741</v>
      </c>
      <c r="P139">
        <v>35.493530270000001</v>
      </c>
      <c r="Q139">
        <v>36.171875</v>
      </c>
    </row>
    <row r="140" spans="2:17">
      <c r="B140" t="s">
        <v>614</v>
      </c>
      <c r="C140" t="s">
        <v>154</v>
      </c>
      <c r="D140" t="s">
        <v>128</v>
      </c>
      <c r="E140" t="s">
        <v>748</v>
      </c>
      <c r="F140" t="s">
        <v>346</v>
      </c>
      <c r="G140" t="s">
        <v>347</v>
      </c>
      <c r="H140" t="s">
        <v>124</v>
      </c>
      <c r="I140">
        <v>1</v>
      </c>
      <c r="J140" t="s">
        <v>108</v>
      </c>
      <c r="K140" t="s">
        <v>730</v>
      </c>
      <c r="L140" t="s">
        <v>690</v>
      </c>
      <c r="M140" t="s">
        <v>27</v>
      </c>
      <c r="N140" t="s">
        <v>387</v>
      </c>
      <c r="O140" t="s">
        <v>749</v>
      </c>
      <c r="P140">
        <v>35.710083009999998</v>
      </c>
      <c r="Q140">
        <v>36.219116210000003</v>
      </c>
    </row>
    <row r="141" spans="2:17">
      <c r="B141" t="s">
        <v>614</v>
      </c>
      <c r="C141" t="s">
        <v>154</v>
      </c>
      <c r="D141" t="s">
        <v>128</v>
      </c>
      <c r="E141" t="s">
        <v>744</v>
      </c>
      <c r="F141" t="s">
        <v>346</v>
      </c>
      <c r="G141" t="s">
        <v>506</v>
      </c>
      <c r="H141" t="s">
        <v>124</v>
      </c>
      <c r="I141">
        <v>1</v>
      </c>
      <c r="J141" t="s">
        <v>99</v>
      </c>
      <c r="K141" t="s">
        <v>765</v>
      </c>
      <c r="L141" t="s">
        <v>508</v>
      </c>
      <c r="M141" t="s">
        <v>27</v>
      </c>
      <c r="N141" t="s">
        <v>99</v>
      </c>
      <c r="O141" t="s">
        <v>745</v>
      </c>
      <c r="P141">
        <v>35.825683589999997</v>
      </c>
      <c r="Q141">
        <v>35.953308110000002</v>
      </c>
    </row>
    <row r="142" spans="2:17">
      <c r="B142" t="s">
        <v>809</v>
      </c>
      <c r="C142" t="s">
        <v>154</v>
      </c>
      <c r="D142" t="s">
        <v>27</v>
      </c>
      <c r="E142" t="s">
        <v>221</v>
      </c>
      <c r="F142" t="s">
        <v>812</v>
      </c>
      <c r="G142" t="s">
        <v>243</v>
      </c>
      <c r="H142" t="s">
        <v>814</v>
      </c>
      <c r="I142">
        <v>1</v>
      </c>
      <c r="J142" t="s">
        <v>108</v>
      </c>
      <c r="K142" t="s">
        <v>878</v>
      </c>
      <c r="L142" t="s">
        <v>278</v>
      </c>
      <c r="M142" t="s">
        <v>27</v>
      </c>
      <c r="N142" t="s">
        <v>108</v>
      </c>
      <c r="O142" t="s">
        <v>222</v>
      </c>
      <c r="P142">
        <v>35.751708979999997</v>
      </c>
      <c r="Q142">
        <v>36.103271479999997</v>
      </c>
    </row>
    <row r="143" spans="2:17">
      <c r="B143" t="s">
        <v>928</v>
      </c>
      <c r="C143" t="s">
        <v>154</v>
      </c>
      <c r="D143" t="s">
        <v>943</v>
      </c>
      <c r="E143" t="s">
        <v>943</v>
      </c>
      <c r="F143" t="s">
        <v>930</v>
      </c>
      <c r="G143" t="s">
        <v>1043</v>
      </c>
      <c r="H143" t="s">
        <v>411</v>
      </c>
      <c r="I143">
        <v>1</v>
      </c>
      <c r="J143" t="s">
        <v>883</v>
      </c>
      <c r="K143" t="s">
        <v>1044</v>
      </c>
      <c r="L143" t="s">
        <v>1045</v>
      </c>
      <c r="M143" t="s">
        <v>1046</v>
      </c>
      <c r="N143" t="s">
        <v>387</v>
      </c>
      <c r="O143" t="s">
        <v>948</v>
      </c>
      <c r="P143">
        <v>36.322509770000003</v>
      </c>
      <c r="Q143">
        <v>39.063476559999998</v>
      </c>
    </row>
    <row r="144" spans="2:17">
      <c r="B144" t="s">
        <v>928</v>
      </c>
      <c r="C144" t="s">
        <v>154</v>
      </c>
      <c r="D144" t="s">
        <v>929</v>
      </c>
      <c r="E144" t="s">
        <v>929</v>
      </c>
      <c r="F144" t="s">
        <v>930</v>
      </c>
      <c r="G144" t="s">
        <v>1047</v>
      </c>
      <c r="H144" t="s">
        <v>1048</v>
      </c>
      <c r="I144">
        <v>1</v>
      </c>
      <c r="J144" t="s">
        <v>845</v>
      </c>
      <c r="K144" t="s">
        <v>1049</v>
      </c>
      <c r="L144" t="s">
        <v>1050</v>
      </c>
      <c r="M144" t="s">
        <v>1051</v>
      </c>
      <c r="N144" t="s">
        <v>387</v>
      </c>
      <c r="O144" t="s">
        <v>936</v>
      </c>
      <c r="P144">
        <v>36.38372803</v>
      </c>
      <c r="Q144">
        <v>38.862915039999997</v>
      </c>
    </row>
    <row r="145" spans="2:17">
      <c r="B145" t="s">
        <v>928</v>
      </c>
      <c r="C145" t="s">
        <v>154</v>
      </c>
      <c r="D145" t="s">
        <v>1061</v>
      </c>
      <c r="E145" t="s">
        <v>1066</v>
      </c>
      <c r="F145" t="s">
        <v>930</v>
      </c>
      <c r="G145" t="s">
        <v>1062</v>
      </c>
      <c r="H145" t="s">
        <v>976</v>
      </c>
      <c r="I145">
        <v>1</v>
      </c>
      <c r="J145" t="s">
        <v>99</v>
      </c>
      <c r="K145" t="s">
        <v>1063</v>
      </c>
      <c r="L145" t="s">
        <v>1064</v>
      </c>
      <c r="M145" t="s">
        <v>1065</v>
      </c>
      <c r="N145" t="s">
        <v>99</v>
      </c>
      <c r="O145" t="s">
        <v>1067</v>
      </c>
      <c r="P145">
        <v>35.743896479999997</v>
      </c>
      <c r="Q145">
        <v>36.163696289999997</v>
      </c>
    </row>
    <row r="146" spans="2:17">
      <c r="B146" t="s">
        <v>928</v>
      </c>
      <c r="C146" t="s">
        <v>154</v>
      </c>
      <c r="D146" t="s">
        <v>1061</v>
      </c>
      <c r="E146" t="s">
        <v>1068</v>
      </c>
      <c r="F146" t="s">
        <v>930</v>
      </c>
      <c r="G146" t="s">
        <v>1062</v>
      </c>
      <c r="H146" t="s">
        <v>976</v>
      </c>
      <c r="I146">
        <v>1</v>
      </c>
      <c r="J146" t="s">
        <v>99</v>
      </c>
      <c r="K146" t="s">
        <v>1063</v>
      </c>
      <c r="L146" t="s">
        <v>1064</v>
      </c>
      <c r="M146" t="s">
        <v>1065</v>
      </c>
      <c r="N146" t="s">
        <v>99</v>
      </c>
      <c r="O146" t="s">
        <v>1069</v>
      </c>
      <c r="P146">
        <v>35.754882809999998</v>
      </c>
      <c r="Q146">
        <v>36.127502440000001</v>
      </c>
    </row>
    <row r="147" spans="2:17">
      <c r="B147" t="s">
        <v>1309</v>
      </c>
      <c r="C147" t="s">
        <v>154</v>
      </c>
      <c r="D147" t="s">
        <v>1376</v>
      </c>
      <c r="E147" t="s">
        <v>1377</v>
      </c>
      <c r="F147" t="s">
        <v>812</v>
      </c>
      <c r="G147" t="s">
        <v>123</v>
      </c>
      <c r="H147" t="s">
        <v>1347</v>
      </c>
      <c r="I147">
        <v>1</v>
      </c>
      <c r="J147" t="s">
        <v>108</v>
      </c>
      <c r="K147" t="s">
        <v>1378</v>
      </c>
      <c r="L147" t="s">
        <v>1379</v>
      </c>
      <c r="M147" t="s">
        <v>1380</v>
      </c>
      <c r="N147" t="s">
        <v>108</v>
      </c>
      <c r="O147" t="s">
        <v>1381</v>
      </c>
      <c r="P147">
        <v>37.236511229999998</v>
      </c>
      <c r="Q147">
        <v>42.18591309</v>
      </c>
    </row>
    <row r="148" spans="2:17">
      <c r="B148" t="s">
        <v>381</v>
      </c>
      <c r="C148" t="s">
        <v>577</v>
      </c>
      <c r="D148" t="s">
        <v>128</v>
      </c>
      <c r="E148" t="s">
        <v>289</v>
      </c>
      <c r="F148" t="s">
        <v>96</v>
      </c>
      <c r="G148" t="s">
        <v>337</v>
      </c>
      <c r="H148" t="s">
        <v>578</v>
      </c>
      <c r="I148">
        <v>1</v>
      </c>
      <c r="J148" t="s">
        <v>24</v>
      </c>
      <c r="K148" t="s">
        <v>579</v>
      </c>
      <c r="L148" t="s">
        <v>580</v>
      </c>
      <c r="M148" t="s">
        <v>27</v>
      </c>
      <c r="N148" t="s">
        <v>24</v>
      </c>
      <c r="O148" t="str">
        <f>_xlfn.XLOOKUP(E148,[1]syr_populatedplaces!$L:$L,[1]syr_populatedplaces!$M:$M)</f>
        <v>C3668</v>
      </c>
      <c r="P148">
        <f>_xlfn.XLOOKUP(E148,[1]syr_populatedplaces!$L:$L,[1]syr_populatedplaces!$AD:$AD)</f>
        <v>35.604675290000003</v>
      </c>
      <c r="Q148">
        <f>_xlfn.XLOOKUP(E148,[1]syr_populatedplaces!$L:$L,[1]syr_populatedplaces!$AC:$AC)</f>
        <v>35.992919919999999</v>
      </c>
    </row>
    <row r="149" spans="2:17">
      <c r="B149" t="s">
        <v>381</v>
      </c>
      <c r="C149" t="s">
        <v>577</v>
      </c>
      <c r="D149" t="s">
        <v>128</v>
      </c>
      <c r="E149" t="s">
        <v>1858</v>
      </c>
      <c r="F149" t="s">
        <v>96</v>
      </c>
      <c r="G149" t="s">
        <v>275</v>
      </c>
      <c r="H149" t="s">
        <v>583</v>
      </c>
      <c r="I149">
        <v>1</v>
      </c>
      <c r="J149" t="s">
        <v>99</v>
      </c>
      <c r="K149" t="s">
        <v>496</v>
      </c>
      <c r="L149" t="s">
        <v>278</v>
      </c>
      <c r="M149" t="s">
        <v>27</v>
      </c>
      <c r="N149" t="s">
        <v>24</v>
      </c>
      <c r="O149" t="str">
        <f>_xlfn.XLOOKUP(E149,[1]syr_populatedplaces!$L:$L,[1]syr_populatedplaces!$M:$M)</f>
        <v>C3667</v>
      </c>
      <c r="P149">
        <f>_xlfn.XLOOKUP(E149,[1]syr_populatedplaces!$L:$L,[1]syr_populatedplaces!$AD:$AD)</f>
        <v>35.314697270000003</v>
      </c>
      <c r="Q149">
        <f>_xlfn.XLOOKUP(E149,[1]syr_populatedplaces!$L:$L,[1]syr_populatedplaces!$AC:$AC)</f>
        <v>36.122497559999999</v>
      </c>
    </row>
    <row r="150" spans="2:17">
      <c r="B150" t="s">
        <v>381</v>
      </c>
      <c r="C150" t="s">
        <v>577</v>
      </c>
      <c r="D150" t="s">
        <v>128</v>
      </c>
      <c r="E150" t="s">
        <v>257</v>
      </c>
      <c r="F150" t="s">
        <v>96</v>
      </c>
      <c r="G150" t="s">
        <v>275</v>
      </c>
      <c r="H150" t="s">
        <v>583</v>
      </c>
      <c r="I150">
        <v>1</v>
      </c>
      <c r="J150" t="s">
        <v>99</v>
      </c>
      <c r="K150" t="s">
        <v>496</v>
      </c>
      <c r="L150" t="s">
        <v>278</v>
      </c>
      <c r="M150" t="s">
        <v>27</v>
      </c>
      <c r="N150" t="s">
        <v>24</v>
      </c>
      <c r="O150" t="str">
        <f>_xlfn.XLOOKUP(E150,[1]syr_populatedplaces!$L:$L,[1]syr_populatedplaces!$M:$M)</f>
        <v>C5404</v>
      </c>
      <c r="P150">
        <f>_xlfn.XLOOKUP(E150,[1]syr_populatedplaces!$L:$L,[1]syr_populatedplaces!$AD:$AD)</f>
        <v>35.088317869999997</v>
      </c>
      <c r="Q150">
        <f>_xlfn.XLOOKUP(E150,[1]syr_populatedplaces!$L:$L,[1]syr_populatedplaces!$AC:$AC)</f>
        <v>36.14727783</v>
      </c>
    </row>
    <row r="151" spans="2:17">
      <c r="B151" t="s">
        <v>381</v>
      </c>
      <c r="C151" t="s">
        <v>577</v>
      </c>
      <c r="D151" t="s">
        <v>128</v>
      </c>
      <c r="E151" t="s">
        <v>1831</v>
      </c>
      <c r="F151" t="s">
        <v>96</v>
      </c>
      <c r="G151" t="s">
        <v>275</v>
      </c>
      <c r="H151" t="s">
        <v>583</v>
      </c>
      <c r="I151">
        <v>1</v>
      </c>
      <c r="J151" t="s">
        <v>99</v>
      </c>
      <c r="K151" t="s">
        <v>496</v>
      </c>
      <c r="L151" t="s">
        <v>278</v>
      </c>
      <c r="M151" t="s">
        <v>27</v>
      </c>
      <c r="N151" t="s">
        <v>24</v>
      </c>
      <c r="O151" t="str">
        <f>_xlfn.XLOOKUP(E151,[1]syr_populatedplaces!$L:$L,[1]syr_populatedplaces!$M:$M)</f>
        <v>C3209</v>
      </c>
      <c r="P151">
        <f>_xlfn.XLOOKUP(E151,[1]syr_populatedplaces!$L:$L,[1]syr_populatedplaces!$AD:$AD)</f>
        <v>35.432312009999997</v>
      </c>
      <c r="Q151">
        <f>_xlfn.XLOOKUP(E151,[1]syr_populatedplaces!$L:$L,[1]syr_populatedplaces!$AC:$AC)</f>
        <v>36.490905759999997</v>
      </c>
    </row>
    <row r="152" spans="2:17">
      <c r="B152" t="s">
        <v>381</v>
      </c>
      <c r="C152" t="s">
        <v>577</v>
      </c>
      <c r="D152" t="s">
        <v>128</v>
      </c>
      <c r="E152" t="s">
        <v>1831</v>
      </c>
      <c r="F152" t="s">
        <v>96</v>
      </c>
      <c r="G152" t="s">
        <v>586</v>
      </c>
      <c r="H152" t="s">
        <v>587</v>
      </c>
      <c r="I152">
        <v>1</v>
      </c>
      <c r="J152" t="s">
        <v>108</v>
      </c>
      <c r="K152" t="s">
        <v>588</v>
      </c>
      <c r="L152" t="s">
        <v>589</v>
      </c>
      <c r="M152" t="s">
        <v>27</v>
      </c>
      <c r="N152" t="s">
        <v>108</v>
      </c>
      <c r="O152" t="str">
        <f>_xlfn.XLOOKUP(E152,[1]syr_populatedplaces!$L:$L,[1]syr_populatedplaces!$M:$M)</f>
        <v>C3209</v>
      </c>
      <c r="P152">
        <f>_xlfn.XLOOKUP(E152,[1]syr_populatedplaces!$L:$L,[1]syr_populatedplaces!$AD:$AD)</f>
        <v>35.432312009999997</v>
      </c>
      <c r="Q152">
        <f>_xlfn.XLOOKUP(E152,[1]syr_populatedplaces!$L:$L,[1]syr_populatedplaces!$AC:$AC)</f>
        <v>36.490905759999997</v>
      </c>
    </row>
    <row r="153" spans="2:17">
      <c r="B153" t="s">
        <v>381</v>
      </c>
      <c r="C153" t="s">
        <v>577</v>
      </c>
      <c r="D153" t="s">
        <v>128</v>
      </c>
      <c r="E153" t="s">
        <v>1834</v>
      </c>
      <c r="F153" t="s">
        <v>96</v>
      </c>
      <c r="G153" t="s">
        <v>590</v>
      </c>
      <c r="H153" t="s">
        <v>591</v>
      </c>
      <c r="I153">
        <v>1</v>
      </c>
      <c r="J153" t="s">
        <v>99</v>
      </c>
      <c r="K153" t="s">
        <v>265</v>
      </c>
      <c r="L153" t="s">
        <v>592</v>
      </c>
      <c r="M153" t="s">
        <v>27</v>
      </c>
      <c r="N153" t="s">
        <v>99</v>
      </c>
      <c r="O153" t="str">
        <f>_xlfn.XLOOKUP(E153,[1]syr_populatedplaces!$L:$L,[1]syr_populatedplaces!$M:$M)</f>
        <v>C3385</v>
      </c>
      <c r="P153">
        <f>_xlfn.XLOOKUP(E153,[1]syr_populatedplaces!$L:$L,[1]syr_populatedplaces!$AD:$AD)</f>
        <v>35.160095220000002</v>
      </c>
      <c r="Q153">
        <f>_xlfn.XLOOKUP(E153,[1]syr_populatedplaces!$L:$L,[1]syr_populatedplaces!$AC:$AC)</f>
        <v>36.39868164</v>
      </c>
    </row>
    <row r="154" spans="2:17">
      <c r="B154" t="s">
        <v>614</v>
      </c>
      <c r="C154" t="s">
        <v>577</v>
      </c>
      <c r="D154" t="s">
        <v>796</v>
      </c>
      <c r="E154" t="s">
        <v>1417</v>
      </c>
      <c r="F154" t="s">
        <v>96</v>
      </c>
      <c r="G154" t="s">
        <v>259</v>
      </c>
      <c r="H154" t="s">
        <v>797</v>
      </c>
      <c r="I154">
        <v>3</v>
      </c>
      <c r="J154" t="s">
        <v>99</v>
      </c>
      <c r="K154" t="s">
        <v>798</v>
      </c>
      <c r="L154" t="s">
        <v>799</v>
      </c>
      <c r="M154" t="s">
        <v>27</v>
      </c>
      <c r="N154" t="s">
        <v>24</v>
      </c>
      <c r="O154" t="str">
        <f>_xlfn.XLOOKUP(E154,[1]syr_populatedplaces!$L:$L,[1]syr_populatedplaces!$M:$M)</f>
        <v>C5993</v>
      </c>
      <c r="P154">
        <f>_xlfn.XLOOKUP(E154,[1]syr_populatedplaces!$L:$L,[1]syr_populatedplaces!$AD:$AD)</f>
        <v>32.62408447</v>
      </c>
      <c r="Q154">
        <f>_xlfn.XLOOKUP(E154,[1]syr_populatedplaces!$L:$L,[1]syr_populatedplaces!$AC:$AC)</f>
        <v>36.104919430000002</v>
      </c>
    </row>
    <row r="155" spans="2:17">
      <c r="B155" t="s">
        <v>381</v>
      </c>
      <c r="C155" t="s">
        <v>577</v>
      </c>
      <c r="D155" t="s">
        <v>128</v>
      </c>
      <c r="E155" t="s">
        <v>1820</v>
      </c>
      <c r="F155" t="s">
        <v>96</v>
      </c>
      <c r="G155" t="s">
        <v>337</v>
      </c>
      <c r="H155" t="s">
        <v>578</v>
      </c>
      <c r="I155">
        <v>1</v>
      </c>
      <c r="J155" t="s">
        <v>24</v>
      </c>
      <c r="K155" t="s">
        <v>579</v>
      </c>
      <c r="L155" t="s">
        <v>580</v>
      </c>
      <c r="M155" t="s">
        <v>27</v>
      </c>
      <c r="N155" t="s">
        <v>24</v>
      </c>
      <c r="O155" t="s">
        <v>582</v>
      </c>
      <c r="P155">
        <v>32.867675779999999</v>
      </c>
      <c r="Q155">
        <v>36.254089360000002</v>
      </c>
    </row>
    <row r="156" spans="2:17">
      <c r="B156" t="s">
        <v>381</v>
      </c>
      <c r="C156" t="s">
        <v>577</v>
      </c>
      <c r="D156" t="s">
        <v>128</v>
      </c>
      <c r="E156" t="s">
        <v>584</v>
      </c>
      <c r="F156" t="s">
        <v>96</v>
      </c>
      <c r="G156" t="s">
        <v>275</v>
      </c>
      <c r="H156" t="s">
        <v>583</v>
      </c>
      <c r="I156">
        <v>1</v>
      </c>
      <c r="J156" t="s">
        <v>99</v>
      </c>
      <c r="K156" t="s">
        <v>496</v>
      </c>
      <c r="L156" t="s">
        <v>278</v>
      </c>
      <c r="M156" t="s">
        <v>27</v>
      </c>
      <c r="N156" t="s">
        <v>24</v>
      </c>
      <c r="O156" t="s">
        <v>585</v>
      </c>
      <c r="P156">
        <v>33.182128910000003</v>
      </c>
      <c r="Q156">
        <v>35.890930179999998</v>
      </c>
    </row>
    <row r="157" spans="2:17">
      <c r="B157" t="s">
        <v>381</v>
      </c>
      <c r="C157" t="s">
        <v>577</v>
      </c>
      <c r="D157" t="s">
        <v>128</v>
      </c>
      <c r="E157" t="s">
        <v>581</v>
      </c>
      <c r="F157" t="s">
        <v>96</v>
      </c>
      <c r="G157" t="s">
        <v>275</v>
      </c>
      <c r="H157" t="s">
        <v>583</v>
      </c>
      <c r="I157">
        <v>1</v>
      </c>
      <c r="J157" t="s">
        <v>99</v>
      </c>
      <c r="K157" t="s">
        <v>496</v>
      </c>
      <c r="L157" t="s">
        <v>278</v>
      </c>
      <c r="M157" t="s">
        <v>27</v>
      </c>
      <c r="N157" t="s">
        <v>24</v>
      </c>
      <c r="O157" t="s">
        <v>582</v>
      </c>
      <c r="P157">
        <v>32.867675779999999</v>
      </c>
      <c r="Q157">
        <v>36.254089360000002</v>
      </c>
    </row>
    <row r="158" spans="2:17">
      <c r="B158" t="s">
        <v>381</v>
      </c>
      <c r="C158" t="s">
        <v>577</v>
      </c>
      <c r="D158" t="s">
        <v>128</v>
      </c>
      <c r="E158" t="s">
        <v>593</v>
      </c>
      <c r="F158" t="s">
        <v>96</v>
      </c>
      <c r="G158" t="s">
        <v>590</v>
      </c>
      <c r="H158" t="s">
        <v>591</v>
      </c>
      <c r="I158">
        <v>1</v>
      </c>
      <c r="J158" t="s">
        <v>99</v>
      </c>
      <c r="K158" t="s">
        <v>265</v>
      </c>
      <c r="L158" t="s">
        <v>592</v>
      </c>
      <c r="M158" t="s">
        <v>27</v>
      </c>
      <c r="N158" t="s">
        <v>99</v>
      </c>
      <c r="O158" t="s">
        <v>594</v>
      </c>
      <c r="P158">
        <v>33.232910160000003</v>
      </c>
      <c r="Q158">
        <v>35.844482419999999</v>
      </c>
    </row>
    <row r="159" spans="2:17" ht="15">
      <c r="B159" t="s">
        <v>17</v>
      </c>
      <c r="C159" t="s">
        <v>127</v>
      </c>
      <c r="D159" t="s">
        <v>128</v>
      </c>
      <c r="E159" t="s">
        <v>129</v>
      </c>
      <c r="F159" t="s">
        <v>21</v>
      </c>
      <c r="G159" t="s">
        <v>130</v>
      </c>
      <c r="H159" t="s">
        <v>124</v>
      </c>
      <c r="I159">
        <v>1</v>
      </c>
      <c r="J159" t="s">
        <v>24</v>
      </c>
      <c r="K159" t="s">
        <v>131</v>
      </c>
      <c r="L159" t="s">
        <v>132</v>
      </c>
      <c r="M159" t="s">
        <v>27</v>
      </c>
      <c r="N159" t="s">
        <v>108</v>
      </c>
      <c r="O159" t="s">
        <v>133</v>
      </c>
      <c r="P159" s="4">
        <f>_xlfn.XLOOKUP(الجدول1[[#This Row],[القرية– البلدة]],[1]syr_populatedplaces!$L:$L,[1]syr_populatedplaces!$AD:$AD)</f>
        <v>35.814270020000002</v>
      </c>
      <c r="Q159" s="4">
        <f>_xlfn.XLOOKUP(الجدول1[[#This Row],[القرية– البلدة]],[1]syr_populatedplaces!$L:$L,[1]syr_populatedplaces!$AC:$AC)</f>
        <v>36.314880369999997</v>
      </c>
    </row>
    <row r="160" spans="2:17">
      <c r="B160" t="s">
        <v>17</v>
      </c>
      <c r="C160" t="s">
        <v>127</v>
      </c>
      <c r="D160" t="s">
        <v>128</v>
      </c>
      <c r="E160" t="s">
        <v>129</v>
      </c>
      <c r="F160" t="s">
        <v>21</v>
      </c>
      <c r="G160" t="s">
        <v>130</v>
      </c>
      <c r="H160" t="s">
        <v>124</v>
      </c>
      <c r="I160">
        <v>1</v>
      </c>
      <c r="J160" t="s">
        <v>24</v>
      </c>
      <c r="K160" t="s">
        <v>131</v>
      </c>
      <c r="L160" t="s">
        <v>132</v>
      </c>
      <c r="M160" t="s">
        <v>27</v>
      </c>
      <c r="N160" t="s">
        <v>108</v>
      </c>
      <c r="O160" t="s">
        <v>133</v>
      </c>
      <c r="P160">
        <v>35.814270020000002</v>
      </c>
      <c r="Q160">
        <v>36.314880369999997</v>
      </c>
    </row>
    <row r="161" spans="2:17">
      <c r="B161" t="s">
        <v>17</v>
      </c>
      <c r="C161" t="s">
        <v>127</v>
      </c>
      <c r="D161" t="s">
        <v>128</v>
      </c>
      <c r="E161" t="s">
        <v>134</v>
      </c>
      <c r="F161" t="s">
        <v>21</v>
      </c>
      <c r="G161" t="s">
        <v>130</v>
      </c>
      <c r="H161" t="s">
        <v>124</v>
      </c>
      <c r="I161">
        <v>1</v>
      </c>
      <c r="J161" t="s">
        <v>24</v>
      </c>
      <c r="K161" t="s">
        <v>131</v>
      </c>
      <c r="L161" t="s">
        <v>132</v>
      </c>
      <c r="M161" t="s">
        <v>27</v>
      </c>
      <c r="N161" t="s">
        <v>108</v>
      </c>
      <c r="O161" t="str">
        <f>_xlfn.XLOOKUP(E161,[1]syr_populatedplaces!$L:$L,[1]syr_populatedplaces!$M:$M)</f>
        <v>C4238</v>
      </c>
      <c r="P161">
        <f>_xlfn.XLOOKUP(E161,[1]syr_populatedplaces!$L:$L,[1]syr_populatedplaces!$AD:$AD)</f>
        <v>35.954528809999999</v>
      </c>
      <c r="Q161">
        <f>_xlfn.XLOOKUP(E161,[1]syr_populatedplaces!$L:$L,[1]syr_populatedplaces!$AC:$AC)</f>
        <v>36.340515140000001</v>
      </c>
    </row>
    <row r="162" spans="2:17">
      <c r="B162" t="s">
        <v>17</v>
      </c>
      <c r="C162" t="s">
        <v>127</v>
      </c>
      <c r="D162" t="s">
        <v>128</v>
      </c>
      <c r="E162" t="s">
        <v>135</v>
      </c>
      <c r="F162" t="s">
        <v>21</v>
      </c>
      <c r="G162" t="s">
        <v>130</v>
      </c>
      <c r="H162" t="s">
        <v>124</v>
      </c>
      <c r="I162">
        <v>1</v>
      </c>
      <c r="J162" t="s">
        <v>24</v>
      </c>
      <c r="K162" t="s">
        <v>131</v>
      </c>
      <c r="L162" t="s">
        <v>132</v>
      </c>
      <c r="M162" t="s">
        <v>27</v>
      </c>
      <c r="N162" t="s">
        <v>108</v>
      </c>
      <c r="O162" t="s">
        <v>136</v>
      </c>
      <c r="P162">
        <v>35.992492679999998</v>
      </c>
      <c r="Q162">
        <v>36.393493650000003</v>
      </c>
    </row>
    <row r="163" spans="2:17">
      <c r="B163" t="s">
        <v>17</v>
      </c>
      <c r="C163" t="s">
        <v>127</v>
      </c>
      <c r="D163" t="s">
        <v>128</v>
      </c>
      <c r="E163" t="s">
        <v>127</v>
      </c>
      <c r="F163" t="s">
        <v>21</v>
      </c>
      <c r="G163" t="s">
        <v>130</v>
      </c>
      <c r="H163" t="s">
        <v>124</v>
      </c>
      <c r="I163">
        <v>1</v>
      </c>
      <c r="J163" t="s">
        <v>24</v>
      </c>
      <c r="K163" t="s">
        <v>131</v>
      </c>
      <c r="L163" t="s">
        <v>132</v>
      </c>
      <c r="M163" t="s">
        <v>27</v>
      </c>
      <c r="N163" t="s">
        <v>108</v>
      </c>
      <c r="O163" t="s">
        <v>137</v>
      </c>
      <c r="P163">
        <v>35.929077149999998</v>
      </c>
      <c r="Q163">
        <v>36.635314940000001</v>
      </c>
    </row>
    <row r="164" spans="2:17">
      <c r="B164" t="s">
        <v>17</v>
      </c>
      <c r="C164" t="s">
        <v>127</v>
      </c>
      <c r="D164" t="s">
        <v>128</v>
      </c>
      <c r="E164" t="s">
        <v>135</v>
      </c>
      <c r="F164" t="s">
        <v>21</v>
      </c>
      <c r="G164" t="s">
        <v>130</v>
      </c>
      <c r="H164" t="s">
        <v>124</v>
      </c>
      <c r="I164">
        <v>1</v>
      </c>
      <c r="J164" t="s">
        <v>24</v>
      </c>
      <c r="K164" t="s">
        <v>131</v>
      </c>
      <c r="L164" t="s">
        <v>132</v>
      </c>
      <c r="M164" t="s">
        <v>27</v>
      </c>
      <c r="N164" t="s">
        <v>108</v>
      </c>
      <c r="O164" t="str">
        <f>_xlfn.XLOOKUP(E164,[1]syr_populatedplaces!$L:$L,[1]syr_populatedplaces!$M:$M)</f>
        <v>C4252</v>
      </c>
      <c r="P164">
        <f>_xlfn.XLOOKUP(E164,[1]syr_populatedplaces!$L:$L,[1]syr_populatedplaces!$AD:$AD)</f>
        <v>35.992492679999998</v>
      </c>
      <c r="Q164">
        <f>_xlfn.XLOOKUP(E164,[1]syr_populatedplaces!$L:$L,[1]syr_populatedplaces!$AC:$AC)</f>
        <v>36.393493650000003</v>
      </c>
    </row>
    <row r="165" spans="2:17">
      <c r="B165" t="s">
        <v>17</v>
      </c>
      <c r="C165" t="s">
        <v>127</v>
      </c>
      <c r="D165" t="s">
        <v>128</v>
      </c>
      <c r="E165" t="s">
        <v>138</v>
      </c>
      <c r="F165" t="s">
        <v>21</v>
      </c>
      <c r="G165" t="s">
        <v>130</v>
      </c>
      <c r="H165" t="s">
        <v>124</v>
      </c>
      <c r="I165">
        <v>1</v>
      </c>
      <c r="J165" t="s">
        <v>24</v>
      </c>
      <c r="K165" t="s">
        <v>131</v>
      </c>
      <c r="L165" t="s">
        <v>132</v>
      </c>
      <c r="M165" t="s">
        <v>27</v>
      </c>
      <c r="N165" t="s">
        <v>108</v>
      </c>
      <c r="O165" t="s">
        <v>139</v>
      </c>
      <c r="P165">
        <v>36.255676270000002</v>
      </c>
      <c r="Q165">
        <v>36.713500979999999</v>
      </c>
    </row>
    <row r="166" spans="2:17">
      <c r="B166" t="s">
        <v>17</v>
      </c>
      <c r="C166" t="s">
        <v>127</v>
      </c>
      <c r="D166" t="s">
        <v>128</v>
      </c>
      <c r="E166" t="s">
        <v>140</v>
      </c>
      <c r="F166" t="s">
        <v>21</v>
      </c>
      <c r="G166" t="s">
        <v>130</v>
      </c>
      <c r="H166" t="s">
        <v>124</v>
      </c>
      <c r="I166">
        <v>1</v>
      </c>
      <c r="J166" t="s">
        <v>24</v>
      </c>
      <c r="K166" t="s">
        <v>131</v>
      </c>
      <c r="L166" t="s">
        <v>132</v>
      </c>
      <c r="M166" t="s">
        <v>27</v>
      </c>
      <c r="N166" t="s">
        <v>108</v>
      </c>
      <c r="O166" t="s">
        <v>141</v>
      </c>
      <c r="P166">
        <v>36.309875490000003</v>
      </c>
      <c r="Q166">
        <v>36.689880369999997</v>
      </c>
    </row>
    <row r="167" spans="2:17">
      <c r="B167" t="s">
        <v>17</v>
      </c>
      <c r="C167" t="s">
        <v>127</v>
      </c>
      <c r="D167" t="s">
        <v>128</v>
      </c>
      <c r="E167" t="s">
        <v>142</v>
      </c>
      <c r="F167" t="s">
        <v>21</v>
      </c>
      <c r="G167" t="s">
        <v>130</v>
      </c>
      <c r="H167" t="s">
        <v>124</v>
      </c>
      <c r="I167">
        <v>1</v>
      </c>
      <c r="J167" t="s">
        <v>24</v>
      </c>
      <c r="K167" t="s">
        <v>131</v>
      </c>
      <c r="L167" t="s">
        <v>132</v>
      </c>
      <c r="M167" t="s">
        <v>27</v>
      </c>
      <c r="N167" t="s">
        <v>108</v>
      </c>
      <c r="O167" t="str">
        <f>_xlfn.XLOOKUP(E167,[1]syr_populatedplaces!$L:$L,[1]syr_populatedplaces!$M:$M)</f>
        <v>C3866</v>
      </c>
      <c r="P167">
        <f>_xlfn.XLOOKUP(E167,[1]syr_populatedplaces!$L:$L,[1]syr_populatedplaces!$AD:$AD)</f>
        <v>35.885681150000003</v>
      </c>
      <c r="Q167">
        <f>_xlfn.XLOOKUP(E167,[1]syr_populatedplaces!$L:$L,[1]syr_populatedplaces!$AC:$AC)</f>
        <v>36.441894529999999</v>
      </c>
    </row>
    <row r="168" spans="2:17">
      <c r="B168" t="s">
        <v>17</v>
      </c>
      <c r="C168" t="s">
        <v>127</v>
      </c>
      <c r="D168" t="s">
        <v>128</v>
      </c>
      <c r="E168" t="s">
        <v>143</v>
      </c>
      <c r="F168" t="s">
        <v>21</v>
      </c>
      <c r="G168" t="s">
        <v>130</v>
      </c>
      <c r="H168" t="s">
        <v>124</v>
      </c>
      <c r="I168">
        <v>1</v>
      </c>
      <c r="J168" t="s">
        <v>24</v>
      </c>
      <c r="K168" t="s">
        <v>131</v>
      </c>
      <c r="L168" t="s">
        <v>132</v>
      </c>
      <c r="M168" t="s">
        <v>27</v>
      </c>
      <c r="N168" t="s">
        <v>108</v>
      </c>
      <c r="O168" t="str">
        <f>_xlfn.XLOOKUP(E168,[1]syr_populatedplaces!$L:$L,[1]syr_populatedplaces!$M:$M)</f>
        <v>C2902</v>
      </c>
      <c r="P168">
        <f>_xlfn.XLOOKUP(E168,[1]syr_populatedplaces!$L:$L,[1]syr_populatedplaces!$AD:$AD)</f>
        <v>34.82147217</v>
      </c>
      <c r="Q168">
        <f>_xlfn.XLOOKUP(E168,[1]syr_populatedplaces!$L:$L,[1]syr_populatedplaces!$AC:$AC)</f>
        <v>37.210876470000002</v>
      </c>
    </row>
    <row r="169" spans="2:17">
      <c r="B169" t="s">
        <v>17</v>
      </c>
      <c r="C169" t="s">
        <v>127</v>
      </c>
      <c r="D169" t="s">
        <v>128</v>
      </c>
      <c r="E169" t="s">
        <v>140</v>
      </c>
      <c r="F169" t="s">
        <v>21</v>
      </c>
      <c r="G169" t="s">
        <v>130</v>
      </c>
      <c r="H169" t="s">
        <v>124</v>
      </c>
      <c r="I169">
        <v>1</v>
      </c>
      <c r="J169" t="s">
        <v>24</v>
      </c>
      <c r="K169" t="s">
        <v>131</v>
      </c>
      <c r="L169" t="s">
        <v>132</v>
      </c>
      <c r="M169" t="s">
        <v>27</v>
      </c>
      <c r="N169" t="s">
        <v>108</v>
      </c>
      <c r="O169" t="s">
        <v>141</v>
      </c>
      <c r="P169">
        <v>36.309875490000003</v>
      </c>
      <c r="Q169">
        <v>36.689880369999997</v>
      </c>
    </row>
    <row r="170" spans="2:17">
      <c r="B170" t="s">
        <v>17</v>
      </c>
      <c r="C170" t="s">
        <v>127</v>
      </c>
      <c r="D170" t="s">
        <v>128</v>
      </c>
      <c r="E170" t="s">
        <v>144</v>
      </c>
      <c r="F170" t="s">
        <v>21</v>
      </c>
      <c r="G170" t="s">
        <v>130</v>
      </c>
      <c r="H170" t="s">
        <v>124</v>
      </c>
      <c r="I170">
        <v>1</v>
      </c>
      <c r="J170" t="s">
        <v>24</v>
      </c>
      <c r="K170" t="s">
        <v>131</v>
      </c>
      <c r="L170" t="s">
        <v>132</v>
      </c>
      <c r="M170" t="s">
        <v>27</v>
      </c>
      <c r="N170" t="s">
        <v>108</v>
      </c>
      <c r="O170" t="s">
        <v>145</v>
      </c>
      <c r="P170">
        <v>36.339721679999997</v>
      </c>
      <c r="Q170">
        <v>36.664916990000002</v>
      </c>
    </row>
    <row r="171" spans="2:17">
      <c r="B171" t="s">
        <v>17</v>
      </c>
      <c r="C171" t="s">
        <v>127</v>
      </c>
      <c r="D171" t="s">
        <v>128</v>
      </c>
      <c r="E171" t="s">
        <v>146</v>
      </c>
      <c r="F171" t="s">
        <v>21</v>
      </c>
      <c r="G171" t="s">
        <v>130</v>
      </c>
      <c r="H171" t="s">
        <v>124</v>
      </c>
      <c r="I171">
        <v>1</v>
      </c>
      <c r="J171" t="s">
        <v>24</v>
      </c>
      <c r="K171" t="s">
        <v>131</v>
      </c>
      <c r="L171" t="s">
        <v>132</v>
      </c>
      <c r="M171" t="s">
        <v>27</v>
      </c>
      <c r="N171" t="s">
        <v>108</v>
      </c>
      <c r="O171" t="s">
        <v>147</v>
      </c>
      <c r="P171">
        <v>36.138488770000002</v>
      </c>
      <c r="Q171">
        <v>36.612670899999998</v>
      </c>
    </row>
    <row r="172" spans="2:17">
      <c r="B172" t="s">
        <v>17</v>
      </c>
      <c r="C172" t="s">
        <v>127</v>
      </c>
      <c r="D172" t="s">
        <v>128</v>
      </c>
      <c r="E172" t="s">
        <v>148</v>
      </c>
      <c r="F172" t="s">
        <v>21</v>
      </c>
      <c r="G172" t="s">
        <v>130</v>
      </c>
      <c r="H172" t="s">
        <v>124</v>
      </c>
      <c r="I172">
        <v>1</v>
      </c>
      <c r="J172" t="s">
        <v>24</v>
      </c>
      <c r="K172" t="s">
        <v>131</v>
      </c>
      <c r="L172" t="s">
        <v>132</v>
      </c>
      <c r="M172" t="s">
        <v>27</v>
      </c>
      <c r="N172" t="s">
        <v>108</v>
      </c>
      <c r="O172" t="s">
        <v>149</v>
      </c>
      <c r="P172">
        <v>36.169311520000001</v>
      </c>
      <c r="Q172">
        <v>36.580322270000003</v>
      </c>
    </row>
    <row r="173" spans="2:17">
      <c r="B173" t="s">
        <v>17</v>
      </c>
      <c r="C173" t="s">
        <v>127</v>
      </c>
      <c r="D173" t="s">
        <v>128</v>
      </c>
      <c r="E173" t="s">
        <v>150</v>
      </c>
      <c r="F173" t="s">
        <v>21</v>
      </c>
      <c r="G173" t="s">
        <v>130</v>
      </c>
      <c r="H173" t="s">
        <v>124</v>
      </c>
      <c r="I173">
        <v>1</v>
      </c>
      <c r="J173" t="s">
        <v>24</v>
      </c>
      <c r="K173" t="s">
        <v>131</v>
      </c>
      <c r="L173" t="s">
        <v>132</v>
      </c>
      <c r="M173" t="s">
        <v>27</v>
      </c>
      <c r="N173" t="s">
        <v>108</v>
      </c>
      <c r="O173" t="s">
        <v>151</v>
      </c>
      <c r="P173">
        <v>35.812072749999999</v>
      </c>
      <c r="Q173">
        <v>36.197326660000002</v>
      </c>
    </row>
    <row r="174" spans="2:17">
      <c r="B174" t="s">
        <v>17</v>
      </c>
      <c r="C174" t="s">
        <v>127</v>
      </c>
      <c r="D174" t="s">
        <v>128</v>
      </c>
      <c r="E174" t="s">
        <v>152</v>
      </c>
      <c r="F174" t="s">
        <v>21</v>
      </c>
      <c r="G174" t="s">
        <v>130</v>
      </c>
      <c r="H174" t="s">
        <v>124</v>
      </c>
      <c r="I174">
        <v>1</v>
      </c>
      <c r="J174" t="s">
        <v>24</v>
      </c>
      <c r="K174" t="s">
        <v>131</v>
      </c>
      <c r="L174" t="s">
        <v>132</v>
      </c>
      <c r="M174" t="s">
        <v>27</v>
      </c>
      <c r="N174" t="s">
        <v>108</v>
      </c>
      <c r="O174" t="s">
        <v>153</v>
      </c>
      <c r="P174">
        <v>35.899108890000001</v>
      </c>
      <c r="Q174">
        <v>36.218872070000003</v>
      </c>
    </row>
    <row r="175" spans="2:17">
      <c r="B175" t="s">
        <v>17</v>
      </c>
      <c r="C175" t="s">
        <v>127</v>
      </c>
      <c r="D175" t="s">
        <v>128</v>
      </c>
      <c r="E175" t="s">
        <v>150</v>
      </c>
      <c r="F175" t="s">
        <v>21</v>
      </c>
      <c r="G175" t="s">
        <v>130</v>
      </c>
      <c r="H175" t="s">
        <v>124</v>
      </c>
      <c r="I175">
        <v>1</v>
      </c>
      <c r="J175" t="s">
        <v>24</v>
      </c>
      <c r="K175" t="s">
        <v>131</v>
      </c>
      <c r="L175" t="s">
        <v>132</v>
      </c>
      <c r="M175" t="s">
        <v>27</v>
      </c>
      <c r="N175" t="s">
        <v>108</v>
      </c>
      <c r="O175" t="s">
        <v>151</v>
      </c>
      <c r="P175">
        <v>35.812072749999999</v>
      </c>
      <c r="Q175">
        <v>36.197326660000002</v>
      </c>
    </row>
    <row r="176" spans="2:17">
      <c r="B176" t="s">
        <v>17</v>
      </c>
      <c r="C176" t="s">
        <v>127</v>
      </c>
      <c r="D176" t="s">
        <v>128</v>
      </c>
      <c r="E176" t="s">
        <v>154</v>
      </c>
      <c r="F176" t="s">
        <v>21</v>
      </c>
      <c r="G176" t="s">
        <v>130</v>
      </c>
      <c r="H176" t="s">
        <v>124</v>
      </c>
      <c r="I176">
        <v>1</v>
      </c>
      <c r="J176" t="s">
        <v>24</v>
      </c>
      <c r="K176" t="s">
        <v>131</v>
      </c>
      <c r="L176" t="s">
        <v>132</v>
      </c>
      <c r="M176" t="s">
        <v>27</v>
      </c>
      <c r="N176" t="s">
        <v>108</v>
      </c>
      <c r="O176" t="s">
        <v>155</v>
      </c>
      <c r="P176">
        <v>35.539123539999999</v>
      </c>
      <c r="Q176">
        <v>35.789672850000002</v>
      </c>
    </row>
    <row r="177" spans="2:17">
      <c r="B177" t="s">
        <v>17</v>
      </c>
      <c r="C177" t="s">
        <v>127</v>
      </c>
      <c r="D177" t="s">
        <v>128</v>
      </c>
      <c r="E177" t="s">
        <v>156</v>
      </c>
      <c r="F177" t="s">
        <v>21</v>
      </c>
      <c r="G177" t="s">
        <v>130</v>
      </c>
      <c r="H177" t="s">
        <v>124</v>
      </c>
      <c r="I177">
        <v>1</v>
      </c>
      <c r="J177" t="s">
        <v>24</v>
      </c>
      <c r="K177" t="s">
        <v>131</v>
      </c>
      <c r="L177" t="s">
        <v>132</v>
      </c>
      <c r="M177" t="s">
        <v>27</v>
      </c>
      <c r="N177" t="s">
        <v>108</v>
      </c>
      <c r="O177" t="s">
        <v>157</v>
      </c>
      <c r="P177">
        <v>36.308288570000002</v>
      </c>
      <c r="Q177">
        <v>36.757324220000001</v>
      </c>
    </row>
    <row r="178" spans="2:17">
      <c r="B178" t="s">
        <v>17</v>
      </c>
      <c r="C178" t="s">
        <v>127</v>
      </c>
      <c r="D178" t="s">
        <v>128</v>
      </c>
      <c r="E178" t="s">
        <v>63</v>
      </c>
      <c r="F178" t="s">
        <v>21</v>
      </c>
      <c r="G178" t="s">
        <v>130</v>
      </c>
      <c r="H178" t="s">
        <v>124</v>
      </c>
      <c r="I178">
        <v>1</v>
      </c>
      <c r="J178" t="s">
        <v>24</v>
      </c>
      <c r="K178" t="s">
        <v>131</v>
      </c>
      <c r="L178" t="s">
        <v>132</v>
      </c>
      <c r="M178" t="s">
        <v>27</v>
      </c>
      <c r="N178" t="s">
        <v>108</v>
      </c>
      <c r="O178" t="str">
        <f>_xlfn.XLOOKUP(E178,[1]syr_populatedplaces!$L:$L,[1]syr_populatedplaces!$M:$M)</f>
        <v>C1139</v>
      </c>
      <c r="P178">
        <f>_xlfn.XLOOKUP(E178,[1]syr_populatedplaces!$L:$L,[1]syr_populatedplaces!$AD:$AD)</f>
        <v>36.285095220000002</v>
      </c>
      <c r="Q178">
        <f>_xlfn.XLOOKUP(E178,[1]syr_populatedplaces!$L:$L,[1]syr_populatedplaces!$AC:$AC)</f>
        <v>36.851074220000001</v>
      </c>
    </row>
    <row r="179" spans="2:17">
      <c r="B179" t="s">
        <v>17</v>
      </c>
      <c r="C179" t="s">
        <v>127</v>
      </c>
      <c r="D179" t="s">
        <v>128</v>
      </c>
      <c r="E179" t="s">
        <v>158</v>
      </c>
      <c r="F179" t="s">
        <v>21</v>
      </c>
      <c r="G179" t="s">
        <v>130</v>
      </c>
      <c r="H179" t="s">
        <v>124</v>
      </c>
      <c r="I179">
        <v>1</v>
      </c>
      <c r="J179" t="s">
        <v>24</v>
      </c>
      <c r="K179" t="s">
        <v>131</v>
      </c>
      <c r="L179" t="s">
        <v>132</v>
      </c>
      <c r="M179" t="s">
        <v>27</v>
      </c>
      <c r="N179" t="s">
        <v>108</v>
      </c>
      <c r="O179" t="s">
        <v>159</v>
      </c>
      <c r="P179">
        <v>36.116516109999999</v>
      </c>
      <c r="Q179">
        <v>36.515502929999997</v>
      </c>
    </row>
    <row r="180" spans="2:17">
      <c r="B180" t="s">
        <v>17</v>
      </c>
      <c r="C180" t="s">
        <v>127</v>
      </c>
      <c r="D180" t="s">
        <v>128</v>
      </c>
      <c r="E180" t="s">
        <v>160</v>
      </c>
      <c r="F180" t="s">
        <v>21</v>
      </c>
      <c r="G180" t="s">
        <v>130</v>
      </c>
      <c r="H180" t="s">
        <v>124</v>
      </c>
      <c r="I180">
        <v>1</v>
      </c>
      <c r="J180" t="s">
        <v>24</v>
      </c>
      <c r="K180" t="s">
        <v>131</v>
      </c>
      <c r="L180" t="s">
        <v>132</v>
      </c>
      <c r="M180" t="s">
        <v>27</v>
      </c>
      <c r="N180" t="s">
        <v>108</v>
      </c>
      <c r="O180" t="s">
        <v>161</v>
      </c>
      <c r="P180">
        <v>36.139099119999997</v>
      </c>
      <c r="Q180">
        <v>36.453674319999998</v>
      </c>
    </row>
    <row r="181" spans="2:17">
      <c r="B181" t="s">
        <v>17</v>
      </c>
      <c r="C181" t="s">
        <v>127</v>
      </c>
      <c r="D181" t="s">
        <v>128</v>
      </c>
      <c r="E181" t="s">
        <v>158</v>
      </c>
      <c r="F181" t="s">
        <v>21</v>
      </c>
      <c r="G181" t="s">
        <v>130</v>
      </c>
      <c r="H181" t="s">
        <v>124</v>
      </c>
      <c r="I181">
        <v>1</v>
      </c>
      <c r="J181" t="s">
        <v>24</v>
      </c>
      <c r="K181" t="s">
        <v>131</v>
      </c>
      <c r="L181" t="s">
        <v>132</v>
      </c>
      <c r="M181" t="s">
        <v>27</v>
      </c>
      <c r="N181" t="s">
        <v>108</v>
      </c>
      <c r="O181" t="s">
        <v>159</v>
      </c>
      <c r="P181">
        <v>36.116516109999999</v>
      </c>
      <c r="Q181">
        <v>36.515502929999997</v>
      </c>
    </row>
    <row r="182" spans="2:17">
      <c r="B182" t="s">
        <v>17</v>
      </c>
      <c r="C182" t="s">
        <v>127</v>
      </c>
      <c r="D182" t="s">
        <v>128</v>
      </c>
      <c r="E182" t="s">
        <v>163</v>
      </c>
      <c r="F182" t="s">
        <v>21</v>
      </c>
      <c r="G182" t="s">
        <v>130</v>
      </c>
      <c r="H182" t="s">
        <v>124</v>
      </c>
      <c r="I182">
        <v>1</v>
      </c>
      <c r="J182" t="s">
        <v>24</v>
      </c>
      <c r="K182" t="s">
        <v>131</v>
      </c>
      <c r="L182" t="s">
        <v>132</v>
      </c>
      <c r="M182" t="s">
        <v>27</v>
      </c>
      <c r="N182" t="s">
        <v>108</v>
      </c>
      <c r="O182" t="s">
        <v>164</v>
      </c>
      <c r="P182">
        <v>36.212707520000002</v>
      </c>
      <c r="Q182">
        <v>36.520874020000001</v>
      </c>
    </row>
    <row r="183" spans="2:17">
      <c r="B183" t="s">
        <v>17</v>
      </c>
      <c r="C183" t="s">
        <v>127</v>
      </c>
      <c r="D183" t="s">
        <v>128</v>
      </c>
      <c r="E183" t="s">
        <v>165</v>
      </c>
      <c r="F183" t="s">
        <v>21</v>
      </c>
      <c r="G183" t="s">
        <v>130</v>
      </c>
      <c r="H183" t="s">
        <v>124</v>
      </c>
      <c r="I183">
        <v>1</v>
      </c>
      <c r="J183" t="s">
        <v>24</v>
      </c>
      <c r="K183" t="s">
        <v>131</v>
      </c>
      <c r="L183" t="s">
        <v>132</v>
      </c>
      <c r="M183" t="s">
        <v>27</v>
      </c>
      <c r="N183" t="s">
        <v>108</v>
      </c>
      <c r="O183" t="s">
        <v>166</v>
      </c>
      <c r="P183">
        <v>36.186706540000003</v>
      </c>
      <c r="Q183">
        <v>36.723876949999998</v>
      </c>
    </row>
    <row r="184" spans="2:17">
      <c r="B184" t="s">
        <v>17</v>
      </c>
      <c r="C184" t="s">
        <v>127</v>
      </c>
      <c r="D184" t="s">
        <v>128</v>
      </c>
      <c r="E184" t="s">
        <v>163</v>
      </c>
      <c r="F184" t="s">
        <v>21</v>
      </c>
      <c r="G184" t="s">
        <v>130</v>
      </c>
      <c r="H184" t="s">
        <v>124</v>
      </c>
      <c r="I184">
        <v>1</v>
      </c>
      <c r="J184" t="s">
        <v>24</v>
      </c>
      <c r="K184" t="s">
        <v>131</v>
      </c>
      <c r="L184" t="s">
        <v>132</v>
      </c>
      <c r="M184" t="s">
        <v>27</v>
      </c>
      <c r="N184" t="s">
        <v>108</v>
      </c>
      <c r="O184" t="s">
        <v>164</v>
      </c>
      <c r="P184">
        <v>36.212707520000002</v>
      </c>
      <c r="Q184">
        <v>36.520874020000001</v>
      </c>
    </row>
    <row r="185" spans="2:17">
      <c r="B185" t="s">
        <v>17</v>
      </c>
      <c r="C185" t="s">
        <v>127</v>
      </c>
      <c r="D185" t="s">
        <v>128</v>
      </c>
      <c r="E185" t="s">
        <v>156</v>
      </c>
      <c r="F185" t="s">
        <v>21</v>
      </c>
      <c r="G185" t="s">
        <v>130</v>
      </c>
      <c r="H185" t="s">
        <v>124</v>
      </c>
      <c r="I185">
        <v>1</v>
      </c>
      <c r="J185" t="s">
        <v>24</v>
      </c>
      <c r="K185" t="s">
        <v>131</v>
      </c>
      <c r="L185" t="s">
        <v>132</v>
      </c>
      <c r="M185" t="s">
        <v>27</v>
      </c>
      <c r="N185" t="s">
        <v>108</v>
      </c>
      <c r="O185" t="s">
        <v>157</v>
      </c>
      <c r="P185">
        <v>36.308288570000002</v>
      </c>
      <c r="Q185">
        <v>36.757324220000001</v>
      </c>
    </row>
    <row r="186" spans="2:17">
      <c r="B186" t="s">
        <v>17</v>
      </c>
      <c r="C186" t="s">
        <v>127</v>
      </c>
      <c r="D186" t="s">
        <v>128</v>
      </c>
      <c r="E186" t="s">
        <v>167</v>
      </c>
      <c r="F186" t="s">
        <v>21</v>
      </c>
      <c r="G186" t="s">
        <v>130</v>
      </c>
      <c r="H186" t="s">
        <v>124</v>
      </c>
      <c r="I186">
        <v>1</v>
      </c>
      <c r="J186" t="s">
        <v>24</v>
      </c>
      <c r="K186" t="s">
        <v>131</v>
      </c>
      <c r="L186" t="s">
        <v>132</v>
      </c>
      <c r="M186" t="s">
        <v>27</v>
      </c>
      <c r="N186" t="s">
        <v>108</v>
      </c>
      <c r="O186" t="str">
        <f>_xlfn.XLOOKUP(E186,[1]syr_populatedplaces!$L:$L,[1]syr_populatedplaces!$M:$M)</f>
        <v>C4131</v>
      </c>
      <c r="P186">
        <f>_xlfn.XLOOKUP(E186,[1]syr_populatedplaces!$L:$L,[1]syr_populatedplaces!$AD:$AD)</f>
        <v>36.296325680000002</v>
      </c>
      <c r="Q186">
        <f>_xlfn.XLOOKUP(E186,[1]syr_populatedplaces!$L:$L,[1]syr_populatedplaces!$AC:$AC)</f>
        <v>36.725280759999997</v>
      </c>
    </row>
    <row r="187" spans="2:17">
      <c r="B187" t="s">
        <v>17</v>
      </c>
      <c r="C187" t="s">
        <v>127</v>
      </c>
      <c r="D187" t="s">
        <v>128</v>
      </c>
      <c r="E187" t="s">
        <v>138</v>
      </c>
      <c r="F187" t="s">
        <v>21</v>
      </c>
      <c r="G187" t="s">
        <v>130</v>
      </c>
      <c r="H187" t="s">
        <v>124</v>
      </c>
      <c r="I187">
        <v>1</v>
      </c>
      <c r="J187" t="s">
        <v>24</v>
      </c>
      <c r="K187" t="s">
        <v>131</v>
      </c>
      <c r="L187" t="s">
        <v>132</v>
      </c>
      <c r="M187" t="s">
        <v>27</v>
      </c>
      <c r="N187" t="s">
        <v>108</v>
      </c>
      <c r="O187" t="s">
        <v>139</v>
      </c>
      <c r="P187">
        <v>36.255676270000002</v>
      </c>
      <c r="Q187">
        <v>36.713500979999999</v>
      </c>
    </row>
    <row r="188" spans="2:17">
      <c r="B188" t="s">
        <v>17</v>
      </c>
      <c r="C188" t="s">
        <v>127</v>
      </c>
      <c r="D188" t="s">
        <v>128</v>
      </c>
      <c r="E188" t="s">
        <v>168</v>
      </c>
      <c r="F188" t="s">
        <v>96</v>
      </c>
      <c r="G188" t="s">
        <v>169</v>
      </c>
      <c r="H188" t="s">
        <v>170</v>
      </c>
      <c r="I188">
        <v>1</v>
      </c>
      <c r="J188" t="s">
        <v>24</v>
      </c>
      <c r="K188" t="s">
        <v>171</v>
      </c>
      <c r="L188" t="s">
        <v>172</v>
      </c>
      <c r="M188" t="s">
        <v>27</v>
      </c>
      <c r="N188" t="s">
        <v>108</v>
      </c>
      <c r="O188" t="s">
        <v>173</v>
      </c>
      <c r="P188">
        <v>35.982116699999999</v>
      </c>
      <c r="Q188">
        <v>36.703674319999998</v>
      </c>
    </row>
    <row r="189" spans="2:17">
      <c r="B189" t="s">
        <v>17</v>
      </c>
      <c r="C189" t="s">
        <v>127</v>
      </c>
      <c r="D189" t="s">
        <v>128</v>
      </c>
      <c r="E189" t="s">
        <v>1710</v>
      </c>
      <c r="F189" t="s">
        <v>96</v>
      </c>
      <c r="G189" t="s">
        <v>169</v>
      </c>
      <c r="H189" t="s">
        <v>170</v>
      </c>
      <c r="I189">
        <v>1</v>
      </c>
      <c r="J189" t="s">
        <v>24</v>
      </c>
      <c r="K189" t="s">
        <v>171</v>
      </c>
      <c r="L189" t="s">
        <v>172</v>
      </c>
      <c r="M189" t="s">
        <v>27</v>
      </c>
      <c r="N189" t="s">
        <v>108</v>
      </c>
      <c r="O189" t="str">
        <f>_xlfn.XLOOKUP(E189,[1]syr_populatedplaces!$L:$L,[1]syr_populatedplaces!$M:$M)</f>
        <v>C3891</v>
      </c>
      <c r="P189">
        <f>_xlfn.XLOOKUP(E189,[1]syr_populatedplaces!$L:$L,[1]syr_populatedplaces!$AD:$AD)</f>
        <v>35.73712158</v>
      </c>
      <c r="Q189">
        <f>_xlfn.XLOOKUP(E189,[1]syr_populatedplaces!$L:$L,[1]syr_populatedplaces!$AC:$AC)</f>
        <v>37.047302250000001</v>
      </c>
    </row>
    <row r="190" spans="2:17">
      <c r="B190" t="s">
        <v>17</v>
      </c>
      <c r="C190" t="s">
        <v>127</v>
      </c>
      <c r="D190" t="s">
        <v>128</v>
      </c>
      <c r="E190" t="s">
        <v>175</v>
      </c>
      <c r="F190" t="s">
        <v>96</v>
      </c>
      <c r="G190" t="s">
        <v>169</v>
      </c>
      <c r="H190" t="s">
        <v>170</v>
      </c>
      <c r="I190">
        <v>1</v>
      </c>
      <c r="J190" t="s">
        <v>24</v>
      </c>
      <c r="K190" t="s">
        <v>171</v>
      </c>
      <c r="L190" t="s">
        <v>172</v>
      </c>
      <c r="M190" t="s">
        <v>27</v>
      </c>
      <c r="N190" t="s">
        <v>108</v>
      </c>
      <c r="O190" t="s">
        <v>176</v>
      </c>
      <c r="P190">
        <v>35.559875490000003</v>
      </c>
      <c r="Q190">
        <v>36.976074220000001</v>
      </c>
    </row>
    <row r="191" spans="2:17">
      <c r="B191" t="s">
        <v>17</v>
      </c>
      <c r="C191" t="s">
        <v>127</v>
      </c>
      <c r="D191" t="s">
        <v>128</v>
      </c>
      <c r="E191" t="s">
        <v>177</v>
      </c>
      <c r="F191" t="s">
        <v>96</v>
      </c>
      <c r="G191" t="s">
        <v>169</v>
      </c>
      <c r="H191" t="s">
        <v>170</v>
      </c>
      <c r="I191">
        <v>1</v>
      </c>
      <c r="J191" t="s">
        <v>24</v>
      </c>
      <c r="K191" t="s">
        <v>171</v>
      </c>
      <c r="L191" t="s">
        <v>172</v>
      </c>
      <c r="M191" t="s">
        <v>27</v>
      </c>
      <c r="N191" t="s">
        <v>108</v>
      </c>
      <c r="O191" t="s">
        <v>178</v>
      </c>
      <c r="P191">
        <v>35.903686520000001</v>
      </c>
      <c r="Q191">
        <v>36.723876949999998</v>
      </c>
    </row>
    <row r="192" spans="2:17">
      <c r="B192" t="s">
        <v>17</v>
      </c>
      <c r="C192" t="s">
        <v>127</v>
      </c>
      <c r="D192" t="s">
        <v>128</v>
      </c>
      <c r="E192" t="s">
        <v>1786</v>
      </c>
      <c r="F192" t="s">
        <v>96</v>
      </c>
      <c r="G192" t="s">
        <v>169</v>
      </c>
      <c r="H192" t="s">
        <v>170</v>
      </c>
      <c r="I192">
        <v>1</v>
      </c>
      <c r="J192" t="s">
        <v>24</v>
      </c>
      <c r="K192" t="s">
        <v>171</v>
      </c>
      <c r="L192" t="s">
        <v>172</v>
      </c>
      <c r="M192" t="s">
        <v>27</v>
      </c>
      <c r="N192" t="s">
        <v>108</v>
      </c>
      <c r="O192" t="str">
        <f>_xlfn.XLOOKUP(E192,[1]syr_populatedplaces!$L:$L,[1]syr_populatedplaces!$M:$M)</f>
        <v>C3974</v>
      </c>
      <c r="P192">
        <f>_xlfn.XLOOKUP(E192,[1]syr_populatedplaces!$L:$L,[1]syr_populatedplaces!$AD:$AD)</f>
        <v>35.63970947</v>
      </c>
      <c r="Q192">
        <f>_xlfn.XLOOKUP(E192,[1]syr_populatedplaces!$L:$L,[1]syr_populatedplaces!$AC:$AC)</f>
        <v>36.73669434</v>
      </c>
    </row>
    <row r="193" spans="2:17">
      <c r="B193" t="s">
        <v>17</v>
      </c>
      <c r="C193" t="s">
        <v>127</v>
      </c>
      <c r="D193" t="s">
        <v>128</v>
      </c>
      <c r="E193" t="s">
        <v>179</v>
      </c>
      <c r="F193" t="s">
        <v>96</v>
      </c>
      <c r="G193" t="s">
        <v>169</v>
      </c>
      <c r="H193" t="s">
        <v>170</v>
      </c>
      <c r="I193">
        <v>1</v>
      </c>
      <c r="J193" t="s">
        <v>24</v>
      </c>
      <c r="K193" t="s">
        <v>171</v>
      </c>
      <c r="L193" t="s">
        <v>172</v>
      </c>
      <c r="M193" t="s">
        <v>27</v>
      </c>
      <c r="N193" t="s">
        <v>108</v>
      </c>
      <c r="O193" t="s">
        <v>180</v>
      </c>
      <c r="P193">
        <v>35.46691895</v>
      </c>
      <c r="Q193">
        <v>36.49450684</v>
      </c>
    </row>
    <row r="194" spans="2:17">
      <c r="B194" t="s">
        <v>17</v>
      </c>
      <c r="C194" t="s">
        <v>127</v>
      </c>
      <c r="D194" t="s">
        <v>128</v>
      </c>
      <c r="E194" t="s">
        <v>1787</v>
      </c>
      <c r="F194" t="s">
        <v>96</v>
      </c>
      <c r="G194" t="s">
        <v>169</v>
      </c>
      <c r="H194" t="s">
        <v>170</v>
      </c>
      <c r="I194">
        <v>1</v>
      </c>
      <c r="J194" t="s">
        <v>24</v>
      </c>
      <c r="K194" t="s">
        <v>171</v>
      </c>
      <c r="L194" t="s">
        <v>172</v>
      </c>
      <c r="M194" t="s">
        <v>27</v>
      </c>
      <c r="N194" t="s">
        <v>108</v>
      </c>
      <c r="O194" t="str">
        <f>_xlfn.XLOOKUP(E194,[1]syr_populatedplaces!$L:$L,[1]syr_populatedplaces!$M:$M)</f>
        <v>C4257</v>
      </c>
      <c r="P194">
        <f>_xlfn.XLOOKUP(E194,[1]syr_populatedplaces!$L:$L,[1]syr_populatedplaces!$AD:$AD)</f>
        <v>35.946716309999999</v>
      </c>
      <c r="Q194">
        <f>_xlfn.XLOOKUP(E194,[1]syr_populatedplaces!$L:$L,[1]syr_populatedplaces!$AC:$AC)</f>
        <v>36.280700680000002</v>
      </c>
    </row>
    <row r="195" spans="2:17">
      <c r="B195" t="s">
        <v>17</v>
      </c>
      <c r="C195" t="s">
        <v>127</v>
      </c>
      <c r="D195" t="s">
        <v>128</v>
      </c>
      <c r="E195" t="s">
        <v>181</v>
      </c>
      <c r="F195" t="s">
        <v>96</v>
      </c>
      <c r="G195" t="s">
        <v>169</v>
      </c>
      <c r="H195" t="s">
        <v>170</v>
      </c>
      <c r="I195">
        <v>1</v>
      </c>
      <c r="J195" t="s">
        <v>24</v>
      </c>
      <c r="K195" t="s">
        <v>171</v>
      </c>
      <c r="L195" t="s">
        <v>172</v>
      </c>
      <c r="M195" t="s">
        <v>27</v>
      </c>
      <c r="N195" t="s">
        <v>108</v>
      </c>
      <c r="O195" t="s">
        <v>182</v>
      </c>
      <c r="P195">
        <v>35.921875</v>
      </c>
      <c r="Q195">
        <v>36.314514160000002</v>
      </c>
    </row>
    <row r="196" spans="2:17">
      <c r="B196" t="s">
        <v>17</v>
      </c>
      <c r="C196" t="s">
        <v>127</v>
      </c>
      <c r="D196" t="s">
        <v>128</v>
      </c>
      <c r="E196" t="s">
        <v>183</v>
      </c>
      <c r="F196" t="s">
        <v>96</v>
      </c>
      <c r="G196" t="s">
        <v>169</v>
      </c>
      <c r="H196" t="s">
        <v>170</v>
      </c>
      <c r="I196">
        <v>1</v>
      </c>
      <c r="J196" t="s">
        <v>24</v>
      </c>
      <c r="K196" t="s">
        <v>171</v>
      </c>
      <c r="L196" t="s">
        <v>172</v>
      </c>
      <c r="M196" t="s">
        <v>27</v>
      </c>
      <c r="N196" t="s">
        <v>108</v>
      </c>
      <c r="O196" t="s">
        <v>184</v>
      </c>
      <c r="P196">
        <v>35.903076169999999</v>
      </c>
      <c r="Q196">
        <v>36.191101070000002</v>
      </c>
    </row>
    <row r="197" spans="2:17">
      <c r="B197" t="s">
        <v>17</v>
      </c>
      <c r="C197" t="s">
        <v>127</v>
      </c>
      <c r="D197" t="s">
        <v>128</v>
      </c>
      <c r="E197" t="s">
        <v>140</v>
      </c>
      <c r="F197" t="s">
        <v>96</v>
      </c>
      <c r="G197" t="s">
        <v>169</v>
      </c>
      <c r="H197" t="s">
        <v>170</v>
      </c>
      <c r="I197">
        <v>1</v>
      </c>
      <c r="J197" t="s">
        <v>24</v>
      </c>
      <c r="K197" t="s">
        <v>171</v>
      </c>
      <c r="L197" t="s">
        <v>172</v>
      </c>
      <c r="M197" t="s">
        <v>27</v>
      </c>
      <c r="N197" t="s">
        <v>108</v>
      </c>
      <c r="O197" t="s">
        <v>141</v>
      </c>
      <c r="P197">
        <v>36.309875490000003</v>
      </c>
      <c r="Q197">
        <v>36.689880369999997</v>
      </c>
    </row>
    <row r="198" spans="2:17">
      <c r="B198" t="s">
        <v>17</v>
      </c>
      <c r="C198" t="s">
        <v>127</v>
      </c>
      <c r="D198" t="s">
        <v>128</v>
      </c>
      <c r="E198" t="s">
        <v>1788</v>
      </c>
      <c r="F198" t="s">
        <v>96</v>
      </c>
      <c r="G198" t="s">
        <v>169</v>
      </c>
      <c r="H198" t="s">
        <v>170</v>
      </c>
      <c r="I198">
        <v>1</v>
      </c>
      <c r="J198" t="s">
        <v>24</v>
      </c>
      <c r="K198" t="s">
        <v>171</v>
      </c>
      <c r="L198" t="s">
        <v>172</v>
      </c>
      <c r="M198" t="s">
        <v>27</v>
      </c>
      <c r="N198" t="s">
        <v>108</v>
      </c>
      <c r="O198" t="str">
        <f>_xlfn.XLOOKUP(E198,[1]syr_populatedplaces!$L:$L,[1]syr_populatedplaces!$M:$M)</f>
        <v>C3942</v>
      </c>
      <c r="P198">
        <f>_xlfn.XLOOKUP(E198,[1]syr_populatedplaces!$L:$L,[1]syr_populatedplaces!$AD:$AD)</f>
        <v>36.059082029999999</v>
      </c>
      <c r="Q198">
        <f>_xlfn.XLOOKUP(E198,[1]syr_populatedplaces!$L:$L,[1]syr_populatedplaces!$AC:$AC)</f>
        <v>36.69689941</v>
      </c>
    </row>
    <row r="199" spans="2:17">
      <c r="B199" t="s">
        <v>17</v>
      </c>
      <c r="C199" t="s">
        <v>127</v>
      </c>
      <c r="D199" t="s">
        <v>128</v>
      </c>
      <c r="E199" t="s">
        <v>185</v>
      </c>
      <c r="F199" t="s">
        <v>96</v>
      </c>
      <c r="G199" t="s">
        <v>169</v>
      </c>
      <c r="H199" t="s">
        <v>170</v>
      </c>
      <c r="I199">
        <v>1</v>
      </c>
      <c r="J199" t="s">
        <v>24</v>
      </c>
      <c r="K199" t="s">
        <v>171</v>
      </c>
      <c r="L199" t="s">
        <v>172</v>
      </c>
      <c r="M199" t="s">
        <v>27</v>
      </c>
      <c r="N199" t="s">
        <v>108</v>
      </c>
      <c r="O199" t="s">
        <v>186</v>
      </c>
      <c r="P199">
        <v>35.975280759999997</v>
      </c>
      <c r="Q199">
        <v>36.74908447</v>
      </c>
    </row>
    <row r="200" spans="2:17">
      <c r="B200" t="s">
        <v>17</v>
      </c>
      <c r="C200" t="s">
        <v>127</v>
      </c>
      <c r="D200" t="s">
        <v>128</v>
      </c>
      <c r="E200" t="s">
        <v>165</v>
      </c>
      <c r="F200" t="s">
        <v>96</v>
      </c>
      <c r="G200" t="s">
        <v>169</v>
      </c>
      <c r="H200" t="s">
        <v>170</v>
      </c>
      <c r="I200">
        <v>1</v>
      </c>
      <c r="J200" t="s">
        <v>24</v>
      </c>
      <c r="K200" t="s">
        <v>171</v>
      </c>
      <c r="L200" t="s">
        <v>172</v>
      </c>
      <c r="M200" t="s">
        <v>27</v>
      </c>
      <c r="N200" t="s">
        <v>108</v>
      </c>
      <c r="O200" t="s">
        <v>166</v>
      </c>
      <c r="P200">
        <v>36.186706540000003</v>
      </c>
      <c r="Q200">
        <v>36.723876949999998</v>
      </c>
    </row>
    <row r="201" spans="2:17">
      <c r="B201" t="s">
        <v>17</v>
      </c>
      <c r="C201" t="s">
        <v>127</v>
      </c>
      <c r="D201" t="s">
        <v>128</v>
      </c>
      <c r="E201" t="s">
        <v>187</v>
      </c>
      <c r="F201" t="s">
        <v>96</v>
      </c>
      <c r="G201" t="s">
        <v>169</v>
      </c>
      <c r="H201" t="s">
        <v>170</v>
      </c>
      <c r="I201">
        <v>1</v>
      </c>
      <c r="J201" t="s">
        <v>24</v>
      </c>
      <c r="K201" t="s">
        <v>171</v>
      </c>
      <c r="L201" t="s">
        <v>172</v>
      </c>
      <c r="M201" t="s">
        <v>27</v>
      </c>
      <c r="N201" t="s">
        <v>108</v>
      </c>
      <c r="O201" t="s">
        <v>188</v>
      </c>
      <c r="P201">
        <v>36.108093259999997</v>
      </c>
      <c r="Q201">
        <v>36.694702149999998</v>
      </c>
    </row>
    <row r="202" spans="2:17">
      <c r="B202" t="s">
        <v>17</v>
      </c>
      <c r="C202" t="s">
        <v>127</v>
      </c>
      <c r="D202" t="s">
        <v>128</v>
      </c>
      <c r="E202" t="s">
        <v>189</v>
      </c>
      <c r="F202" t="s">
        <v>96</v>
      </c>
      <c r="G202" t="s">
        <v>169</v>
      </c>
      <c r="H202" t="s">
        <v>170</v>
      </c>
      <c r="I202">
        <v>1</v>
      </c>
      <c r="J202" t="s">
        <v>24</v>
      </c>
      <c r="K202" t="s">
        <v>171</v>
      </c>
      <c r="L202" t="s">
        <v>172</v>
      </c>
      <c r="M202" t="s">
        <v>27</v>
      </c>
      <c r="N202" t="s">
        <v>108</v>
      </c>
      <c r="O202" t="str">
        <f>_xlfn.XLOOKUP(E202,[1]syr_populatedplaces!$L:$L,[1]syr_populatedplaces!$M:$M)</f>
        <v>C1381</v>
      </c>
      <c r="P202">
        <f>_xlfn.XLOOKUP(E202,[1]syr_populatedplaces!$L:$L,[1]syr_populatedplaces!$AD:$AD)</f>
        <v>36.451721190000001</v>
      </c>
      <c r="Q202">
        <f>_xlfn.XLOOKUP(E202,[1]syr_populatedplaces!$L:$L,[1]syr_populatedplaces!$AC:$AC)</f>
        <v>36.836486819999998</v>
      </c>
    </row>
    <row r="203" spans="2:17">
      <c r="B203" t="s">
        <v>17</v>
      </c>
      <c r="C203" t="s">
        <v>127</v>
      </c>
      <c r="D203" t="s">
        <v>128</v>
      </c>
      <c r="E203" t="s">
        <v>150</v>
      </c>
      <c r="F203" t="s">
        <v>96</v>
      </c>
      <c r="G203" t="s">
        <v>169</v>
      </c>
      <c r="H203" t="s">
        <v>170</v>
      </c>
      <c r="I203">
        <v>1</v>
      </c>
      <c r="J203" t="s">
        <v>24</v>
      </c>
      <c r="K203" t="s">
        <v>171</v>
      </c>
      <c r="L203" t="s">
        <v>172</v>
      </c>
      <c r="M203" t="s">
        <v>27</v>
      </c>
      <c r="N203" t="s">
        <v>108</v>
      </c>
      <c r="O203" t="s">
        <v>151</v>
      </c>
      <c r="P203">
        <v>35.812072749999999</v>
      </c>
      <c r="Q203">
        <v>36.197326660000002</v>
      </c>
    </row>
    <row r="204" spans="2:17">
      <c r="B204" t="s">
        <v>17</v>
      </c>
      <c r="C204" t="s">
        <v>127</v>
      </c>
      <c r="D204" t="s">
        <v>128</v>
      </c>
      <c r="E204" t="s">
        <v>190</v>
      </c>
      <c r="F204" t="s">
        <v>96</v>
      </c>
      <c r="G204" t="s">
        <v>169</v>
      </c>
      <c r="H204" t="s">
        <v>170</v>
      </c>
      <c r="I204">
        <v>1</v>
      </c>
      <c r="J204" t="s">
        <v>24</v>
      </c>
      <c r="K204" t="s">
        <v>171</v>
      </c>
      <c r="L204" t="s">
        <v>172</v>
      </c>
      <c r="M204" t="s">
        <v>27</v>
      </c>
      <c r="N204" t="s">
        <v>108</v>
      </c>
      <c r="O204" t="str">
        <f>_xlfn.XLOOKUP(E204,[1]syr_populatedplaces!$L:$L,[1]syr_populatedplaces!$M:$M)</f>
        <v>C4302</v>
      </c>
      <c r="P204">
        <f>_xlfn.XLOOKUP(E204,[1]syr_populatedplaces!$L:$L,[1]syr_populatedplaces!$AD:$AD)</f>
        <v>35.696105959999997</v>
      </c>
      <c r="Q204">
        <f>_xlfn.XLOOKUP(E204,[1]syr_populatedplaces!$L:$L,[1]syr_populatedplaces!$AC:$AC)</f>
        <v>36.503723149999999</v>
      </c>
    </row>
    <row r="205" spans="2:17">
      <c r="B205" t="s">
        <v>17</v>
      </c>
      <c r="C205" t="s">
        <v>127</v>
      </c>
      <c r="D205" t="s">
        <v>138</v>
      </c>
      <c r="E205" t="s">
        <v>138</v>
      </c>
      <c r="F205" t="s">
        <v>96</v>
      </c>
      <c r="G205" t="s">
        <v>191</v>
      </c>
      <c r="H205" t="s">
        <v>192</v>
      </c>
      <c r="I205">
        <v>1</v>
      </c>
      <c r="J205" t="s">
        <v>108</v>
      </c>
      <c r="K205" t="s">
        <v>193</v>
      </c>
      <c r="L205" t="s">
        <v>194</v>
      </c>
      <c r="M205" t="s">
        <v>195</v>
      </c>
      <c r="N205" t="s">
        <v>108</v>
      </c>
      <c r="O205" t="s">
        <v>139</v>
      </c>
      <c r="P205">
        <v>36.255676270000002</v>
      </c>
      <c r="Q205">
        <v>36.713500979999999</v>
      </c>
    </row>
    <row r="206" spans="2:17">
      <c r="B206" t="s">
        <v>17</v>
      </c>
      <c r="C206" t="s">
        <v>127</v>
      </c>
      <c r="D206" t="s">
        <v>128</v>
      </c>
      <c r="E206" t="s">
        <v>196</v>
      </c>
      <c r="F206" t="s">
        <v>96</v>
      </c>
      <c r="G206" t="s">
        <v>197</v>
      </c>
      <c r="H206" t="s">
        <v>198</v>
      </c>
      <c r="I206">
        <v>1</v>
      </c>
      <c r="J206" t="s">
        <v>108</v>
      </c>
      <c r="K206" t="s">
        <v>199</v>
      </c>
      <c r="L206" t="s">
        <v>200</v>
      </c>
      <c r="M206" t="s">
        <v>27</v>
      </c>
      <c r="N206" t="s">
        <v>108</v>
      </c>
      <c r="O206" t="str">
        <f>_xlfn.XLOOKUP(E206,[1]syr_populatedplaces!$L:$L,[1]syr_populatedplaces!$M:$M)</f>
        <v>C3191</v>
      </c>
      <c r="P206">
        <f>_xlfn.XLOOKUP(E206,[1]syr_populatedplaces!$L:$L,[1]syr_populatedplaces!$AD:$AD)</f>
        <v>35.517089839999997</v>
      </c>
      <c r="Q206">
        <f>_xlfn.XLOOKUP(E206,[1]syr_populatedplaces!$L:$L,[1]syr_populatedplaces!$AC:$AC)</f>
        <v>36.402526860000002</v>
      </c>
    </row>
    <row r="207" spans="2:17">
      <c r="B207" t="s">
        <v>17</v>
      </c>
      <c r="C207" t="s">
        <v>127</v>
      </c>
      <c r="D207" t="s">
        <v>128</v>
      </c>
      <c r="E207" t="s">
        <v>1788</v>
      </c>
      <c r="F207" t="s">
        <v>96</v>
      </c>
      <c r="G207" t="s">
        <v>197</v>
      </c>
      <c r="H207" t="s">
        <v>198</v>
      </c>
      <c r="I207">
        <v>1</v>
      </c>
      <c r="J207" t="s">
        <v>108</v>
      </c>
      <c r="K207" t="s">
        <v>199</v>
      </c>
      <c r="L207" t="s">
        <v>200</v>
      </c>
      <c r="M207" t="s">
        <v>27</v>
      </c>
      <c r="N207" t="s">
        <v>108</v>
      </c>
      <c r="O207" t="str">
        <f>_xlfn.XLOOKUP(E207,[1]syr_populatedplaces!$L:$L,[1]syr_populatedplaces!$M:$M)</f>
        <v>C3942</v>
      </c>
      <c r="P207">
        <f>_xlfn.XLOOKUP(E207,[1]syr_populatedplaces!$L:$L,[1]syr_populatedplaces!$AD:$AD)</f>
        <v>36.059082029999999</v>
      </c>
      <c r="Q207">
        <f>_xlfn.XLOOKUP(E207,[1]syr_populatedplaces!$L:$L,[1]syr_populatedplaces!$AC:$AC)</f>
        <v>36.69689941</v>
      </c>
    </row>
    <row r="208" spans="2:17">
      <c r="B208" t="s">
        <v>17</v>
      </c>
      <c r="C208" t="s">
        <v>127</v>
      </c>
      <c r="D208" t="s">
        <v>128</v>
      </c>
      <c r="E208" t="s">
        <v>179</v>
      </c>
      <c r="F208" t="s">
        <v>96</v>
      </c>
      <c r="G208" t="s">
        <v>197</v>
      </c>
      <c r="H208" t="s">
        <v>198</v>
      </c>
      <c r="I208">
        <v>1</v>
      </c>
      <c r="J208" t="s">
        <v>108</v>
      </c>
      <c r="K208" t="s">
        <v>199</v>
      </c>
      <c r="L208" t="s">
        <v>200</v>
      </c>
      <c r="M208" t="s">
        <v>27</v>
      </c>
      <c r="N208" t="s">
        <v>108</v>
      </c>
      <c r="O208" t="s">
        <v>180</v>
      </c>
      <c r="P208">
        <v>35.46691895</v>
      </c>
      <c r="Q208">
        <v>36.49450684</v>
      </c>
    </row>
    <row r="209" spans="2:17">
      <c r="B209" t="s">
        <v>17</v>
      </c>
      <c r="C209" t="s">
        <v>127</v>
      </c>
      <c r="D209" t="s">
        <v>128</v>
      </c>
      <c r="E209" t="s">
        <v>203</v>
      </c>
      <c r="F209" t="s">
        <v>96</v>
      </c>
      <c r="G209" t="s">
        <v>197</v>
      </c>
      <c r="H209" t="s">
        <v>198</v>
      </c>
      <c r="I209">
        <v>1</v>
      </c>
      <c r="J209" t="s">
        <v>108</v>
      </c>
      <c r="K209" t="s">
        <v>199</v>
      </c>
      <c r="L209" t="s">
        <v>200</v>
      </c>
      <c r="M209" t="s">
        <v>27</v>
      </c>
      <c r="N209" t="s">
        <v>108</v>
      </c>
      <c r="O209" t="s">
        <v>204</v>
      </c>
      <c r="P209">
        <v>36.606689449999998</v>
      </c>
      <c r="Q209">
        <v>40.384094240000003</v>
      </c>
    </row>
    <row r="210" spans="2:17">
      <c r="B210" t="s">
        <v>17</v>
      </c>
      <c r="C210" t="s">
        <v>127</v>
      </c>
      <c r="D210" t="s">
        <v>128</v>
      </c>
      <c r="E210" t="s">
        <v>205</v>
      </c>
      <c r="F210" t="s">
        <v>96</v>
      </c>
      <c r="G210" t="s">
        <v>197</v>
      </c>
      <c r="H210" t="s">
        <v>198</v>
      </c>
      <c r="I210">
        <v>1</v>
      </c>
      <c r="J210" t="s">
        <v>108</v>
      </c>
      <c r="K210" t="s">
        <v>199</v>
      </c>
      <c r="L210" t="s">
        <v>200</v>
      </c>
      <c r="M210" t="s">
        <v>27</v>
      </c>
      <c r="N210" t="s">
        <v>108</v>
      </c>
      <c r="O210" t="s">
        <v>206</v>
      </c>
      <c r="P210">
        <v>35.530700680000002</v>
      </c>
      <c r="Q210">
        <v>36.775329589999998</v>
      </c>
    </row>
    <row r="211" spans="2:17">
      <c r="B211" t="s">
        <v>17</v>
      </c>
      <c r="C211" t="s">
        <v>127</v>
      </c>
      <c r="D211" t="s">
        <v>128</v>
      </c>
      <c r="E211" t="s">
        <v>209</v>
      </c>
      <c r="F211" t="s">
        <v>96</v>
      </c>
      <c r="G211" t="s">
        <v>197</v>
      </c>
      <c r="H211" t="s">
        <v>198</v>
      </c>
      <c r="I211">
        <v>1</v>
      </c>
      <c r="J211" t="s">
        <v>108</v>
      </c>
      <c r="K211" t="s">
        <v>199</v>
      </c>
      <c r="L211" t="s">
        <v>200</v>
      </c>
      <c r="M211" t="s">
        <v>27</v>
      </c>
      <c r="N211" t="s">
        <v>108</v>
      </c>
      <c r="O211" t="str">
        <f>_xlfn.XLOOKUP(E211,[1]syr_populatedplaces!$L:$L,[1]syr_populatedplaces!$M:$M)</f>
        <v>C4614</v>
      </c>
      <c r="P211">
        <f>_xlfn.XLOOKUP(E211,[1]syr_populatedplaces!$L:$L,[1]syr_populatedplaces!$AD:$AD)</f>
        <v>36.649108890000001</v>
      </c>
      <c r="Q211">
        <f>_xlfn.XLOOKUP(E211,[1]syr_populatedplaces!$L:$L,[1]syr_populatedplaces!$AC:$AC)</f>
        <v>41.417907720000002</v>
      </c>
    </row>
    <row r="212" spans="2:17">
      <c r="B212" t="s">
        <v>17</v>
      </c>
      <c r="C212" t="s">
        <v>127</v>
      </c>
      <c r="D212" t="s">
        <v>128</v>
      </c>
      <c r="E212" t="s">
        <v>183</v>
      </c>
      <c r="F212" t="s">
        <v>96</v>
      </c>
      <c r="G212" t="s">
        <v>197</v>
      </c>
      <c r="H212" t="s">
        <v>198</v>
      </c>
      <c r="I212">
        <v>1</v>
      </c>
      <c r="J212" t="s">
        <v>108</v>
      </c>
      <c r="K212" t="s">
        <v>199</v>
      </c>
      <c r="L212" t="s">
        <v>200</v>
      </c>
      <c r="M212" t="s">
        <v>27</v>
      </c>
      <c r="N212" t="s">
        <v>108</v>
      </c>
      <c r="O212" t="s">
        <v>184</v>
      </c>
      <c r="P212">
        <v>35.903076169999999</v>
      </c>
      <c r="Q212">
        <v>36.191101070000002</v>
      </c>
    </row>
    <row r="213" spans="2:17" ht="15">
      <c r="B213" t="s">
        <v>17</v>
      </c>
      <c r="C213" t="s">
        <v>127</v>
      </c>
      <c r="D213" t="s">
        <v>128</v>
      </c>
      <c r="E213" t="s">
        <v>515</v>
      </c>
      <c r="F213" t="s">
        <v>21</v>
      </c>
      <c r="G213" t="s">
        <v>130</v>
      </c>
      <c r="H213" t="s">
        <v>124</v>
      </c>
      <c r="I213">
        <v>1</v>
      </c>
      <c r="J213" t="s">
        <v>24</v>
      </c>
      <c r="K213" t="s">
        <v>131</v>
      </c>
      <c r="L213" t="s">
        <v>132</v>
      </c>
      <c r="M213" t="s">
        <v>27</v>
      </c>
      <c r="N213" t="s">
        <v>108</v>
      </c>
      <c r="O213" t="s">
        <v>458</v>
      </c>
      <c r="P213" s="4" t="e">
        <f>_xlfn.XLOOKUP(الجدول1[[#This Row],[القرية– البلدة]],[1]syr_populatedplaces!$L:$L,[1]syr_populatedplaces!$AD:$AD)</f>
        <v>#N/A</v>
      </c>
      <c r="Q213" s="4" t="e">
        <f>_xlfn.XLOOKUP(الجدول1[[#This Row],[القرية– البلدة]],[1]syr_populatedplaces!$L:$L,[1]syr_populatedplaces!$AC:$AC)</f>
        <v>#N/A</v>
      </c>
    </row>
    <row r="214" spans="2:17">
      <c r="B214" t="s">
        <v>17</v>
      </c>
      <c r="C214" t="s">
        <v>127</v>
      </c>
      <c r="D214" t="s">
        <v>128</v>
      </c>
      <c r="E214" t="s">
        <v>1836</v>
      </c>
      <c r="F214" t="s">
        <v>21</v>
      </c>
      <c r="G214" t="s">
        <v>130</v>
      </c>
      <c r="H214" t="s">
        <v>124</v>
      </c>
      <c r="I214">
        <v>1</v>
      </c>
      <c r="J214" t="s">
        <v>24</v>
      </c>
      <c r="K214" t="s">
        <v>131</v>
      </c>
      <c r="L214" t="s">
        <v>132</v>
      </c>
      <c r="M214" t="s">
        <v>27</v>
      </c>
      <c r="N214" t="s">
        <v>108</v>
      </c>
      <c r="O214" t="str">
        <f>_xlfn.XLOOKUP(E214,[1]syr_populatedplaces!$L:$L,[1]syr_populatedplaces!$M:$M)</f>
        <v>C1282</v>
      </c>
      <c r="P214">
        <f>_xlfn.XLOOKUP(E214,[1]syr_populatedplaces!$L:$L,[1]syr_populatedplaces!$AD:$AD)</f>
        <v>36.179321289999997</v>
      </c>
      <c r="Q214">
        <f>_xlfn.XLOOKUP(E214,[1]syr_populatedplaces!$L:$L,[1]syr_populatedplaces!$AC:$AC)</f>
        <v>37.5098877</v>
      </c>
    </row>
    <row r="215" spans="2:17">
      <c r="B215" t="s">
        <v>17</v>
      </c>
      <c r="C215" t="s">
        <v>127</v>
      </c>
      <c r="D215" t="s">
        <v>128</v>
      </c>
      <c r="E215" t="s">
        <v>1824</v>
      </c>
      <c r="F215" t="s">
        <v>96</v>
      </c>
      <c r="G215" t="s">
        <v>197</v>
      </c>
      <c r="H215" t="s">
        <v>198</v>
      </c>
      <c r="I215">
        <v>1</v>
      </c>
      <c r="J215" t="s">
        <v>108</v>
      </c>
      <c r="K215" t="s">
        <v>199</v>
      </c>
      <c r="L215" t="s">
        <v>200</v>
      </c>
      <c r="M215" t="s">
        <v>27</v>
      </c>
      <c r="N215" t="s">
        <v>108</v>
      </c>
      <c r="O215" t="str">
        <f>_xlfn.XLOOKUP(E215,[1]syr_populatedplaces!$L:$L,[1]syr_populatedplaces!$M:$M)</f>
        <v>C3201</v>
      </c>
      <c r="P215">
        <f>_xlfn.XLOOKUP(E215,[1]syr_populatedplaces!$L:$L,[1]syr_populatedplaces!$AD:$AD)</f>
        <v>35.435119630000003</v>
      </c>
      <c r="Q215">
        <f>_xlfn.XLOOKUP(E215,[1]syr_populatedplaces!$L:$L,[1]syr_populatedplaces!$AC:$AC)</f>
        <v>36.312683110000002</v>
      </c>
    </row>
    <row r="216" spans="2:17">
      <c r="B216" t="s">
        <v>17</v>
      </c>
      <c r="C216" t="s">
        <v>127</v>
      </c>
      <c r="D216" t="s">
        <v>128</v>
      </c>
      <c r="E216" t="s">
        <v>1840</v>
      </c>
      <c r="F216" t="s">
        <v>96</v>
      </c>
      <c r="G216" t="s">
        <v>197</v>
      </c>
      <c r="H216" t="s">
        <v>198</v>
      </c>
      <c r="I216">
        <v>1</v>
      </c>
      <c r="J216" t="s">
        <v>108</v>
      </c>
      <c r="K216" t="s">
        <v>199</v>
      </c>
      <c r="L216" t="s">
        <v>200</v>
      </c>
      <c r="M216" t="s">
        <v>27</v>
      </c>
      <c r="N216" t="s">
        <v>108</v>
      </c>
      <c r="O216" t="str">
        <f>_xlfn.XLOOKUP(E216,[1]syr_populatedplaces!$L:$L,[1]syr_populatedplaces!$M:$M)</f>
        <v>C3407</v>
      </c>
      <c r="P216">
        <f>_xlfn.XLOOKUP(E216,[1]syr_populatedplaces!$L:$L,[1]syr_populatedplaces!$AD:$AD)</f>
        <v>34.890319820000002</v>
      </c>
      <c r="Q216">
        <f>_xlfn.XLOOKUP(E216,[1]syr_populatedplaces!$L:$L,[1]syr_populatedplaces!$AC:$AC)</f>
        <v>36.34490967</v>
      </c>
    </row>
    <row r="217" spans="2:17">
      <c r="B217" t="s">
        <v>17</v>
      </c>
      <c r="C217" t="s">
        <v>127</v>
      </c>
      <c r="D217" t="s">
        <v>128</v>
      </c>
      <c r="E217" t="s">
        <v>1824</v>
      </c>
      <c r="F217" t="s">
        <v>96</v>
      </c>
      <c r="G217" t="s">
        <v>197</v>
      </c>
      <c r="H217" t="s">
        <v>198</v>
      </c>
      <c r="I217">
        <v>1</v>
      </c>
      <c r="J217" t="s">
        <v>108</v>
      </c>
      <c r="K217" t="s">
        <v>199</v>
      </c>
      <c r="L217" t="s">
        <v>200</v>
      </c>
      <c r="M217" t="s">
        <v>27</v>
      </c>
      <c r="N217" t="s">
        <v>108</v>
      </c>
      <c r="O217" t="str">
        <f>_xlfn.XLOOKUP(E217,[1]syr_populatedplaces!$L:$L,[1]syr_populatedplaces!$M:$M)</f>
        <v>C3201</v>
      </c>
      <c r="P217">
        <f>_xlfn.XLOOKUP(E217,[1]syr_populatedplaces!$L:$L,[1]syr_populatedplaces!$AD:$AD)</f>
        <v>35.435119630000003</v>
      </c>
      <c r="Q217">
        <f>_xlfn.XLOOKUP(E217,[1]syr_populatedplaces!$L:$L,[1]syr_populatedplaces!$AC:$AC)</f>
        <v>36.312683110000002</v>
      </c>
    </row>
    <row r="218" spans="2:17">
      <c r="B218" t="s">
        <v>17</v>
      </c>
      <c r="C218" t="s">
        <v>127</v>
      </c>
      <c r="D218" t="s">
        <v>128</v>
      </c>
      <c r="E218" t="s">
        <v>538</v>
      </c>
      <c r="F218" t="s">
        <v>96</v>
      </c>
      <c r="G218" t="s">
        <v>197</v>
      </c>
      <c r="H218" t="s">
        <v>198</v>
      </c>
      <c r="I218">
        <v>1</v>
      </c>
      <c r="J218" t="s">
        <v>108</v>
      </c>
      <c r="K218" t="s">
        <v>199</v>
      </c>
      <c r="L218" t="s">
        <v>200</v>
      </c>
      <c r="M218" t="s">
        <v>27</v>
      </c>
      <c r="N218" t="s">
        <v>108</v>
      </c>
      <c r="O218" t="str">
        <f>_xlfn.XLOOKUP(E218,[1]syr_populatedplaces!$L:$L,[1]syr_populatedplaces!$M:$M)</f>
        <v>C3367</v>
      </c>
      <c r="P218">
        <f>_xlfn.XLOOKUP(E218,[1]syr_populatedplaces!$L:$L,[1]syr_populatedplaces!$AD:$AD)</f>
        <v>35.066284179999997</v>
      </c>
      <c r="Q218">
        <f>_xlfn.XLOOKUP(E218,[1]syr_populatedplaces!$L:$L,[1]syr_populatedplaces!$AC:$AC)</f>
        <v>36.342102050000001</v>
      </c>
    </row>
    <row r="219" spans="2:17">
      <c r="B219" t="s">
        <v>17</v>
      </c>
      <c r="C219" t="s">
        <v>127</v>
      </c>
      <c r="D219" t="s">
        <v>128</v>
      </c>
      <c r="E219" t="s">
        <v>1825</v>
      </c>
      <c r="F219" t="s">
        <v>96</v>
      </c>
      <c r="G219" t="s">
        <v>197</v>
      </c>
      <c r="H219" t="s">
        <v>198</v>
      </c>
      <c r="I219">
        <v>1</v>
      </c>
      <c r="J219" t="s">
        <v>108</v>
      </c>
      <c r="K219" t="s">
        <v>199</v>
      </c>
      <c r="L219" t="s">
        <v>200</v>
      </c>
      <c r="M219" t="s">
        <v>27</v>
      </c>
      <c r="N219" t="s">
        <v>108</v>
      </c>
      <c r="O219" t="str">
        <f>_xlfn.XLOOKUP(E219,[1]syr_populatedplaces!$L:$L,[1]syr_populatedplaces!$M:$M)</f>
        <v>C2991</v>
      </c>
      <c r="P219">
        <f>_xlfn.XLOOKUP(E219,[1]syr_populatedplaces!$L:$L,[1]syr_populatedplaces!$AD:$AD)</f>
        <v>35.195678710000003</v>
      </c>
      <c r="Q219">
        <f>_xlfn.XLOOKUP(E219,[1]syr_populatedplaces!$L:$L,[1]syr_populatedplaces!$AC:$AC)</f>
        <v>36.668518069999998</v>
      </c>
    </row>
    <row r="220" spans="2:17">
      <c r="B220" t="s">
        <v>381</v>
      </c>
      <c r="C220" t="s">
        <v>127</v>
      </c>
      <c r="D220" t="s">
        <v>128</v>
      </c>
      <c r="E220" t="s">
        <v>1826</v>
      </c>
      <c r="F220" t="s">
        <v>96</v>
      </c>
      <c r="G220" t="s">
        <v>426</v>
      </c>
      <c r="H220" t="s">
        <v>124</v>
      </c>
      <c r="I220">
        <v>1</v>
      </c>
      <c r="J220" t="s">
        <v>24</v>
      </c>
      <c r="K220" t="s">
        <v>427</v>
      </c>
      <c r="L220" t="s">
        <v>214</v>
      </c>
      <c r="M220" t="s">
        <v>27</v>
      </c>
      <c r="N220" t="s">
        <v>108</v>
      </c>
      <c r="O220" t="str">
        <f>_xlfn.XLOOKUP(E220,[1]syr_populatedplaces!$L:$L,[1]syr_populatedplaces!$M:$M)</f>
        <v>C3282</v>
      </c>
      <c r="P220">
        <f>_xlfn.XLOOKUP(E220,[1]syr_populatedplaces!$L:$L,[1]syr_populatedplaces!$AD:$AD)</f>
        <v>35.28747559</v>
      </c>
      <c r="Q220">
        <f>_xlfn.XLOOKUP(E220,[1]syr_populatedplaces!$L:$L,[1]syr_populatedplaces!$AC:$AC)</f>
        <v>37.465515140000001</v>
      </c>
    </row>
    <row r="221" spans="2:17">
      <c r="B221" t="s">
        <v>381</v>
      </c>
      <c r="C221" t="s">
        <v>127</v>
      </c>
      <c r="D221" t="s">
        <v>128</v>
      </c>
      <c r="E221" t="s">
        <v>1827</v>
      </c>
      <c r="F221" t="s">
        <v>96</v>
      </c>
      <c r="G221" t="s">
        <v>426</v>
      </c>
      <c r="H221" t="s">
        <v>124</v>
      </c>
      <c r="I221">
        <v>1</v>
      </c>
      <c r="J221" t="s">
        <v>24</v>
      </c>
      <c r="K221" t="s">
        <v>427</v>
      </c>
      <c r="L221" t="s">
        <v>214</v>
      </c>
      <c r="M221" t="s">
        <v>27</v>
      </c>
      <c r="N221" t="s">
        <v>108</v>
      </c>
      <c r="O221" t="str">
        <f>_xlfn.XLOOKUP(E221,[1]syr_populatedplaces!$L:$L,[1]syr_populatedplaces!$M:$M)</f>
        <v>C3281</v>
      </c>
      <c r="P221">
        <f>_xlfn.XLOOKUP(E221,[1]syr_populatedplaces!$L:$L,[1]syr_populatedplaces!$AD:$AD)</f>
        <v>35.249694820000002</v>
      </c>
      <c r="Q221">
        <f>_xlfn.XLOOKUP(E221,[1]syr_populatedplaces!$L:$L,[1]syr_populatedplaces!$AC:$AC)</f>
        <v>37.504272460000003</v>
      </c>
    </row>
    <row r="222" spans="2:17">
      <c r="B222" t="s">
        <v>381</v>
      </c>
      <c r="C222" t="s">
        <v>127</v>
      </c>
      <c r="D222" t="s">
        <v>128</v>
      </c>
      <c r="E222" s="2" t="s">
        <v>1828</v>
      </c>
      <c r="F222" t="s">
        <v>96</v>
      </c>
      <c r="G222" t="s">
        <v>426</v>
      </c>
      <c r="H222" t="s">
        <v>124</v>
      </c>
      <c r="I222">
        <v>1</v>
      </c>
      <c r="J222" t="s">
        <v>24</v>
      </c>
      <c r="K222" t="s">
        <v>427</v>
      </c>
      <c r="L222" t="s">
        <v>214</v>
      </c>
      <c r="M222" t="s">
        <v>27</v>
      </c>
      <c r="N222" t="s">
        <v>108</v>
      </c>
      <c r="O222" t="str">
        <f>_xlfn.XLOOKUP(E222,[1]syr_populatedplaces!$L:$L,[1]syr_populatedplaces!$M:$M)</f>
        <v>C3180</v>
      </c>
      <c r="P222">
        <f>_xlfn.XLOOKUP(E222,[1]syr_populatedplaces!$L:$L,[1]syr_populatedplaces!$AD:$AD)</f>
        <v>35.498291020000003</v>
      </c>
      <c r="Q222">
        <f>_xlfn.XLOOKUP(E222,[1]syr_populatedplaces!$L:$L,[1]syr_populatedplaces!$AC:$AC)</f>
        <v>36.243896479999997</v>
      </c>
    </row>
    <row r="223" spans="2:17">
      <c r="B223" t="s">
        <v>381</v>
      </c>
      <c r="C223" t="s">
        <v>127</v>
      </c>
      <c r="D223" t="s">
        <v>128</v>
      </c>
      <c r="E223" t="s">
        <v>862</v>
      </c>
      <c r="F223" t="s">
        <v>96</v>
      </c>
      <c r="G223" t="s">
        <v>426</v>
      </c>
      <c r="H223" t="s">
        <v>124</v>
      </c>
      <c r="I223">
        <v>1</v>
      </c>
      <c r="J223" t="s">
        <v>24</v>
      </c>
      <c r="K223" t="s">
        <v>427</v>
      </c>
      <c r="L223" t="s">
        <v>214</v>
      </c>
      <c r="M223" t="s">
        <v>27</v>
      </c>
      <c r="N223" t="s">
        <v>108</v>
      </c>
      <c r="O223" t="str">
        <f>_xlfn.XLOOKUP(E223,[1]syr_populatedplaces!$L:$L,[1]syr_populatedplaces!$M:$M)</f>
        <v>C4233</v>
      </c>
      <c r="P223">
        <f>_xlfn.XLOOKUP(E223,[1]syr_populatedplaces!$L:$L,[1]syr_populatedplaces!$AD:$AD)</f>
        <v>35.791503910000003</v>
      </c>
      <c r="Q223">
        <f>_xlfn.XLOOKUP(E223,[1]syr_populatedplaces!$L:$L,[1]syr_populatedplaces!$AC:$AC)</f>
        <v>36.214294430000002</v>
      </c>
    </row>
    <row r="224" spans="2:17">
      <c r="B224" t="s">
        <v>381</v>
      </c>
      <c r="C224" t="s">
        <v>127</v>
      </c>
      <c r="D224" t="s">
        <v>128</v>
      </c>
      <c r="E224" t="s">
        <v>1810</v>
      </c>
      <c r="F224" t="s">
        <v>96</v>
      </c>
      <c r="G224" t="s">
        <v>426</v>
      </c>
      <c r="H224" t="s">
        <v>124</v>
      </c>
      <c r="I224">
        <v>1</v>
      </c>
      <c r="J224" t="s">
        <v>24</v>
      </c>
      <c r="K224" t="s">
        <v>427</v>
      </c>
      <c r="L224" t="s">
        <v>214</v>
      </c>
      <c r="M224" t="s">
        <v>27</v>
      </c>
      <c r="N224" t="s">
        <v>108</v>
      </c>
      <c r="O224" t="str">
        <f>_xlfn.XLOOKUP(E224,[1]syr_populatedplaces!$L:$L,[1]syr_populatedplaces!$M:$M)</f>
        <v>C4269</v>
      </c>
      <c r="P224">
        <f>_xlfn.XLOOKUP(E224,[1]syr_populatedplaces!$L:$L,[1]syr_populatedplaces!$AD:$AD)</f>
        <v>35.791320800000001</v>
      </c>
      <c r="Q224">
        <f>_xlfn.XLOOKUP(E224,[1]syr_populatedplaces!$L:$L,[1]syr_populatedplaces!$AC:$AC)</f>
        <v>36.567077640000001</v>
      </c>
    </row>
    <row r="225" spans="2:17">
      <c r="B225" t="s">
        <v>381</v>
      </c>
      <c r="C225" t="s">
        <v>127</v>
      </c>
      <c r="D225" t="s">
        <v>128</v>
      </c>
      <c r="E225" t="s">
        <v>1797</v>
      </c>
      <c r="F225" t="s">
        <v>96</v>
      </c>
      <c r="G225" t="s">
        <v>443</v>
      </c>
      <c r="H225" t="s">
        <v>124</v>
      </c>
      <c r="I225">
        <v>1</v>
      </c>
      <c r="J225" t="s">
        <v>99</v>
      </c>
      <c r="K225" t="s">
        <v>444</v>
      </c>
      <c r="L225" t="s">
        <v>445</v>
      </c>
      <c r="M225" t="s">
        <v>27</v>
      </c>
      <c r="N225" t="s">
        <v>108</v>
      </c>
      <c r="O225" t="str">
        <f>_xlfn.XLOOKUP(E225,[1]syr_populatedplaces!$L:$L,[1]syr_populatedplaces!$M:$M)</f>
        <v>C3947</v>
      </c>
      <c r="P225">
        <f>_xlfn.XLOOKUP(E225,[1]syr_populatedplaces!$L:$L,[1]syr_populatedplaces!$AD:$AD)</f>
        <v>36.013916020000003</v>
      </c>
      <c r="Q225">
        <f>_xlfn.XLOOKUP(E225,[1]syr_populatedplaces!$L:$L,[1]syr_populatedplaces!$AC:$AC)</f>
        <v>36.672729490000002</v>
      </c>
    </row>
    <row r="226" spans="2:17">
      <c r="B226" t="s">
        <v>381</v>
      </c>
      <c r="C226" t="s">
        <v>127</v>
      </c>
      <c r="D226" t="s">
        <v>128</v>
      </c>
      <c r="E226" t="s">
        <v>1811</v>
      </c>
      <c r="F226" t="s">
        <v>96</v>
      </c>
      <c r="G226" t="s">
        <v>443</v>
      </c>
      <c r="H226" t="s">
        <v>124</v>
      </c>
      <c r="I226">
        <v>1</v>
      </c>
      <c r="J226" t="s">
        <v>99</v>
      </c>
      <c r="K226" t="s">
        <v>444</v>
      </c>
      <c r="L226" t="s">
        <v>445</v>
      </c>
      <c r="M226" t="s">
        <v>27</v>
      </c>
      <c r="N226" t="s">
        <v>108</v>
      </c>
      <c r="O226" t="str">
        <f>_xlfn.XLOOKUP(E226,[1]syr_populatedplaces!$L:$L,[1]syr_populatedplaces!$M:$M)</f>
        <v>C4228</v>
      </c>
      <c r="P226">
        <f>_xlfn.XLOOKUP(E226,[1]syr_populatedplaces!$L:$L,[1]syr_populatedplaces!$AD:$AD)</f>
        <v>35.835876470000002</v>
      </c>
      <c r="Q226">
        <f>_xlfn.XLOOKUP(E226,[1]syr_populatedplaces!$L:$L,[1]syr_populatedplaces!$AC:$AC)</f>
        <v>36.19049072</v>
      </c>
    </row>
    <row r="227" spans="2:17">
      <c r="B227" t="s">
        <v>381</v>
      </c>
      <c r="C227" t="s">
        <v>127</v>
      </c>
      <c r="D227" t="s">
        <v>128</v>
      </c>
      <c r="E227" t="s">
        <v>127</v>
      </c>
      <c r="F227" t="s">
        <v>96</v>
      </c>
      <c r="G227" t="s">
        <v>275</v>
      </c>
      <c r="H227" t="s">
        <v>460</v>
      </c>
      <c r="I227">
        <v>1</v>
      </c>
      <c r="J227" t="s">
        <v>24</v>
      </c>
      <c r="K227" t="s">
        <v>461</v>
      </c>
      <c r="L227" t="s">
        <v>278</v>
      </c>
      <c r="M227" t="s">
        <v>27</v>
      </c>
      <c r="N227" t="s">
        <v>108</v>
      </c>
      <c r="O227" t="str">
        <f>_xlfn.XLOOKUP(E227,[1]syr_populatedplaces!$L:$L,[1]syr_populatedplaces!$M:$M)</f>
        <v>C3871</v>
      </c>
      <c r="P227">
        <f>_xlfn.XLOOKUP(E227,[1]syr_populatedplaces!$L:$L,[1]syr_populatedplaces!$AD:$AD)</f>
        <v>35.929077149999998</v>
      </c>
      <c r="Q227">
        <f>_xlfn.XLOOKUP(E227,[1]syr_populatedplaces!$L:$L,[1]syr_populatedplaces!$AC:$AC)</f>
        <v>36.635314940000001</v>
      </c>
    </row>
    <row r="228" spans="2:17">
      <c r="B228" t="s">
        <v>381</v>
      </c>
      <c r="C228" t="s">
        <v>127</v>
      </c>
      <c r="D228" t="s">
        <v>128</v>
      </c>
      <c r="E228" t="s">
        <v>127</v>
      </c>
      <c r="F228" t="s">
        <v>96</v>
      </c>
      <c r="G228" t="s">
        <v>275</v>
      </c>
      <c r="H228" t="s">
        <v>460</v>
      </c>
      <c r="I228">
        <v>1</v>
      </c>
      <c r="J228" t="s">
        <v>24</v>
      </c>
      <c r="K228" t="s">
        <v>461</v>
      </c>
      <c r="L228" t="s">
        <v>278</v>
      </c>
      <c r="M228" t="s">
        <v>27</v>
      </c>
      <c r="N228" t="s">
        <v>108</v>
      </c>
      <c r="O228" t="str">
        <f>_xlfn.XLOOKUP(E228,[1]syr_populatedplaces!$L:$L,[1]syr_populatedplaces!$M:$M)</f>
        <v>C3871</v>
      </c>
      <c r="P228">
        <f>_xlfn.XLOOKUP(E228,[1]syr_populatedplaces!$L:$L,[1]syr_populatedplaces!$AD:$AD)</f>
        <v>35.929077149999998</v>
      </c>
      <c r="Q228">
        <f>_xlfn.XLOOKUP(E228,[1]syr_populatedplaces!$L:$L,[1]syr_populatedplaces!$AC:$AC)</f>
        <v>36.635314940000001</v>
      </c>
    </row>
    <row r="229" spans="2:17" ht="15">
      <c r="B229" t="s">
        <v>381</v>
      </c>
      <c r="C229" t="s">
        <v>127</v>
      </c>
      <c r="D229" t="s">
        <v>128</v>
      </c>
      <c r="E229" t="s">
        <v>467</v>
      </c>
      <c r="F229" t="s">
        <v>96</v>
      </c>
      <c r="G229" t="s">
        <v>275</v>
      </c>
      <c r="H229" t="s">
        <v>460</v>
      </c>
      <c r="I229">
        <v>1</v>
      </c>
      <c r="J229" t="s">
        <v>24</v>
      </c>
      <c r="K229" t="s">
        <v>461</v>
      </c>
      <c r="L229" t="s">
        <v>278</v>
      </c>
      <c r="M229" t="s">
        <v>27</v>
      </c>
      <c r="N229" t="s">
        <v>108</v>
      </c>
      <c r="O229" t="e">
        <f>_xlfn.XLOOKUP(E229,[1]syr_populatedplaces!$L:$L,[1]syr_populatedplaces!$M:$M)</f>
        <v>#N/A</v>
      </c>
      <c r="P229" s="4" t="e">
        <f>_xlfn.XLOOKUP(الجدول1[[#This Row],[القرية– البلدة]],[1]syr_populatedplaces!$L:$L,[1]syr_populatedplaces!$AD:$AD)</f>
        <v>#N/A</v>
      </c>
      <c r="Q229" s="4" t="e">
        <f>_xlfn.XLOOKUP(الجدول1[[#This Row],[القرية– البلدة]],[1]syr_populatedplaces!$L:$L,[1]syr_populatedplaces!$AC:$AC)</f>
        <v>#N/A</v>
      </c>
    </row>
    <row r="230" spans="2:17">
      <c r="B230" t="s">
        <v>381</v>
      </c>
      <c r="C230" t="s">
        <v>127</v>
      </c>
      <c r="D230" t="s">
        <v>128</v>
      </c>
      <c r="E230" t="s">
        <v>1791</v>
      </c>
      <c r="F230" t="s">
        <v>96</v>
      </c>
      <c r="G230" t="s">
        <v>275</v>
      </c>
      <c r="H230" t="s">
        <v>460</v>
      </c>
      <c r="I230">
        <v>1</v>
      </c>
      <c r="J230" t="s">
        <v>24</v>
      </c>
      <c r="K230" t="s">
        <v>461</v>
      </c>
      <c r="L230" t="s">
        <v>278</v>
      </c>
      <c r="M230" t="s">
        <v>27</v>
      </c>
      <c r="N230" t="s">
        <v>108</v>
      </c>
      <c r="O230" t="str">
        <f>_xlfn.XLOOKUP(E230,[1]syr_populatedplaces!$L:$L,[1]syr_populatedplaces!$M:$M)</f>
        <v>C4120</v>
      </c>
      <c r="P230">
        <f>_xlfn.XLOOKUP(E230,[1]syr_populatedplaces!$L:$L,[1]syr_populatedplaces!$AD:$AD)</f>
        <v>36.232727050000001</v>
      </c>
      <c r="Q230">
        <f>_xlfn.XLOOKUP(E230,[1]syr_populatedplaces!$L:$L,[1]syr_populatedplaces!$AC:$AC)</f>
        <v>36.790100099999997</v>
      </c>
    </row>
    <row r="231" spans="2:17" ht="15">
      <c r="B231" t="s">
        <v>381</v>
      </c>
      <c r="C231" t="s">
        <v>127</v>
      </c>
      <c r="D231" t="s">
        <v>128</v>
      </c>
      <c r="E231" t="s">
        <v>468</v>
      </c>
      <c r="F231" t="s">
        <v>96</v>
      </c>
      <c r="G231" t="s">
        <v>275</v>
      </c>
      <c r="H231" t="s">
        <v>460</v>
      </c>
      <c r="I231">
        <v>1</v>
      </c>
      <c r="J231" t="s">
        <v>24</v>
      </c>
      <c r="K231" t="s">
        <v>461</v>
      </c>
      <c r="L231" t="s">
        <v>278</v>
      </c>
      <c r="M231" t="s">
        <v>27</v>
      </c>
      <c r="N231" t="s">
        <v>108</v>
      </c>
      <c r="O231" t="e">
        <f>_xlfn.XLOOKUP(E231,[1]syr_populatedplaces!$L:$L,[1]syr_populatedplaces!$M:$M)</f>
        <v>#N/A</v>
      </c>
      <c r="P231" s="4" t="e">
        <f>_xlfn.XLOOKUP(الجدول1[[#This Row],[القرية– البلدة]],[1]syr_populatedplaces!$L:$L,[1]syr_populatedplaces!$AD:$AD)</f>
        <v>#N/A</v>
      </c>
      <c r="Q231" s="4" t="e">
        <f>_xlfn.XLOOKUP(الجدول1[[#This Row],[القرية– البلدة]],[1]syr_populatedplaces!$L:$L,[1]syr_populatedplaces!$AC:$AC)</f>
        <v>#N/A</v>
      </c>
    </row>
    <row r="232" spans="2:17" ht="15">
      <c r="B232" t="s">
        <v>381</v>
      </c>
      <c r="C232" t="s">
        <v>127</v>
      </c>
      <c r="D232" t="s">
        <v>128</v>
      </c>
      <c r="E232" t="s">
        <v>469</v>
      </c>
      <c r="F232" t="s">
        <v>96</v>
      </c>
      <c r="G232" t="s">
        <v>275</v>
      </c>
      <c r="H232" t="s">
        <v>460</v>
      </c>
      <c r="I232">
        <v>1</v>
      </c>
      <c r="J232" t="s">
        <v>24</v>
      </c>
      <c r="K232" t="s">
        <v>461</v>
      </c>
      <c r="L232" t="s">
        <v>278</v>
      </c>
      <c r="M232" t="s">
        <v>27</v>
      </c>
      <c r="N232" t="s">
        <v>108</v>
      </c>
      <c r="O232" t="e">
        <f>_xlfn.XLOOKUP(E232,[1]syr_populatedplaces!$L:$L,[1]syr_populatedplaces!$M:$M)</f>
        <v>#N/A</v>
      </c>
      <c r="P232" s="4" t="e">
        <f>_xlfn.XLOOKUP(الجدول1[[#This Row],[القرية– البلدة]],[1]syr_populatedplaces!$L:$L,[1]syr_populatedplaces!$AD:$AD)</f>
        <v>#N/A</v>
      </c>
      <c r="Q232" s="4" t="e">
        <f>_xlfn.XLOOKUP(الجدول1[[#This Row],[القرية– البلدة]],[1]syr_populatedplaces!$L:$L,[1]syr_populatedplaces!$AC:$AC)</f>
        <v>#N/A</v>
      </c>
    </row>
    <row r="233" spans="2:17">
      <c r="B233" t="s">
        <v>381</v>
      </c>
      <c r="C233" t="s">
        <v>127</v>
      </c>
      <c r="D233" t="s">
        <v>128</v>
      </c>
      <c r="E233" t="s">
        <v>425</v>
      </c>
      <c r="F233" t="s">
        <v>96</v>
      </c>
      <c r="G233" t="s">
        <v>426</v>
      </c>
      <c r="H233" t="s">
        <v>124</v>
      </c>
      <c r="I233">
        <v>1</v>
      </c>
      <c r="J233" t="s">
        <v>24</v>
      </c>
      <c r="K233" t="s">
        <v>427</v>
      </c>
      <c r="L233" t="s">
        <v>214</v>
      </c>
      <c r="M233" t="s">
        <v>27</v>
      </c>
      <c r="N233" t="s">
        <v>108</v>
      </c>
      <c r="O233" t="str">
        <f>_xlfn.XLOOKUP(E233,[1]syr_populatedplaces!$L:$L,[1]syr_populatedplaces!$M:$M)</f>
        <v>C3965</v>
      </c>
      <c r="P233">
        <f>_xlfn.XLOOKUP(E233,[1]syr_populatedplaces!$L:$L,[1]syr_populatedplaces!$AD:$AD)</f>
        <v>35.699890140000001</v>
      </c>
      <c r="Q233">
        <f>_xlfn.XLOOKUP(E233,[1]syr_populatedplaces!$L:$L,[1]syr_populatedplaces!$AC:$AC)</f>
        <v>36.688110350000002</v>
      </c>
    </row>
    <row r="234" spans="2:17">
      <c r="B234" t="s">
        <v>381</v>
      </c>
      <c r="C234" t="s">
        <v>127</v>
      </c>
      <c r="D234" t="s">
        <v>128</v>
      </c>
      <c r="E234" t="s">
        <v>1805</v>
      </c>
      <c r="F234" t="s">
        <v>96</v>
      </c>
      <c r="G234" t="s">
        <v>275</v>
      </c>
      <c r="H234" t="s">
        <v>460</v>
      </c>
      <c r="I234">
        <v>1</v>
      </c>
      <c r="J234" t="s">
        <v>24</v>
      </c>
      <c r="K234" t="s">
        <v>461</v>
      </c>
      <c r="L234" t="s">
        <v>278</v>
      </c>
      <c r="M234" t="s">
        <v>27</v>
      </c>
      <c r="N234" t="s">
        <v>108</v>
      </c>
      <c r="O234" t="str">
        <f>_xlfn.XLOOKUP(E234,[1]syr_populatedplaces!$L:$L,[1]syr_populatedplaces!$M:$M)</f>
        <v>C4037</v>
      </c>
      <c r="P234">
        <f>_xlfn.XLOOKUP(E234,[1]syr_populatedplaces!$L:$L,[1]syr_populatedplaces!$AD:$AD)</f>
        <v>35.536499020000001</v>
      </c>
      <c r="Q234">
        <f>_xlfn.XLOOKUP(E234,[1]syr_populatedplaces!$L:$L,[1]syr_populatedplaces!$AC:$AC)</f>
        <v>36.961730959999997</v>
      </c>
    </row>
    <row r="235" spans="2:17">
      <c r="B235" t="s">
        <v>381</v>
      </c>
      <c r="C235" t="s">
        <v>127</v>
      </c>
      <c r="D235" t="s">
        <v>128</v>
      </c>
      <c r="E235" t="s">
        <v>165</v>
      </c>
      <c r="F235" t="s">
        <v>96</v>
      </c>
      <c r="G235" t="s">
        <v>426</v>
      </c>
      <c r="H235" t="s">
        <v>124</v>
      </c>
      <c r="I235">
        <v>1</v>
      </c>
      <c r="J235" t="s">
        <v>24</v>
      </c>
      <c r="K235" t="s">
        <v>427</v>
      </c>
      <c r="L235" t="s">
        <v>214</v>
      </c>
      <c r="M235" t="s">
        <v>27</v>
      </c>
      <c r="N235" t="s">
        <v>108</v>
      </c>
      <c r="O235" t="s">
        <v>166</v>
      </c>
      <c r="P235">
        <v>36.186706540000003</v>
      </c>
      <c r="Q235">
        <v>36.723876949999998</v>
      </c>
    </row>
    <row r="236" spans="2:17" ht="15">
      <c r="B236" t="s">
        <v>381</v>
      </c>
      <c r="C236" t="s">
        <v>127</v>
      </c>
      <c r="D236" t="s">
        <v>128</v>
      </c>
      <c r="E236" t="s">
        <v>201</v>
      </c>
      <c r="F236" t="s">
        <v>96</v>
      </c>
      <c r="G236" t="s">
        <v>470</v>
      </c>
      <c r="H236" t="s">
        <v>198</v>
      </c>
      <c r="I236">
        <v>1</v>
      </c>
      <c r="J236" t="s">
        <v>108</v>
      </c>
      <c r="K236" t="s">
        <v>471</v>
      </c>
      <c r="L236" t="s">
        <v>472</v>
      </c>
      <c r="M236" t="s">
        <v>27</v>
      </c>
      <c r="N236" t="s">
        <v>387</v>
      </c>
      <c r="O236" t="e">
        <f>_xlfn.XLOOKUP(E236,[1]syr_populatedplaces!$L:$L,[1]syr_populatedplaces!$M:$M)</f>
        <v>#N/A</v>
      </c>
      <c r="P236" s="4" t="e">
        <f>_xlfn.XLOOKUP(الجدول1[[#This Row],[القرية– البلدة]],[1]syr_populatedplaces!$L:$L,[1]syr_populatedplaces!$AD:$AD)</f>
        <v>#N/A</v>
      </c>
      <c r="Q236" s="4" t="e">
        <f>_xlfn.XLOOKUP(الجدول1[[#This Row],[القرية– البلدة]],[1]syr_populatedplaces!$L:$L,[1]syr_populatedplaces!$AC:$AC)</f>
        <v>#N/A</v>
      </c>
    </row>
    <row r="237" spans="2:17">
      <c r="B237" t="s">
        <v>381</v>
      </c>
      <c r="C237" t="s">
        <v>127</v>
      </c>
      <c r="D237" t="s">
        <v>128</v>
      </c>
      <c r="E237" t="s">
        <v>129</v>
      </c>
      <c r="F237" t="s">
        <v>96</v>
      </c>
      <c r="G237" t="s">
        <v>426</v>
      </c>
      <c r="H237" t="s">
        <v>124</v>
      </c>
      <c r="I237">
        <v>1</v>
      </c>
      <c r="J237" t="s">
        <v>24</v>
      </c>
      <c r="K237" t="s">
        <v>427</v>
      </c>
      <c r="L237" t="s">
        <v>214</v>
      </c>
      <c r="M237" t="s">
        <v>27</v>
      </c>
      <c r="N237" t="s">
        <v>108</v>
      </c>
      <c r="O237" t="s">
        <v>133</v>
      </c>
      <c r="P237">
        <v>35.814270020000002</v>
      </c>
      <c r="Q237">
        <v>36.314880369999997</v>
      </c>
    </row>
    <row r="238" spans="2:17">
      <c r="B238" t="s">
        <v>381</v>
      </c>
      <c r="C238" t="s">
        <v>127</v>
      </c>
      <c r="D238" t="s">
        <v>128</v>
      </c>
      <c r="E238" t="s">
        <v>428</v>
      </c>
      <c r="F238" t="s">
        <v>96</v>
      </c>
      <c r="G238" t="s">
        <v>426</v>
      </c>
      <c r="H238" t="s">
        <v>124</v>
      </c>
      <c r="I238">
        <v>1</v>
      </c>
      <c r="J238" t="s">
        <v>24</v>
      </c>
      <c r="K238" t="s">
        <v>427</v>
      </c>
      <c r="L238" t="s">
        <v>214</v>
      </c>
      <c r="M238" t="s">
        <v>27</v>
      </c>
      <c r="N238" t="s">
        <v>108</v>
      </c>
      <c r="O238" t="s">
        <v>429</v>
      </c>
      <c r="P238">
        <v>35.882873539999999</v>
      </c>
      <c r="Q238">
        <v>36.291503910000003</v>
      </c>
    </row>
    <row r="239" spans="2:17">
      <c r="B239" t="s">
        <v>381</v>
      </c>
      <c r="C239" t="s">
        <v>127</v>
      </c>
      <c r="D239" t="s">
        <v>128</v>
      </c>
      <c r="E239" t="s">
        <v>134</v>
      </c>
      <c r="F239" t="s">
        <v>96</v>
      </c>
      <c r="G239" t="s">
        <v>426</v>
      </c>
      <c r="H239" t="s">
        <v>124</v>
      </c>
      <c r="I239">
        <v>1</v>
      </c>
      <c r="J239" t="s">
        <v>24</v>
      </c>
      <c r="K239" t="s">
        <v>427</v>
      </c>
      <c r="L239" t="s">
        <v>214</v>
      </c>
      <c r="M239" t="s">
        <v>27</v>
      </c>
      <c r="N239" t="s">
        <v>108</v>
      </c>
      <c r="O239" t="str">
        <f>_xlfn.XLOOKUP(E239,[1]syr_populatedplaces!$L:$L,[1]syr_populatedplaces!$M:$M)</f>
        <v>C4238</v>
      </c>
      <c r="P239">
        <f>_xlfn.XLOOKUP(E239,[1]syr_populatedplaces!$L:$L,[1]syr_populatedplaces!$AD:$AD)</f>
        <v>35.954528809999999</v>
      </c>
      <c r="Q239">
        <f>_xlfn.XLOOKUP(E239,[1]syr_populatedplaces!$L:$L,[1]syr_populatedplaces!$AC:$AC)</f>
        <v>36.340515140000001</v>
      </c>
    </row>
    <row r="240" spans="2:17">
      <c r="B240" t="s">
        <v>381</v>
      </c>
      <c r="C240" t="s">
        <v>127</v>
      </c>
      <c r="D240" t="s">
        <v>128</v>
      </c>
      <c r="E240" t="s">
        <v>135</v>
      </c>
      <c r="F240" t="s">
        <v>96</v>
      </c>
      <c r="G240" t="s">
        <v>426</v>
      </c>
      <c r="H240" t="s">
        <v>124</v>
      </c>
      <c r="I240">
        <v>1</v>
      </c>
      <c r="J240" t="s">
        <v>24</v>
      </c>
      <c r="K240" t="s">
        <v>427</v>
      </c>
      <c r="L240" t="s">
        <v>214</v>
      </c>
      <c r="M240" t="s">
        <v>27</v>
      </c>
      <c r="N240" t="s">
        <v>108</v>
      </c>
      <c r="O240" t="s">
        <v>136</v>
      </c>
      <c r="P240">
        <v>35.992492679999998</v>
      </c>
      <c r="Q240">
        <v>36.393493650000003</v>
      </c>
    </row>
    <row r="241" spans="2:17">
      <c r="B241" t="s">
        <v>381</v>
      </c>
      <c r="C241" t="s">
        <v>127</v>
      </c>
      <c r="D241" t="s">
        <v>128</v>
      </c>
      <c r="E241" t="s">
        <v>129</v>
      </c>
      <c r="F241" t="s">
        <v>96</v>
      </c>
      <c r="G241" t="s">
        <v>426</v>
      </c>
      <c r="H241" t="s">
        <v>124</v>
      </c>
      <c r="I241">
        <v>1</v>
      </c>
      <c r="J241" t="s">
        <v>24</v>
      </c>
      <c r="K241" t="s">
        <v>427</v>
      </c>
      <c r="L241" t="s">
        <v>214</v>
      </c>
      <c r="M241" t="s">
        <v>27</v>
      </c>
      <c r="N241" t="s">
        <v>108</v>
      </c>
      <c r="O241" t="s">
        <v>133</v>
      </c>
      <c r="P241">
        <v>35.814270020000002</v>
      </c>
      <c r="Q241">
        <v>36.314880369999997</v>
      </c>
    </row>
    <row r="242" spans="2:17">
      <c r="B242" t="s">
        <v>381</v>
      </c>
      <c r="C242" t="s">
        <v>127</v>
      </c>
      <c r="D242" t="s">
        <v>128</v>
      </c>
      <c r="E242" t="s">
        <v>430</v>
      </c>
      <c r="F242" t="s">
        <v>96</v>
      </c>
      <c r="G242" t="s">
        <v>426</v>
      </c>
      <c r="H242" t="s">
        <v>124</v>
      </c>
      <c r="I242">
        <v>1</v>
      </c>
      <c r="J242" t="s">
        <v>24</v>
      </c>
      <c r="K242" t="s">
        <v>427</v>
      </c>
      <c r="L242" t="s">
        <v>214</v>
      </c>
      <c r="M242" t="s">
        <v>27</v>
      </c>
      <c r="N242" t="s">
        <v>108</v>
      </c>
      <c r="O242" t="s">
        <v>431</v>
      </c>
      <c r="P242">
        <v>36.013488770000002</v>
      </c>
      <c r="Q242">
        <v>36.384277339999997</v>
      </c>
    </row>
    <row r="243" spans="2:17">
      <c r="B243" t="s">
        <v>381</v>
      </c>
      <c r="C243" t="s">
        <v>127</v>
      </c>
      <c r="D243" t="s">
        <v>128</v>
      </c>
      <c r="E243" t="s">
        <v>150</v>
      </c>
      <c r="F243" t="s">
        <v>96</v>
      </c>
      <c r="G243" t="s">
        <v>426</v>
      </c>
      <c r="H243" t="s">
        <v>124</v>
      </c>
      <c r="I243">
        <v>1</v>
      </c>
      <c r="J243" t="s">
        <v>24</v>
      </c>
      <c r="K243" t="s">
        <v>427</v>
      </c>
      <c r="L243" t="s">
        <v>214</v>
      </c>
      <c r="M243" t="s">
        <v>27</v>
      </c>
      <c r="N243" t="s">
        <v>108</v>
      </c>
      <c r="O243" t="s">
        <v>151</v>
      </c>
      <c r="P243">
        <v>35.812072749999999</v>
      </c>
      <c r="Q243">
        <v>36.197326660000002</v>
      </c>
    </row>
    <row r="244" spans="2:17">
      <c r="B244" t="s">
        <v>381</v>
      </c>
      <c r="C244" t="s">
        <v>127</v>
      </c>
      <c r="D244" t="s">
        <v>128</v>
      </c>
      <c r="E244" t="s">
        <v>432</v>
      </c>
      <c r="F244" t="s">
        <v>96</v>
      </c>
      <c r="G244" t="s">
        <v>426</v>
      </c>
      <c r="H244" t="s">
        <v>124</v>
      </c>
      <c r="I244">
        <v>1</v>
      </c>
      <c r="J244" t="s">
        <v>24</v>
      </c>
      <c r="K244" t="s">
        <v>427</v>
      </c>
      <c r="L244" t="s">
        <v>214</v>
      </c>
      <c r="M244" t="s">
        <v>27</v>
      </c>
      <c r="N244" t="s">
        <v>108</v>
      </c>
      <c r="O244" t="s">
        <v>433</v>
      </c>
      <c r="P244">
        <v>35.860900880000003</v>
      </c>
      <c r="Q244">
        <v>36.233886720000001</v>
      </c>
    </row>
    <row r="245" spans="2:17">
      <c r="B245" t="s">
        <v>381</v>
      </c>
      <c r="C245" t="s">
        <v>127</v>
      </c>
      <c r="D245" t="s">
        <v>128</v>
      </c>
      <c r="E245" t="s">
        <v>434</v>
      </c>
      <c r="F245" t="s">
        <v>96</v>
      </c>
      <c r="G245" t="s">
        <v>426</v>
      </c>
      <c r="H245" t="s">
        <v>124</v>
      </c>
      <c r="I245">
        <v>1</v>
      </c>
      <c r="J245" t="s">
        <v>24</v>
      </c>
      <c r="K245" t="s">
        <v>427</v>
      </c>
      <c r="L245" t="s">
        <v>214</v>
      </c>
      <c r="M245" t="s">
        <v>27</v>
      </c>
      <c r="N245" t="s">
        <v>108</v>
      </c>
      <c r="O245" t="s">
        <v>435</v>
      </c>
      <c r="P245">
        <v>35.917907720000002</v>
      </c>
      <c r="Q245">
        <v>36.44049072</v>
      </c>
    </row>
    <row r="246" spans="2:17" ht="15">
      <c r="B246" t="s">
        <v>381</v>
      </c>
      <c r="C246" t="s">
        <v>127</v>
      </c>
      <c r="D246" t="s">
        <v>128</v>
      </c>
      <c r="E246" t="s">
        <v>202</v>
      </c>
      <c r="F246" t="s">
        <v>96</v>
      </c>
      <c r="G246" t="s">
        <v>470</v>
      </c>
      <c r="H246" t="s">
        <v>198</v>
      </c>
      <c r="I246">
        <v>1</v>
      </c>
      <c r="J246" t="s">
        <v>108</v>
      </c>
      <c r="K246" t="s">
        <v>471</v>
      </c>
      <c r="L246" t="s">
        <v>472</v>
      </c>
      <c r="M246" t="s">
        <v>27</v>
      </c>
      <c r="N246" t="s">
        <v>387</v>
      </c>
      <c r="O246" t="e">
        <f>_xlfn.XLOOKUP(E246,[1]syr_populatedplaces!$L:$L,[1]syr_populatedplaces!$M:$M)</f>
        <v>#N/A</v>
      </c>
      <c r="P246" s="4" t="e">
        <f>_xlfn.XLOOKUP(الجدول1[[#This Row],[القرية– البلدة]],[1]syr_populatedplaces!$L:$L,[1]syr_populatedplaces!$AD:$AD)</f>
        <v>#N/A</v>
      </c>
      <c r="Q246" s="4" t="e">
        <f>_xlfn.XLOOKUP(الجدول1[[#This Row],[القرية– البلدة]],[1]syr_populatedplaces!$L:$L,[1]syr_populatedplaces!$AC:$AC)</f>
        <v>#N/A</v>
      </c>
    </row>
    <row r="247" spans="2:17">
      <c r="B247" t="s">
        <v>381</v>
      </c>
      <c r="C247" t="s">
        <v>127</v>
      </c>
      <c r="D247" t="s">
        <v>128</v>
      </c>
      <c r="E247" t="s">
        <v>158</v>
      </c>
      <c r="F247" t="s">
        <v>96</v>
      </c>
      <c r="G247" t="s">
        <v>426</v>
      </c>
      <c r="H247" t="s">
        <v>124</v>
      </c>
      <c r="I247">
        <v>1</v>
      </c>
      <c r="J247" t="s">
        <v>24</v>
      </c>
      <c r="K247" t="s">
        <v>427</v>
      </c>
      <c r="L247" t="s">
        <v>214</v>
      </c>
      <c r="M247" t="s">
        <v>27</v>
      </c>
      <c r="N247" t="s">
        <v>108</v>
      </c>
      <c r="O247" t="s">
        <v>159</v>
      </c>
      <c r="P247">
        <v>36.116516109999999</v>
      </c>
      <c r="Q247">
        <v>36.515502929999997</v>
      </c>
    </row>
    <row r="248" spans="2:17">
      <c r="B248" t="s">
        <v>381</v>
      </c>
      <c r="C248" t="s">
        <v>127</v>
      </c>
      <c r="D248" t="s">
        <v>128</v>
      </c>
      <c r="E248" t="s">
        <v>437</v>
      </c>
      <c r="F248" t="s">
        <v>96</v>
      </c>
      <c r="G248" t="s">
        <v>426</v>
      </c>
      <c r="H248" t="s">
        <v>124</v>
      </c>
      <c r="I248">
        <v>1</v>
      </c>
      <c r="J248" t="s">
        <v>24</v>
      </c>
      <c r="K248" t="s">
        <v>427</v>
      </c>
      <c r="L248" t="s">
        <v>214</v>
      </c>
      <c r="M248" t="s">
        <v>27</v>
      </c>
      <c r="N248" t="s">
        <v>108</v>
      </c>
      <c r="O248" t="s">
        <v>438</v>
      </c>
      <c r="P248">
        <v>33.838073729999998</v>
      </c>
      <c r="Q248">
        <v>36.246276860000002</v>
      </c>
    </row>
    <row r="249" spans="2:17">
      <c r="B249" t="s">
        <v>381</v>
      </c>
      <c r="C249" t="s">
        <v>127</v>
      </c>
      <c r="D249" t="s">
        <v>128</v>
      </c>
      <c r="E249" t="s">
        <v>150</v>
      </c>
      <c r="F249" t="s">
        <v>96</v>
      </c>
      <c r="G249" t="s">
        <v>426</v>
      </c>
      <c r="H249" t="s">
        <v>124</v>
      </c>
      <c r="I249">
        <v>1</v>
      </c>
      <c r="J249" t="s">
        <v>24</v>
      </c>
      <c r="K249" t="s">
        <v>427</v>
      </c>
      <c r="L249" t="s">
        <v>214</v>
      </c>
      <c r="M249" t="s">
        <v>27</v>
      </c>
      <c r="N249" t="s">
        <v>108</v>
      </c>
      <c r="O249" t="s">
        <v>151</v>
      </c>
      <c r="P249">
        <v>35.812072749999999</v>
      </c>
      <c r="Q249">
        <v>36.197326660000002</v>
      </c>
    </row>
    <row r="250" spans="2:17">
      <c r="B250" t="s">
        <v>381</v>
      </c>
      <c r="C250" t="s">
        <v>127</v>
      </c>
      <c r="D250" t="s">
        <v>128</v>
      </c>
      <c r="E250" t="s">
        <v>1788</v>
      </c>
      <c r="F250" t="s">
        <v>96</v>
      </c>
      <c r="G250" t="s">
        <v>470</v>
      </c>
      <c r="H250" t="s">
        <v>198</v>
      </c>
      <c r="I250">
        <v>1</v>
      </c>
      <c r="J250" t="s">
        <v>108</v>
      </c>
      <c r="K250" t="s">
        <v>471</v>
      </c>
      <c r="L250" t="s">
        <v>472</v>
      </c>
      <c r="M250" t="s">
        <v>27</v>
      </c>
      <c r="N250" t="s">
        <v>387</v>
      </c>
      <c r="O250" t="str">
        <f>_xlfn.XLOOKUP(E250,[1]syr_populatedplaces!$L:$L,[1]syr_populatedplaces!$M:$M)</f>
        <v>C3942</v>
      </c>
      <c r="P250">
        <f>_xlfn.XLOOKUP(E250,[1]syr_populatedplaces!$L:$L,[1]syr_populatedplaces!$AD:$AD)</f>
        <v>36.059082029999999</v>
      </c>
      <c r="Q250">
        <f>_xlfn.XLOOKUP(E250,[1]syr_populatedplaces!$L:$L,[1]syr_populatedplaces!$AC:$AC)</f>
        <v>36.69689941</v>
      </c>
    </row>
    <row r="251" spans="2:17">
      <c r="B251" t="s">
        <v>381</v>
      </c>
      <c r="C251" t="s">
        <v>127</v>
      </c>
      <c r="D251" t="s">
        <v>128</v>
      </c>
      <c r="E251" t="s">
        <v>439</v>
      </c>
      <c r="F251" t="s">
        <v>96</v>
      </c>
      <c r="G251" t="s">
        <v>426</v>
      </c>
      <c r="H251" t="s">
        <v>124</v>
      </c>
      <c r="I251">
        <v>1</v>
      </c>
      <c r="J251" t="s">
        <v>24</v>
      </c>
      <c r="K251" t="s">
        <v>427</v>
      </c>
      <c r="L251" t="s">
        <v>214</v>
      </c>
      <c r="M251" t="s">
        <v>27</v>
      </c>
      <c r="N251" t="s">
        <v>108</v>
      </c>
      <c r="O251" t="str">
        <f>_xlfn.XLOOKUP(E251,[1]syr_populatedplaces!$L:$L,[1]syr_populatedplaces!$M:$M)</f>
        <v>C4278</v>
      </c>
      <c r="P251">
        <f>_xlfn.XLOOKUP(E251,[1]syr_populatedplaces!$L:$L,[1]syr_populatedplaces!$AD:$AD)</f>
        <v>35.81408691</v>
      </c>
      <c r="Q251">
        <f>_xlfn.XLOOKUP(E251,[1]syr_populatedplaces!$L:$L,[1]syr_populatedplaces!$AC:$AC)</f>
        <v>36.61029053</v>
      </c>
    </row>
    <row r="252" spans="2:17">
      <c r="B252" t="s">
        <v>381</v>
      </c>
      <c r="C252" t="s">
        <v>127</v>
      </c>
      <c r="D252" t="s">
        <v>128</v>
      </c>
      <c r="E252" t="s">
        <v>440</v>
      </c>
      <c r="F252" t="s">
        <v>96</v>
      </c>
      <c r="G252" t="s">
        <v>426</v>
      </c>
      <c r="H252" t="s">
        <v>124</v>
      </c>
      <c r="I252">
        <v>1</v>
      </c>
      <c r="J252" t="s">
        <v>24</v>
      </c>
      <c r="K252" t="s">
        <v>427</v>
      </c>
      <c r="L252" t="s">
        <v>214</v>
      </c>
      <c r="M252" t="s">
        <v>27</v>
      </c>
      <c r="N252" t="s">
        <v>108</v>
      </c>
      <c r="O252" t="s">
        <v>441</v>
      </c>
      <c r="P252">
        <v>35.869079589999998</v>
      </c>
      <c r="Q252">
        <v>36.718322749999999</v>
      </c>
    </row>
    <row r="253" spans="2:17">
      <c r="B253" t="s">
        <v>381</v>
      </c>
      <c r="C253" t="s">
        <v>127</v>
      </c>
      <c r="D253" t="s">
        <v>128</v>
      </c>
      <c r="E253" t="s">
        <v>439</v>
      </c>
      <c r="F253" t="s">
        <v>96</v>
      </c>
      <c r="G253" t="s">
        <v>426</v>
      </c>
      <c r="H253" t="s">
        <v>124</v>
      </c>
      <c r="I253">
        <v>1</v>
      </c>
      <c r="J253" t="s">
        <v>24</v>
      </c>
      <c r="K253" t="s">
        <v>427</v>
      </c>
      <c r="L253" t="s">
        <v>214</v>
      </c>
      <c r="M253" t="s">
        <v>27</v>
      </c>
      <c r="N253" t="s">
        <v>108</v>
      </c>
      <c r="O253" t="str">
        <f>_xlfn.XLOOKUP(E253,[1]syr_populatedplaces!$L:$L,[1]syr_populatedplaces!$M:$M)</f>
        <v>C4278</v>
      </c>
      <c r="P253">
        <f>_xlfn.XLOOKUP(E253,[1]syr_populatedplaces!$L:$L,[1]syr_populatedplaces!$AD:$AD)</f>
        <v>35.81408691</v>
      </c>
      <c r="Q253">
        <f>_xlfn.XLOOKUP(E253,[1]syr_populatedplaces!$L:$L,[1]syr_populatedplaces!$AC:$AC)</f>
        <v>36.61029053</v>
      </c>
    </row>
    <row r="254" spans="2:17">
      <c r="B254" t="s">
        <v>381</v>
      </c>
      <c r="C254" t="s">
        <v>127</v>
      </c>
      <c r="D254" t="s">
        <v>128</v>
      </c>
      <c r="E254" t="s">
        <v>165</v>
      </c>
      <c r="F254" t="s">
        <v>96</v>
      </c>
      <c r="G254" t="s">
        <v>426</v>
      </c>
      <c r="H254" t="s">
        <v>124</v>
      </c>
      <c r="I254">
        <v>1</v>
      </c>
      <c r="J254" t="s">
        <v>24</v>
      </c>
      <c r="K254" t="s">
        <v>427</v>
      </c>
      <c r="L254" t="s">
        <v>214</v>
      </c>
      <c r="M254" t="s">
        <v>27</v>
      </c>
      <c r="N254" t="s">
        <v>108</v>
      </c>
      <c r="O254" t="s">
        <v>166</v>
      </c>
      <c r="P254">
        <v>36.186706540000003</v>
      </c>
      <c r="Q254">
        <v>36.723876949999998</v>
      </c>
    </row>
    <row r="255" spans="2:17">
      <c r="B255" t="s">
        <v>381</v>
      </c>
      <c r="C255" t="s">
        <v>127</v>
      </c>
      <c r="D255" t="s">
        <v>128</v>
      </c>
      <c r="E255" t="s">
        <v>442</v>
      </c>
      <c r="F255" t="s">
        <v>96</v>
      </c>
      <c r="G255" t="s">
        <v>426</v>
      </c>
      <c r="H255" t="s">
        <v>124</v>
      </c>
      <c r="I255">
        <v>1</v>
      </c>
      <c r="J255" t="s">
        <v>24</v>
      </c>
      <c r="K255" t="s">
        <v>427</v>
      </c>
      <c r="L255" t="s">
        <v>214</v>
      </c>
      <c r="M255" t="s">
        <v>27</v>
      </c>
      <c r="N255" t="s">
        <v>108</v>
      </c>
      <c r="O255" t="str">
        <f>_xlfn.XLOOKUP(E255,[1]syr_populatedplaces!$L:$L,[1]syr_populatedplaces!$M:$M)</f>
        <v>C8380</v>
      </c>
      <c r="P255">
        <f>_xlfn.XLOOKUP(E255,[1]syr_populatedplaces!$L:$L,[1]syr_populatedplaces!$AD:$AD)</f>
        <v>35.839904789999999</v>
      </c>
      <c r="Q255">
        <f>_xlfn.XLOOKUP(E255,[1]syr_populatedplaces!$L:$L,[1]syr_populatedplaces!$AC:$AC)</f>
        <v>36.500305179999998</v>
      </c>
    </row>
    <row r="256" spans="2:17">
      <c r="B256" t="s">
        <v>381</v>
      </c>
      <c r="C256" t="s">
        <v>127</v>
      </c>
      <c r="D256" t="s">
        <v>128</v>
      </c>
      <c r="E256" t="s">
        <v>167</v>
      </c>
      <c r="F256" t="s">
        <v>96</v>
      </c>
      <c r="G256" t="s">
        <v>443</v>
      </c>
      <c r="H256" t="s">
        <v>124</v>
      </c>
      <c r="I256">
        <v>1</v>
      </c>
      <c r="J256" t="s">
        <v>99</v>
      </c>
      <c r="K256" t="s">
        <v>444</v>
      </c>
      <c r="L256" t="s">
        <v>445</v>
      </c>
      <c r="M256" t="s">
        <v>27</v>
      </c>
      <c r="N256" t="s">
        <v>108</v>
      </c>
      <c r="O256" t="str">
        <f>_xlfn.XLOOKUP(E256,[1]syr_populatedplaces!$L:$L,[1]syr_populatedplaces!$M:$M)</f>
        <v>C4131</v>
      </c>
      <c r="P256">
        <f>_xlfn.XLOOKUP(E256,[1]syr_populatedplaces!$L:$L,[1]syr_populatedplaces!$AD:$AD)</f>
        <v>36.296325680000002</v>
      </c>
      <c r="Q256">
        <f>_xlfn.XLOOKUP(E256,[1]syr_populatedplaces!$L:$L,[1]syr_populatedplaces!$AC:$AC)</f>
        <v>36.725280759999997</v>
      </c>
    </row>
    <row r="257" spans="2:17">
      <c r="B257" t="s">
        <v>381</v>
      </c>
      <c r="C257" t="s">
        <v>127</v>
      </c>
      <c r="D257" t="s">
        <v>128</v>
      </c>
      <c r="E257" t="s">
        <v>177</v>
      </c>
      <c r="F257" t="s">
        <v>96</v>
      </c>
      <c r="G257" t="s">
        <v>443</v>
      </c>
      <c r="H257" t="s">
        <v>124</v>
      </c>
      <c r="I257">
        <v>1</v>
      </c>
      <c r="J257" t="s">
        <v>99</v>
      </c>
      <c r="K257" t="s">
        <v>444</v>
      </c>
      <c r="L257" t="s">
        <v>445</v>
      </c>
      <c r="M257" t="s">
        <v>27</v>
      </c>
      <c r="N257" t="s">
        <v>108</v>
      </c>
      <c r="O257" t="s">
        <v>178</v>
      </c>
      <c r="P257">
        <v>35.903686520000001</v>
      </c>
      <c r="Q257">
        <v>36.723876949999998</v>
      </c>
    </row>
    <row r="258" spans="2:17">
      <c r="B258" t="s">
        <v>381</v>
      </c>
      <c r="C258" t="s">
        <v>127</v>
      </c>
      <c r="D258" t="s">
        <v>128</v>
      </c>
      <c r="E258" t="s">
        <v>446</v>
      </c>
      <c r="F258" t="s">
        <v>96</v>
      </c>
      <c r="G258" t="s">
        <v>443</v>
      </c>
      <c r="H258" t="s">
        <v>124</v>
      </c>
      <c r="I258">
        <v>1</v>
      </c>
      <c r="J258" t="s">
        <v>99</v>
      </c>
      <c r="K258" t="s">
        <v>444</v>
      </c>
      <c r="L258" t="s">
        <v>445</v>
      </c>
      <c r="M258" t="s">
        <v>27</v>
      </c>
      <c r="N258" t="s">
        <v>108</v>
      </c>
      <c r="O258" t="s">
        <v>447</v>
      </c>
      <c r="P258">
        <v>35.647705080000001</v>
      </c>
      <c r="Q258">
        <v>36.67669678</v>
      </c>
    </row>
    <row r="259" spans="2:17">
      <c r="B259" t="s">
        <v>381</v>
      </c>
      <c r="C259" t="s">
        <v>127</v>
      </c>
      <c r="D259" t="s">
        <v>128</v>
      </c>
      <c r="E259" t="s">
        <v>163</v>
      </c>
      <c r="F259" t="s">
        <v>96</v>
      </c>
      <c r="G259" t="s">
        <v>443</v>
      </c>
      <c r="H259" t="s">
        <v>124</v>
      </c>
      <c r="I259">
        <v>1</v>
      </c>
      <c r="J259" t="s">
        <v>99</v>
      </c>
      <c r="K259" t="s">
        <v>444</v>
      </c>
      <c r="L259" t="s">
        <v>445</v>
      </c>
      <c r="M259" t="s">
        <v>27</v>
      </c>
      <c r="N259" t="s">
        <v>108</v>
      </c>
      <c r="O259" t="s">
        <v>164</v>
      </c>
      <c r="P259">
        <v>36.212707520000002</v>
      </c>
      <c r="Q259">
        <v>36.520874020000001</v>
      </c>
    </row>
    <row r="260" spans="2:17">
      <c r="B260" t="s">
        <v>381</v>
      </c>
      <c r="C260" t="s">
        <v>127</v>
      </c>
      <c r="D260" t="s">
        <v>128</v>
      </c>
      <c r="E260" t="s">
        <v>448</v>
      </c>
      <c r="F260" t="s">
        <v>96</v>
      </c>
      <c r="G260" t="s">
        <v>443</v>
      </c>
      <c r="H260" t="s">
        <v>124</v>
      </c>
      <c r="I260">
        <v>1</v>
      </c>
      <c r="J260" t="s">
        <v>99</v>
      </c>
      <c r="K260" t="s">
        <v>444</v>
      </c>
      <c r="L260" t="s">
        <v>445</v>
      </c>
      <c r="M260" t="s">
        <v>27</v>
      </c>
      <c r="N260" t="s">
        <v>108</v>
      </c>
      <c r="O260" t="str">
        <f>_xlfn.XLOOKUP(E260,[1]syr_populatedplaces!$L:$L,[1]syr_populatedplaces!$M:$M)</f>
        <v>C4288</v>
      </c>
      <c r="P260">
        <f>_xlfn.XLOOKUP(E260,[1]syr_populatedplaces!$L:$L,[1]syr_populatedplaces!$AD:$AD)</f>
        <v>35.863891600000002</v>
      </c>
      <c r="Q260">
        <f>_xlfn.XLOOKUP(E260,[1]syr_populatedplaces!$L:$L,[1]syr_populatedplaces!$AC:$AC)</f>
        <v>36.56872559</v>
      </c>
    </row>
    <row r="261" spans="2:17" ht="15">
      <c r="B261" t="s">
        <v>381</v>
      </c>
      <c r="C261" t="s">
        <v>127</v>
      </c>
      <c r="D261" t="s">
        <v>128</v>
      </c>
      <c r="E261" t="s">
        <v>207</v>
      </c>
      <c r="F261" t="s">
        <v>96</v>
      </c>
      <c r="G261" t="s">
        <v>470</v>
      </c>
      <c r="H261" t="s">
        <v>198</v>
      </c>
      <c r="I261">
        <v>1</v>
      </c>
      <c r="J261" t="s">
        <v>108</v>
      </c>
      <c r="K261" t="s">
        <v>471</v>
      </c>
      <c r="L261" t="s">
        <v>472</v>
      </c>
      <c r="M261" t="s">
        <v>27</v>
      </c>
      <c r="N261" t="s">
        <v>387</v>
      </c>
      <c r="O261" t="e">
        <f>_xlfn.XLOOKUP(E261,[1]syr_populatedplaces!$L:$L,[1]syr_populatedplaces!$M:$M)</f>
        <v>#N/A</v>
      </c>
      <c r="P261" s="4" t="e">
        <f>_xlfn.XLOOKUP(الجدول1[[#This Row],[القرية– البلدة]],[1]syr_populatedplaces!$L:$L,[1]syr_populatedplaces!$AD:$AD)</f>
        <v>#N/A</v>
      </c>
      <c r="Q261" s="4" t="e">
        <f>_xlfn.XLOOKUP(الجدول1[[#This Row],[القرية– البلدة]],[1]syr_populatedplaces!$L:$L,[1]syr_populatedplaces!$AC:$AC)</f>
        <v>#N/A</v>
      </c>
    </row>
    <row r="262" spans="2:17">
      <c r="B262" t="s">
        <v>381</v>
      </c>
      <c r="C262" t="s">
        <v>127</v>
      </c>
      <c r="D262" t="s">
        <v>128</v>
      </c>
      <c r="E262" t="s">
        <v>190</v>
      </c>
      <c r="F262" t="s">
        <v>96</v>
      </c>
      <c r="G262" t="s">
        <v>443</v>
      </c>
      <c r="H262" t="s">
        <v>124</v>
      </c>
      <c r="I262">
        <v>1</v>
      </c>
      <c r="J262" t="s">
        <v>99</v>
      </c>
      <c r="K262" t="s">
        <v>444</v>
      </c>
      <c r="L262" t="s">
        <v>445</v>
      </c>
      <c r="M262" t="s">
        <v>27</v>
      </c>
      <c r="N262" t="s">
        <v>108</v>
      </c>
      <c r="O262" t="str">
        <f>_xlfn.XLOOKUP(E262,[1]syr_populatedplaces!$L:$L,[1]syr_populatedplaces!$M:$M)</f>
        <v>C4302</v>
      </c>
      <c r="P262">
        <f>_xlfn.XLOOKUP(E262,[1]syr_populatedplaces!$L:$L,[1]syr_populatedplaces!$AD:$AD)</f>
        <v>35.696105959999997</v>
      </c>
      <c r="Q262">
        <f>_xlfn.XLOOKUP(E262,[1]syr_populatedplaces!$L:$L,[1]syr_populatedplaces!$AC:$AC)</f>
        <v>36.503723149999999</v>
      </c>
    </row>
    <row r="263" spans="2:17">
      <c r="B263" t="s">
        <v>381</v>
      </c>
      <c r="C263" t="s">
        <v>127</v>
      </c>
      <c r="D263" t="s">
        <v>128</v>
      </c>
      <c r="E263" t="s">
        <v>179</v>
      </c>
      <c r="F263" t="s">
        <v>96</v>
      </c>
      <c r="G263" t="s">
        <v>443</v>
      </c>
      <c r="H263" t="s">
        <v>124</v>
      </c>
      <c r="I263">
        <v>1</v>
      </c>
      <c r="J263" t="s">
        <v>99</v>
      </c>
      <c r="K263" t="s">
        <v>444</v>
      </c>
      <c r="L263" t="s">
        <v>445</v>
      </c>
      <c r="M263" t="s">
        <v>27</v>
      </c>
      <c r="N263" t="s">
        <v>108</v>
      </c>
      <c r="O263" t="s">
        <v>180</v>
      </c>
      <c r="P263">
        <v>35.46691895</v>
      </c>
      <c r="Q263">
        <v>36.49450684</v>
      </c>
    </row>
    <row r="264" spans="2:17">
      <c r="B264" t="s">
        <v>381</v>
      </c>
      <c r="C264" t="s">
        <v>127</v>
      </c>
      <c r="D264" t="s">
        <v>128</v>
      </c>
      <c r="E264" t="s">
        <v>450</v>
      </c>
      <c r="F264" t="s">
        <v>96</v>
      </c>
      <c r="G264" t="s">
        <v>443</v>
      </c>
      <c r="H264" t="s">
        <v>124</v>
      </c>
      <c r="I264">
        <v>1</v>
      </c>
      <c r="J264" t="s">
        <v>99</v>
      </c>
      <c r="K264" t="s">
        <v>444</v>
      </c>
      <c r="L264" t="s">
        <v>445</v>
      </c>
      <c r="M264" t="s">
        <v>27</v>
      </c>
      <c r="N264" t="s">
        <v>108</v>
      </c>
      <c r="O264" t="s">
        <v>451</v>
      </c>
      <c r="P264">
        <v>35.685302729999997</v>
      </c>
      <c r="Q264">
        <v>36.541870119999999</v>
      </c>
    </row>
    <row r="265" spans="2:17">
      <c r="B265" t="s">
        <v>381</v>
      </c>
      <c r="C265" t="s">
        <v>127</v>
      </c>
      <c r="D265" t="s">
        <v>128</v>
      </c>
      <c r="E265" t="s">
        <v>452</v>
      </c>
      <c r="F265" t="s">
        <v>96</v>
      </c>
      <c r="G265" t="s">
        <v>443</v>
      </c>
      <c r="H265" t="s">
        <v>124</v>
      </c>
      <c r="I265">
        <v>1</v>
      </c>
      <c r="J265" t="s">
        <v>99</v>
      </c>
      <c r="K265" t="s">
        <v>444</v>
      </c>
      <c r="L265" t="s">
        <v>445</v>
      </c>
      <c r="M265" t="s">
        <v>27</v>
      </c>
      <c r="N265" t="s">
        <v>108</v>
      </c>
      <c r="O265" t="str">
        <f>_xlfn.XLOOKUP(E265,[1]syr_populatedplaces!$L:$L,[1]syr_populatedplaces!$M:$M)</f>
        <v>C3943</v>
      </c>
      <c r="P265">
        <f>_xlfn.XLOOKUP(E265,[1]syr_populatedplaces!$L:$L,[1]syr_populatedplaces!$AD:$AD)</f>
        <v>36.074279789999999</v>
      </c>
      <c r="Q265">
        <f>_xlfn.XLOOKUP(E265,[1]syr_populatedplaces!$L:$L,[1]syr_populatedplaces!$AC:$AC)</f>
        <v>36.638916020000003</v>
      </c>
    </row>
    <row r="266" spans="2:17" ht="15">
      <c r="B266" t="s">
        <v>381</v>
      </c>
      <c r="C266" t="s">
        <v>127</v>
      </c>
      <c r="D266" t="s">
        <v>128</v>
      </c>
      <c r="E266" t="s">
        <v>208</v>
      </c>
      <c r="F266" t="s">
        <v>96</v>
      </c>
      <c r="G266" t="s">
        <v>470</v>
      </c>
      <c r="H266" t="s">
        <v>198</v>
      </c>
      <c r="I266">
        <v>1</v>
      </c>
      <c r="J266" t="s">
        <v>108</v>
      </c>
      <c r="K266" t="s">
        <v>471</v>
      </c>
      <c r="L266" t="s">
        <v>472</v>
      </c>
      <c r="M266" t="s">
        <v>27</v>
      </c>
      <c r="N266" t="s">
        <v>387</v>
      </c>
      <c r="O266" t="e">
        <f>_xlfn.XLOOKUP(E266,[1]syr_populatedplaces!$L:$L,[1]syr_populatedplaces!$M:$M)</f>
        <v>#N/A</v>
      </c>
      <c r="P266" s="4" t="e">
        <f>_xlfn.XLOOKUP(الجدول1[[#This Row],[القرية– البلدة]],[1]syr_populatedplaces!$L:$L,[1]syr_populatedplaces!$AD:$AD)</f>
        <v>#N/A</v>
      </c>
      <c r="Q266" s="4" t="e">
        <f>_xlfn.XLOOKUP(الجدول1[[#This Row],[القرية– البلدة]],[1]syr_populatedplaces!$L:$L,[1]syr_populatedplaces!$AC:$AC)</f>
        <v>#N/A</v>
      </c>
    </row>
    <row r="267" spans="2:17">
      <c r="B267" t="s">
        <v>381</v>
      </c>
      <c r="C267" t="s">
        <v>127</v>
      </c>
      <c r="D267" t="s">
        <v>128</v>
      </c>
      <c r="E267" t="s">
        <v>453</v>
      </c>
      <c r="F267" t="s">
        <v>96</v>
      </c>
      <c r="G267" t="s">
        <v>443</v>
      </c>
      <c r="H267" t="s">
        <v>124</v>
      </c>
      <c r="I267">
        <v>1</v>
      </c>
      <c r="J267" t="s">
        <v>99</v>
      </c>
      <c r="K267" t="s">
        <v>444</v>
      </c>
      <c r="L267" t="s">
        <v>445</v>
      </c>
      <c r="M267" t="s">
        <v>27</v>
      </c>
      <c r="N267" t="s">
        <v>108</v>
      </c>
      <c r="O267" t="s">
        <v>454</v>
      </c>
      <c r="P267">
        <v>35.883911130000001</v>
      </c>
      <c r="Q267">
        <v>36.679870610000002</v>
      </c>
    </row>
    <row r="268" spans="2:17">
      <c r="B268" t="s">
        <v>381</v>
      </c>
      <c r="C268" t="s">
        <v>127</v>
      </c>
      <c r="D268" t="s">
        <v>128</v>
      </c>
      <c r="E268" t="s">
        <v>455</v>
      </c>
      <c r="F268" t="s">
        <v>96</v>
      </c>
      <c r="G268" t="s">
        <v>443</v>
      </c>
      <c r="H268" t="s">
        <v>124</v>
      </c>
      <c r="I268">
        <v>1</v>
      </c>
      <c r="J268" t="s">
        <v>99</v>
      </c>
      <c r="K268" t="s">
        <v>444</v>
      </c>
      <c r="L268" t="s">
        <v>445</v>
      </c>
      <c r="M268" t="s">
        <v>27</v>
      </c>
      <c r="N268" t="s">
        <v>108</v>
      </c>
      <c r="O268" t="s">
        <v>456</v>
      </c>
      <c r="P268">
        <v>35.65991211</v>
      </c>
      <c r="Q268">
        <v>36.484924319999998</v>
      </c>
    </row>
    <row r="269" spans="2:17">
      <c r="B269" t="s">
        <v>381</v>
      </c>
      <c r="C269" t="s">
        <v>127</v>
      </c>
      <c r="D269" t="s">
        <v>128</v>
      </c>
      <c r="E269" t="s">
        <v>457</v>
      </c>
      <c r="F269" t="s">
        <v>96</v>
      </c>
      <c r="G269" t="s">
        <v>443</v>
      </c>
      <c r="H269" t="s">
        <v>124</v>
      </c>
      <c r="I269">
        <v>1</v>
      </c>
      <c r="J269" t="s">
        <v>99</v>
      </c>
      <c r="K269" t="s">
        <v>444</v>
      </c>
      <c r="L269" t="s">
        <v>445</v>
      </c>
      <c r="M269" t="s">
        <v>27</v>
      </c>
      <c r="N269" t="s">
        <v>108</v>
      </c>
      <c r="O269" t="s">
        <v>458</v>
      </c>
      <c r="P269">
        <v>35.90209961</v>
      </c>
      <c r="Q269">
        <v>36.539672850000002</v>
      </c>
    </row>
    <row r="270" spans="2:17">
      <c r="B270" t="s">
        <v>381</v>
      </c>
      <c r="C270" t="s">
        <v>127</v>
      </c>
      <c r="D270" t="s">
        <v>128</v>
      </c>
      <c r="E270" t="s">
        <v>459</v>
      </c>
      <c r="F270" t="s">
        <v>96</v>
      </c>
      <c r="G270" t="s">
        <v>443</v>
      </c>
      <c r="H270" t="s">
        <v>124</v>
      </c>
      <c r="I270">
        <v>1</v>
      </c>
      <c r="J270" t="s">
        <v>99</v>
      </c>
      <c r="K270" t="s">
        <v>444</v>
      </c>
      <c r="L270" t="s">
        <v>445</v>
      </c>
      <c r="M270" t="s">
        <v>27</v>
      </c>
      <c r="N270" t="s">
        <v>108</v>
      </c>
      <c r="O270" t="str">
        <f>_xlfn.XLOOKUP(E270,[1]syr_populatedplaces!$L:$L,[1]syr_populatedplaces!$M:$M)</f>
        <v>C2733</v>
      </c>
      <c r="P270">
        <f>_xlfn.XLOOKUP(E270,[1]syr_populatedplaces!$L:$L,[1]syr_populatedplaces!$AD:$AD)</f>
        <v>34.509704589999998</v>
      </c>
      <c r="Q270">
        <f>_xlfn.XLOOKUP(E270,[1]syr_populatedplaces!$L:$L,[1]syr_populatedplaces!$AC:$AC)</f>
        <v>36.579895020000002</v>
      </c>
    </row>
    <row r="271" spans="2:17">
      <c r="B271" t="s">
        <v>381</v>
      </c>
      <c r="C271" t="s">
        <v>127</v>
      </c>
      <c r="D271" t="s">
        <v>128</v>
      </c>
      <c r="E271" t="s">
        <v>138</v>
      </c>
      <c r="F271" t="s">
        <v>96</v>
      </c>
      <c r="G271" t="s">
        <v>443</v>
      </c>
      <c r="H271" t="s">
        <v>124</v>
      </c>
      <c r="I271">
        <v>1</v>
      </c>
      <c r="J271" t="s">
        <v>99</v>
      </c>
      <c r="K271" t="s">
        <v>444</v>
      </c>
      <c r="L271" t="s">
        <v>445</v>
      </c>
      <c r="M271" t="s">
        <v>27</v>
      </c>
      <c r="N271" t="s">
        <v>108</v>
      </c>
      <c r="O271" t="s">
        <v>139</v>
      </c>
      <c r="P271">
        <v>36.255676270000002</v>
      </c>
      <c r="Q271">
        <v>36.713500979999999</v>
      </c>
    </row>
    <row r="272" spans="2:17">
      <c r="B272" t="s">
        <v>381</v>
      </c>
      <c r="C272" t="s">
        <v>127</v>
      </c>
      <c r="D272" t="s">
        <v>128</v>
      </c>
      <c r="E272" t="s">
        <v>439</v>
      </c>
      <c r="F272" t="s">
        <v>96</v>
      </c>
      <c r="G272" t="s">
        <v>443</v>
      </c>
      <c r="H272" t="s">
        <v>124</v>
      </c>
      <c r="I272">
        <v>1</v>
      </c>
      <c r="J272" t="s">
        <v>99</v>
      </c>
      <c r="K272" t="s">
        <v>444</v>
      </c>
      <c r="L272" t="s">
        <v>445</v>
      </c>
      <c r="M272" t="s">
        <v>27</v>
      </c>
      <c r="N272" t="s">
        <v>108</v>
      </c>
      <c r="O272" t="str">
        <f>_xlfn.XLOOKUP(E272,[1]syr_populatedplaces!$L:$L,[1]syr_populatedplaces!$M:$M)</f>
        <v>C4278</v>
      </c>
      <c r="P272">
        <f>_xlfn.XLOOKUP(E272,[1]syr_populatedplaces!$L:$L,[1]syr_populatedplaces!$AD:$AD)</f>
        <v>35.81408691</v>
      </c>
      <c r="Q272">
        <f>_xlfn.XLOOKUP(E272,[1]syr_populatedplaces!$L:$L,[1]syr_populatedplaces!$AC:$AC)</f>
        <v>36.61029053</v>
      </c>
    </row>
    <row r="273" spans="2:17">
      <c r="B273" t="s">
        <v>381</v>
      </c>
      <c r="C273" t="s">
        <v>127</v>
      </c>
      <c r="D273" t="s">
        <v>128</v>
      </c>
      <c r="E273" t="s">
        <v>165</v>
      </c>
      <c r="F273" t="s">
        <v>96</v>
      </c>
      <c r="G273" t="s">
        <v>275</v>
      </c>
      <c r="H273" t="s">
        <v>460</v>
      </c>
      <c r="I273">
        <v>1</v>
      </c>
      <c r="J273" t="s">
        <v>24</v>
      </c>
      <c r="K273" t="s">
        <v>461</v>
      </c>
      <c r="L273" t="s">
        <v>278</v>
      </c>
      <c r="M273" t="s">
        <v>27</v>
      </c>
      <c r="N273" t="s">
        <v>108</v>
      </c>
      <c r="O273" t="s">
        <v>166</v>
      </c>
      <c r="P273">
        <v>36.186706540000003</v>
      </c>
      <c r="Q273">
        <v>36.723876949999998</v>
      </c>
    </row>
    <row r="274" spans="2:17">
      <c r="B274" t="s">
        <v>381</v>
      </c>
      <c r="C274" t="s">
        <v>127</v>
      </c>
      <c r="D274" t="s">
        <v>128</v>
      </c>
      <c r="E274" t="s">
        <v>150</v>
      </c>
      <c r="F274" t="s">
        <v>96</v>
      </c>
      <c r="G274" t="s">
        <v>275</v>
      </c>
      <c r="H274" t="s">
        <v>460</v>
      </c>
      <c r="I274">
        <v>1</v>
      </c>
      <c r="J274" t="s">
        <v>24</v>
      </c>
      <c r="K274" t="s">
        <v>461</v>
      </c>
      <c r="L274" t="s">
        <v>278</v>
      </c>
      <c r="M274" t="s">
        <v>27</v>
      </c>
      <c r="N274" t="s">
        <v>108</v>
      </c>
      <c r="O274" t="s">
        <v>151</v>
      </c>
      <c r="P274">
        <v>35.812072749999999</v>
      </c>
      <c r="Q274">
        <v>36.197326660000002</v>
      </c>
    </row>
    <row r="275" spans="2:17">
      <c r="B275" t="s">
        <v>381</v>
      </c>
      <c r="C275" t="s">
        <v>127</v>
      </c>
      <c r="D275" t="s">
        <v>128</v>
      </c>
      <c r="E275" t="s">
        <v>140</v>
      </c>
      <c r="F275" t="s">
        <v>96</v>
      </c>
      <c r="G275" t="s">
        <v>275</v>
      </c>
      <c r="H275" t="s">
        <v>460</v>
      </c>
      <c r="I275">
        <v>1</v>
      </c>
      <c r="J275" t="s">
        <v>24</v>
      </c>
      <c r="K275" t="s">
        <v>461</v>
      </c>
      <c r="L275" t="s">
        <v>278</v>
      </c>
      <c r="M275" t="s">
        <v>27</v>
      </c>
      <c r="N275" t="s">
        <v>108</v>
      </c>
      <c r="O275" t="s">
        <v>141</v>
      </c>
      <c r="P275">
        <v>36.309875490000003</v>
      </c>
      <c r="Q275">
        <v>36.689880369999997</v>
      </c>
    </row>
    <row r="276" spans="2:17" ht="15">
      <c r="B276" t="s">
        <v>381</v>
      </c>
      <c r="C276" t="s">
        <v>127</v>
      </c>
      <c r="D276" t="s">
        <v>128</v>
      </c>
      <c r="E276" t="s">
        <v>210</v>
      </c>
      <c r="F276" t="s">
        <v>96</v>
      </c>
      <c r="G276" t="s">
        <v>470</v>
      </c>
      <c r="H276" t="s">
        <v>198</v>
      </c>
      <c r="I276">
        <v>1</v>
      </c>
      <c r="J276" t="s">
        <v>108</v>
      </c>
      <c r="K276" t="s">
        <v>471</v>
      </c>
      <c r="L276" t="s">
        <v>472</v>
      </c>
      <c r="M276" t="s">
        <v>27</v>
      </c>
      <c r="N276" t="s">
        <v>387</v>
      </c>
      <c r="O276" t="e">
        <f>_xlfn.XLOOKUP(E276,[1]syr_populatedplaces!$L:$L,[1]syr_populatedplaces!$M:$M)</f>
        <v>#N/A</v>
      </c>
      <c r="P276" s="4" t="e">
        <f>_xlfn.XLOOKUP(الجدول1[[#This Row],[القرية– البلدة]],[1]syr_populatedplaces!$L:$L,[1]syr_populatedplaces!$AD:$AD)</f>
        <v>#N/A</v>
      </c>
      <c r="Q276" s="4" t="e">
        <f>_xlfn.XLOOKUP(الجدول1[[#This Row],[القرية– البلدة]],[1]syr_populatedplaces!$L:$L,[1]syr_populatedplaces!$AC:$AC)</f>
        <v>#N/A</v>
      </c>
    </row>
    <row r="277" spans="2:17">
      <c r="B277" t="s">
        <v>381</v>
      </c>
      <c r="C277" t="s">
        <v>127</v>
      </c>
      <c r="D277" t="s">
        <v>128</v>
      </c>
      <c r="E277" t="s">
        <v>129</v>
      </c>
      <c r="F277" t="s">
        <v>96</v>
      </c>
      <c r="G277" t="s">
        <v>275</v>
      </c>
      <c r="H277" t="s">
        <v>460</v>
      </c>
      <c r="I277">
        <v>1</v>
      </c>
      <c r="J277" t="s">
        <v>24</v>
      </c>
      <c r="K277" t="s">
        <v>461</v>
      </c>
      <c r="L277" t="s">
        <v>278</v>
      </c>
      <c r="M277" t="s">
        <v>27</v>
      </c>
      <c r="N277" t="s">
        <v>108</v>
      </c>
      <c r="O277" t="s">
        <v>133</v>
      </c>
      <c r="P277">
        <v>35.814270020000002</v>
      </c>
      <c r="Q277">
        <v>36.314880369999997</v>
      </c>
    </row>
    <row r="278" spans="2:17">
      <c r="B278" t="s">
        <v>381</v>
      </c>
      <c r="C278" t="s">
        <v>127</v>
      </c>
      <c r="D278" t="s">
        <v>128</v>
      </c>
      <c r="E278" t="s">
        <v>462</v>
      </c>
      <c r="F278" t="s">
        <v>96</v>
      </c>
      <c r="G278" t="s">
        <v>275</v>
      </c>
      <c r="H278" t="s">
        <v>460</v>
      </c>
      <c r="I278">
        <v>1</v>
      </c>
      <c r="J278" t="s">
        <v>24</v>
      </c>
      <c r="K278" t="s">
        <v>461</v>
      </c>
      <c r="L278" t="s">
        <v>278</v>
      </c>
      <c r="M278" t="s">
        <v>27</v>
      </c>
      <c r="N278" t="s">
        <v>108</v>
      </c>
      <c r="O278" t="str">
        <f>_xlfn.XLOOKUP(E278,[1]syr_populatedplaces!$L:$L,[1]syr_populatedplaces!$M:$M)</f>
        <v>C3984</v>
      </c>
      <c r="P278">
        <f>_xlfn.XLOOKUP(E278,[1]syr_populatedplaces!$L:$L,[1]syr_populatedplaces!$AD:$AD)</f>
        <v>35.635314940000001</v>
      </c>
      <c r="Q278">
        <f>_xlfn.XLOOKUP(E278,[1]syr_populatedplaces!$L:$L,[1]syr_populatedplaces!$AC:$AC)</f>
        <v>36.633117679999998</v>
      </c>
    </row>
    <row r="279" spans="2:17">
      <c r="B279" t="s">
        <v>381</v>
      </c>
      <c r="C279" t="s">
        <v>127</v>
      </c>
      <c r="D279" t="s">
        <v>128</v>
      </c>
      <c r="E279" t="s">
        <v>463</v>
      </c>
      <c r="F279" t="s">
        <v>96</v>
      </c>
      <c r="G279" t="s">
        <v>275</v>
      </c>
      <c r="H279" t="s">
        <v>460</v>
      </c>
      <c r="I279">
        <v>1</v>
      </c>
      <c r="J279" t="s">
        <v>24</v>
      </c>
      <c r="K279" t="s">
        <v>461</v>
      </c>
      <c r="L279" t="s">
        <v>278</v>
      </c>
      <c r="M279" t="s">
        <v>27</v>
      </c>
      <c r="N279" t="s">
        <v>108</v>
      </c>
      <c r="O279" t="s">
        <v>464</v>
      </c>
      <c r="P279">
        <v>36.005126949999998</v>
      </c>
      <c r="Q279">
        <v>36.487670899999998</v>
      </c>
    </row>
    <row r="280" spans="2:17">
      <c r="B280" t="s">
        <v>381</v>
      </c>
      <c r="C280" t="s">
        <v>127</v>
      </c>
      <c r="D280" t="s">
        <v>128</v>
      </c>
      <c r="E280" t="s">
        <v>434</v>
      </c>
      <c r="F280" t="s">
        <v>96</v>
      </c>
      <c r="G280" t="s">
        <v>275</v>
      </c>
      <c r="H280" t="s">
        <v>460</v>
      </c>
      <c r="I280">
        <v>1</v>
      </c>
      <c r="J280" t="s">
        <v>24</v>
      </c>
      <c r="K280" t="s">
        <v>461</v>
      </c>
      <c r="L280" t="s">
        <v>278</v>
      </c>
      <c r="M280" t="s">
        <v>27</v>
      </c>
      <c r="N280" t="s">
        <v>108</v>
      </c>
      <c r="O280" t="s">
        <v>435</v>
      </c>
      <c r="P280">
        <v>35.917907720000002</v>
      </c>
      <c r="Q280">
        <v>36.44049072</v>
      </c>
    </row>
    <row r="281" spans="2:17">
      <c r="B281" t="s">
        <v>381</v>
      </c>
      <c r="C281" t="s">
        <v>127</v>
      </c>
      <c r="D281" t="s">
        <v>128</v>
      </c>
      <c r="E281" t="s">
        <v>465</v>
      </c>
      <c r="F281" t="s">
        <v>96</v>
      </c>
      <c r="G281" t="s">
        <v>275</v>
      </c>
      <c r="H281" t="s">
        <v>460</v>
      </c>
      <c r="I281">
        <v>1</v>
      </c>
      <c r="J281" t="s">
        <v>24</v>
      </c>
      <c r="K281" t="s">
        <v>461</v>
      </c>
      <c r="L281" t="s">
        <v>278</v>
      </c>
      <c r="M281" t="s">
        <v>27</v>
      </c>
      <c r="N281" t="s">
        <v>108</v>
      </c>
      <c r="O281" t="s">
        <v>466</v>
      </c>
      <c r="P281">
        <v>35.784118650000003</v>
      </c>
      <c r="Q281">
        <v>36.468872070000003</v>
      </c>
    </row>
    <row r="282" spans="2:17">
      <c r="B282" t="s">
        <v>381</v>
      </c>
      <c r="C282" t="s">
        <v>127</v>
      </c>
      <c r="D282" t="s">
        <v>128</v>
      </c>
      <c r="E282" t="s">
        <v>425</v>
      </c>
      <c r="F282" t="s">
        <v>96</v>
      </c>
      <c r="G282" t="s">
        <v>275</v>
      </c>
      <c r="H282" t="s">
        <v>460</v>
      </c>
      <c r="I282">
        <v>1</v>
      </c>
      <c r="J282" t="s">
        <v>24</v>
      </c>
      <c r="K282" t="s">
        <v>461</v>
      </c>
      <c r="L282" t="s">
        <v>278</v>
      </c>
      <c r="M282" t="s">
        <v>27</v>
      </c>
      <c r="N282" t="s">
        <v>108</v>
      </c>
      <c r="O282" t="str">
        <f>_xlfn.XLOOKUP(E282,[1]syr_populatedplaces!$L:$L,[1]syr_populatedplaces!$M:$M)</f>
        <v>C3965</v>
      </c>
      <c r="P282">
        <f>_xlfn.XLOOKUP(E282,[1]syr_populatedplaces!$L:$L,[1]syr_populatedplaces!$AD:$AD)</f>
        <v>35.699890140000001</v>
      </c>
      <c r="Q282">
        <f>_xlfn.XLOOKUP(E282,[1]syr_populatedplaces!$L:$L,[1]syr_populatedplaces!$AC:$AC)</f>
        <v>36.688110350000002</v>
      </c>
    </row>
    <row r="283" spans="2:17">
      <c r="B283" t="s">
        <v>381</v>
      </c>
      <c r="C283" t="s">
        <v>127</v>
      </c>
      <c r="D283" t="s">
        <v>128</v>
      </c>
      <c r="E283" t="s">
        <v>1806</v>
      </c>
      <c r="F283" t="s">
        <v>96</v>
      </c>
      <c r="G283" t="s">
        <v>191</v>
      </c>
      <c r="H283" t="s">
        <v>477</v>
      </c>
      <c r="I283">
        <v>1</v>
      </c>
      <c r="J283" t="s">
        <v>108</v>
      </c>
      <c r="K283" t="s">
        <v>478</v>
      </c>
      <c r="L283" t="s">
        <v>479</v>
      </c>
      <c r="M283" t="s">
        <v>480</v>
      </c>
      <c r="N283" t="s">
        <v>108</v>
      </c>
      <c r="O283" t="str">
        <f>_xlfn.XLOOKUP(E283,[1]syr_populatedplaces!$L:$L,[1]syr_populatedplaces!$M:$M)</f>
        <v>C3871</v>
      </c>
      <c r="P283">
        <f>_xlfn.XLOOKUP(E283,[1]syr_populatedplaces!$L:$L,[1]syr_populatedplaces!$AD:$AD)</f>
        <v>35.929077149999998</v>
      </c>
      <c r="Q283">
        <f>_xlfn.XLOOKUP(E283,[1]syr_populatedplaces!$L:$L,[1]syr_populatedplaces!$AC:$AC)</f>
        <v>36.635314940000001</v>
      </c>
    </row>
    <row r="284" spans="2:17">
      <c r="B284" t="s">
        <v>381</v>
      </c>
      <c r="C284" t="s">
        <v>127</v>
      </c>
      <c r="D284" t="s">
        <v>128</v>
      </c>
      <c r="E284" t="s">
        <v>127</v>
      </c>
      <c r="F284" t="s">
        <v>96</v>
      </c>
      <c r="G284" t="s">
        <v>275</v>
      </c>
      <c r="H284" t="s">
        <v>460</v>
      </c>
      <c r="I284">
        <v>1</v>
      </c>
      <c r="J284" t="s">
        <v>24</v>
      </c>
      <c r="K284" t="s">
        <v>461</v>
      </c>
      <c r="L284" t="s">
        <v>278</v>
      </c>
      <c r="M284" t="s">
        <v>27</v>
      </c>
      <c r="N284" t="s">
        <v>108</v>
      </c>
      <c r="O284" t="s">
        <v>137</v>
      </c>
      <c r="P284">
        <v>35.929077149999998</v>
      </c>
      <c r="Q284">
        <v>36.635314940000001</v>
      </c>
    </row>
    <row r="285" spans="2:17">
      <c r="B285" t="s">
        <v>381</v>
      </c>
      <c r="C285" t="s">
        <v>127</v>
      </c>
      <c r="D285" t="s">
        <v>174</v>
      </c>
      <c r="E285" t="s">
        <v>1710</v>
      </c>
      <c r="F285" t="s">
        <v>96</v>
      </c>
      <c r="G285" t="s">
        <v>481</v>
      </c>
      <c r="H285" t="s">
        <v>482</v>
      </c>
      <c r="I285">
        <v>1</v>
      </c>
      <c r="J285" t="s">
        <v>108</v>
      </c>
      <c r="K285" t="s">
        <v>483</v>
      </c>
      <c r="L285" t="s">
        <v>484</v>
      </c>
      <c r="M285" t="s">
        <v>27</v>
      </c>
      <c r="N285" t="s">
        <v>108</v>
      </c>
      <c r="O285" t="str">
        <f>_xlfn.XLOOKUP(E285,[1]syr_populatedplaces!$L:$L,[1]syr_populatedplaces!$M:$M)</f>
        <v>C3891</v>
      </c>
      <c r="P285">
        <f>_xlfn.XLOOKUP(E285,[1]syr_populatedplaces!$L:$L,[1]syr_populatedplaces!$AD:$AD)</f>
        <v>35.73712158</v>
      </c>
      <c r="Q285">
        <f>_xlfn.XLOOKUP(E285,[1]syr_populatedplaces!$L:$L,[1]syr_populatedplaces!$AC:$AC)</f>
        <v>37.047302250000001</v>
      </c>
    </row>
    <row r="286" spans="2:17" ht="15">
      <c r="B286" t="s">
        <v>614</v>
      </c>
      <c r="C286" t="s">
        <v>127</v>
      </c>
      <c r="D286" t="s">
        <v>128</v>
      </c>
      <c r="E286" t="s">
        <v>691</v>
      </c>
      <c r="F286" t="s">
        <v>346</v>
      </c>
      <c r="G286" t="s">
        <v>347</v>
      </c>
      <c r="H286" t="s">
        <v>124</v>
      </c>
      <c r="I286">
        <v>1</v>
      </c>
      <c r="J286" t="s">
        <v>108</v>
      </c>
      <c r="K286" t="s">
        <v>689</v>
      </c>
      <c r="L286" t="s">
        <v>690</v>
      </c>
      <c r="M286" t="s">
        <v>27</v>
      </c>
      <c r="N286" t="s">
        <v>387</v>
      </c>
      <c r="O286" t="e">
        <f>_xlfn.XLOOKUP(E286,[1]syr_populatedplaces!$L:$L,[1]syr_populatedplaces!$M:$M)</f>
        <v>#N/A</v>
      </c>
      <c r="P286" s="4" t="e">
        <f>_xlfn.XLOOKUP(الجدول1[[#This Row],[القرية– البلدة]],[1]syr_populatedplaces!$L:$L,[1]syr_populatedplaces!$AD:$AD)</f>
        <v>#N/A</v>
      </c>
      <c r="Q286" s="4" t="e">
        <f>_xlfn.XLOOKUP(الجدول1[[#This Row],[القرية– البلدة]],[1]syr_populatedplaces!$L:$L,[1]syr_populatedplaces!$AC:$AC)</f>
        <v>#N/A</v>
      </c>
    </row>
    <row r="287" spans="2:17">
      <c r="B287" t="s">
        <v>614</v>
      </c>
      <c r="C287" t="s">
        <v>127</v>
      </c>
      <c r="D287" t="s">
        <v>128</v>
      </c>
      <c r="E287" t="s">
        <v>162</v>
      </c>
      <c r="F287" t="s">
        <v>346</v>
      </c>
      <c r="G287" t="s">
        <v>347</v>
      </c>
      <c r="H287" t="s">
        <v>124</v>
      </c>
      <c r="I287">
        <v>1</v>
      </c>
      <c r="J287" t="s">
        <v>108</v>
      </c>
      <c r="K287" t="s">
        <v>689</v>
      </c>
      <c r="L287" t="s">
        <v>690</v>
      </c>
      <c r="M287" t="s">
        <v>27</v>
      </c>
      <c r="N287" t="s">
        <v>387</v>
      </c>
      <c r="O287" t="e">
        <f>_xlfn.XLOOKUP(E287,[1]syr_populatedplaces!$L:$L,[1]syr_populatedplaces!$M:$M)</f>
        <v>#N/A</v>
      </c>
      <c r="P287">
        <v>36.620199999999997</v>
      </c>
      <c r="Q287">
        <v>36.083829999999999</v>
      </c>
    </row>
    <row r="288" spans="2:17">
      <c r="B288" t="s">
        <v>614</v>
      </c>
      <c r="C288" t="s">
        <v>127</v>
      </c>
      <c r="D288" t="s">
        <v>128</v>
      </c>
      <c r="E288" t="s">
        <v>163</v>
      </c>
      <c r="F288" t="s">
        <v>346</v>
      </c>
      <c r="G288" t="s">
        <v>347</v>
      </c>
      <c r="H288" t="s">
        <v>124</v>
      </c>
      <c r="I288">
        <v>1</v>
      </c>
      <c r="J288" t="s">
        <v>108</v>
      </c>
      <c r="K288" t="s">
        <v>689</v>
      </c>
      <c r="L288" t="s">
        <v>690</v>
      </c>
      <c r="M288" t="s">
        <v>27</v>
      </c>
      <c r="N288" t="s">
        <v>387</v>
      </c>
      <c r="O288" t="str">
        <f>_xlfn.XLOOKUP(E288,[1]syr_populatedplaces!$L:$L,[1]syr_populatedplaces!$M:$M)</f>
        <v>C4115</v>
      </c>
      <c r="P288">
        <f>_xlfn.XLOOKUP(E288,[1]syr_populatedplaces!$L:$L,[1]syr_populatedplaces!$AD:$AD)</f>
        <v>36.212707520000002</v>
      </c>
      <c r="Q288">
        <f>_xlfn.XLOOKUP(E288,[1]syr_populatedplaces!$L:$L,[1]syr_populatedplaces!$AC:$AC)</f>
        <v>36.520874020000001</v>
      </c>
    </row>
    <row r="289" spans="2:17" ht="15">
      <c r="B289" t="s">
        <v>614</v>
      </c>
      <c r="C289" t="s">
        <v>127</v>
      </c>
      <c r="D289" t="s">
        <v>128</v>
      </c>
      <c r="E289" t="s">
        <v>692</v>
      </c>
      <c r="F289" t="s">
        <v>346</v>
      </c>
      <c r="G289" t="s">
        <v>347</v>
      </c>
      <c r="H289" t="s">
        <v>124</v>
      </c>
      <c r="I289">
        <v>1</v>
      </c>
      <c r="J289" t="s">
        <v>108</v>
      </c>
      <c r="K289" t="s">
        <v>689</v>
      </c>
      <c r="L289" t="s">
        <v>690</v>
      </c>
      <c r="M289" t="s">
        <v>27</v>
      </c>
      <c r="N289" t="s">
        <v>387</v>
      </c>
      <c r="O289" t="e">
        <f>_xlfn.XLOOKUP(E289,[1]syr_populatedplaces!$L:$L,[1]syr_populatedplaces!$M:$M)</f>
        <v>#N/A</v>
      </c>
      <c r="P289" s="4" t="e">
        <f>_xlfn.XLOOKUP(الجدول1[[#This Row],[القرية– البلدة]],[1]syr_populatedplaces!$L:$L,[1]syr_populatedplaces!$AD:$AD)</f>
        <v>#N/A</v>
      </c>
      <c r="Q289" s="4" t="e">
        <f>_xlfn.XLOOKUP(الجدول1[[#This Row],[القرية– البلدة]],[1]syr_populatedplaces!$L:$L,[1]syr_populatedplaces!$AC:$AC)</f>
        <v>#N/A</v>
      </c>
    </row>
    <row r="290" spans="2:17">
      <c r="B290" t="s">
        <v>381</v>
      </c>
      <c r="C290" t="s">
        <v>127</v>
      </c>
      <c r="D290" t="s">
        <v>128</v>
      </c>
      <c r="E290" t="s">
        <v>196</v>
      </c>
      <c r="F290" t="s">
        <v>96</v>
      </c>
      <c r="G290" t="s">
        <v>470</v>
      </c>
      <c r="H290" t="s">
        <v>198</v>
      </c>
      <c r="I290">
        <v>1</v>
      </c>
      <c r="J290" t="s">
        <v>108</v>
      </c>
      <c r="K290" t="s">
        <v>471</v>
      </c>
      <c r="L290" t="s">
        <v>472</v>
      </c>
      <c r="M290" t="s">
        <v>27</v>
      </c>
      <c r="N290" t="s">
        <v>387</v>
      </c>
      <c r="O290" t="str">
        <f>_xlfn.XLOOKUP(E290,[1]syr_populatedplaces!$L:$L,[1]syr_populatedplaces!$M:$M)</f>
        <v>C3191</v>
      </c>
      <c r="P290">
        <f>_xlfn.XLOOKUP(E290,[1]syr_populatedplaces!$L:$L,[1]syr_populatedplaces!$AD:$AD)</f>
        <v>35.517089839999997</v>
      </c>
      <c r="Q290">
        <f>_xlfn.XLOOKUP(E290,[1]syr_populatedplaces!$L:$L,[1]syr_populatedplaces!$AC:$AC)</f>
        <v>36.402526860000002</v>
      </c>
    </row>
    <row r="291" spans="2:17">
      <c r="B291" t="s">
        <v>614</v>
      </c>
      <c r="C291" t="s">
        <v>127</v>
      </c>
      <c r="D291" t="s">
        <v>128</v>
      </c>
      <c r="E291" t="s">
        <v>156</v>
      </c>
      <c r="F291" t="s">
        <v>346</v>
      </c>
      <c r="G291" t="s">
        <v>347</v>
      </c>
      <c r="H291" t="s">
        <v>124</v>
      </c>
      <c r="I291">
        <v>1</v>
      </c>
      <c r="J291" t="s">
        <v>108</v>
      </c>
      <c r="K291" t="s">
        <v>689</v>
      </c>
      <c r="L291" t="s">
        <v>690</v>
      </c>
      <c r="M291" t="s">
        <v>27</v>
      </c>
      <c r="N291" t="s">
        <v>387</v>
      </c>
      <c r="O291" t="str">
        <f>_xlfn.XLOOKUP(E291,[1]syr_populatedplaces!$L:$L,[1]syr_populatedplaces!$M:$M)</f>
        <v>C4123</v>
      </c>
      <c r="P291">
        <f>_xlfn.XLOOKUP(E291,[1]syr_populatedplaces!$L:$L,[1]syr_populatedplaces!$AD:$AD)</f>
        <v>36.308288570000002</v>
      </c>
      <c r="Q291">
        <f>_xlfn.XLOOKUP(E291,[1]syr_populatedplaces!$L:$L,[1]syr_populatedplaces!$AC:$AC)</f>
        <v>36.757324220000001</v>
      </c>
    </row>
    <row r="292" spans="2:17" ht="15">
      <c r="B292" t="s">
        <v>614</v>
      </c>
      <c r="C292" t="s">
        <v>127</v>
      </c>
      <c r="D292" t="s">
        <v>128</v>
      </c>
      <c r="E292" t="s">
        <v>694</v>
      </c>
      <c r="F292" t="s">
        <v>346</v>
      </c>
      <c r="G292" t="s">
        <v>347</v>
      </c>
      <c r="H292" t="s">
        <v>124</v>
      </c>
      <c r="I292">
        <v>1</v>
      </c>
      <c r="J292" t="s">
        <v>108</v>
      </c>
      <c r="K292" t="s">
        <v>689</v>
      </c>
      <c r="L292" t="s">
        <v>690</v>
      </c>
      <c r="M292" t="s">
        <v>27</v>
      </c>
      <c r="N292" t="s">
        <v>387</v>
      </c>
      <c r="O292" t="e">
        <f>_xlfn.XLOOKUP(E292,[1]syr_populatedplaces!$L:$L,[1]syr_populatedplaces!$M:$M)</f>
        <v>#N/A</v>
      </c>
      <c r="P292" s="4" t="e">
        <f>_xlfn.XLOOKUP(الجدول1[[#This Row],[القرية– البلدة]],[1]syr_populatedplaces!$L:$L,[1]syr_populatedplaces!$AD:$AD)</f>
        <v>#N/A</v>
      </c>
      <c r="Q292" s="4" t="e">
        <f>_xlfn.XLOOKUP(الجدول1[[#This Row],[القرية– البلدة]],[1]syr_populatedplaces!$L:$L,[1]syr_populatedplaces!$AC:$AC)</f>
        <v>#N/A</v>
      </c>
    </row>
    <row r="293" spans="2:17">
      <c r="B293" t="s">
        <v>614</v>
      </c>
      <c r="C293" t="s">
        <v>127</v>
      </c>
      <c r="D293" t="s">
        <v>128</v>
      </c>
      <c r="E293" t="s">
        <v>1792</v>
      </c>
      <c r="F293" t="s">
        <v>346</v>
      </c>
      <c r="G293" t="s">
        <v>347</v>
      </c>
      <c r="H293" t="s">
        <v>124</v>
      </c>
      <c r="I293">
        <v>1</v>
      </c>
      <c r="J293" t="s">
        <v>108</v>
      </c>
      <c r="K293" t="s">
        <v>689</v>
      </c>
      <c r="L293" t="s">
        <v>690</v>
      </c>
      <c r="M293" t="s">
        <v>27</v>
      </c>
      <c r="N293" t="s">
        <v>387</v>
      </c>
      <c r="O293" t="str">
        <f>_xlfn.XLOOKUP(E293,[1]syr_populatedplaces!$L:$L,[1]syr_populatedplaces!$M:$M)</f>
        <v>C4295</v>
      </c>
      <c r="P293">
        <f>_xlfn.XLOOKUP(E293,[1]syr_populatedplaces!$L:$L,[1]syr_populatedplaces!$AD:$AD)</f>
        <v>35.721130369999997</v>
      </c>
      <c r="Q293">
        <f>_xlfn.XLOOKUP(E293,[1]syr_populatedplaces!$L:$L,[1]syr_populatedplaces!$AC:$AC)</f>
        <v>36.556518560000001</v>
      </c>
    </row>
    <row r="294" spans="2:17">
      <c r="B294" t="s">
        <v>381</v>
      </c>
      <c r="C294" t="s">
        <v>127</v>
      </c>
      <c r="D294" t="s">
        <v>128</v>
      </c>
      <c r="E294" t="s">
        <v>179</v>
      </c>
      <c r="F294" t="s">
        <v>96</v>
      </c>
      <c r="G294" t="s">
        <v>470</v>
      </c>
      <c r="H294" t="s">
        <v>198</v>
      </c>
      <c r="I294">
        <v>1</v>
      </c>
      <c r="J294" t="s">
        <v>108</v>
      </c>
      <c r="K294" t="s">
        <v>471</v>
      </c>
      <c r="L294" t="s">
        <v>472</v>
      </c>
      <c r="M294" t="s">
        <v>27</v>
      </c>
      <c r="N294" t="s">
        <v>387</v>
      </c>
      <c r="O294" t="s">
        <v>180</v>
      </c>
      <c r="P294">
        <v>35.46691895</v>
      </c>
      <c r="Q294">
        <v>36.49450684</v>
      </c>
    </row>
    <row r="295" spans="2:17">
      <c r="B295" t="s">
        <v>381</v>
      </c>
      <c r="C295" t="s">
        <v>127</v>
      </c>
      <c r="D295" t="s">
        <v>128</v>
      </c>
      <c r="E295" t="s">
        <v>203</v>
      </c>
      <c r="F295" t="s">
        <v>96</v>
      </c>
      <c r="G295" t="s">
        <v>470</v>
      </c>
      <c r="H295" t="s">
        <v>198</v>
      </c>
      <c r="I295">
        <v>1</v>
      </c>
      <c r="J295" t="s">
        <v>108</v>
      </c>
      <c r="K295" t="s">
        <v>471</v>
      </c>
      <c r="L295" t="s">
        <v>472</v>
      </c>
      <c r="M295" t="s">
        <v>27</v>
      </c>
      <c r="N295" t="s">
        <v>387</v>
      </c>
      <c r="O295" t="s">
        <v>204</v>
      </c>
      <c r="P295">
        <v>36.606689449999998</v>
      </c>
      <c r="Q295">
        <v>40.384094240000003</v>
      </c>
    </row>
    <row r="296" spans="2:17">
      <c r="B296" t="s">
        <v>614</v>
      </c>
      <c r="C296" t="s">
        <v>127</v>
      </c>
      <c r="D296" t="s">
        <v>128</v>
      </c>
      <c r="E296" t="s">
        <v>163</v>
      </c>
      <c r="F296" t="s">
        <v>346</v>
      </c>
      <c r="G296" t="s">
        <v>347</v>
      </c>
      <c r="H296" t="s">
        <v>124</v>
      </c>
      <c r="I296">
        <v>1</v>
      </c>
      <c r="J296" t="s">
        <v>108</v>
      </c>
      <c r="K296" t="s">
        <v>689</v>
      </c>
      <c r="L296" t="s">
        <v>690</v>
      </c>
      <c r="M296" t="s">
        <v>27</v>
      </c>
      <c r="N296" t="s">
        <v>387</v>
      </c>
      <c r="O296" t="str">
        <f>_xlfn.XLOOKUP(E296,[1]syr_populatedplaces!$L:$L,[1]syr_populatedplaces!$M:$M)</f>
        <v>C4115</v>
      </c>
      <c r="P296">
        <f>_xlfn.XLOOKUP(E296,[1]syr_populatedplaces!$L:$L,[1]syr_populatedplaces!$AD:$AD)</f>
        <v>36.212707520000002</v>
      </c>
      <c r="Q296">
        <f>_xlfn.XLOOKUP(E296,[1]syr_populatedplaces!$L:$L,[1]syr_populatedplaces!$AC:$AC)</f>
        <v>36.520874020000001</v>
      </c>
    </row>
    <row r="297" spans="2:17">
      <c r="B297" t="s">
        <v>381</v>
      </c>
      <c r="C297" t="s">
        <v>127</v>
      </c>
      <c r="D297" t="s">
        <v>128</v>
      </c>
      <c r="E297" t="s">
        <v>205</v>
      </c>
      <c r="F297" t="s">
        <v>96</v>
      </c>
      <c r="G297" t="s">
        <v>470</v>
      </c>
      <c r="H297" t="s">
        <v>198</v>
      </c>
      <c r="I297">
        <v>1</v>
      </c>
      <c r="J297" t="s">
        <v>108</v>
      </c>
      <c r="K297" t="s">
        <v>471</v>
      </c>
      <c r="L297" t="s">
        <v>472</v>
      </c>
      <c r="M297" t="s">
        <v>27</v>
      </c>
      <c r="N297" t="s">
        <v>387</v>
      </c>
      <c r="O297" t="s">
        <v>206</v>
      </c>
      <c r="P297">
        <v>35.530700680000002</v>
      </c>
      <c r="Q297">
        <v>36.775329589999998</v>
      </c>
    </row>
    <row r="298" spans="2:17">
      <c r="B298" t="s">
        <v>614</v>
      </c>
      <c r="C298" t="s">
        <v>127</v>
      </c>
      <c r="D298" t="s">
        <v>128</v>
      </c>
      <c r="E298" t="s">
        <v>1793</v>
      </c>
      <c r="F298" t="s">
        <v>346</v>
      </c>
      <c r="G298" t="s">
        <v>347</v>
      </c>
      <c r="H298" t="s">
        <v>124</v>
      </c>
      <c r="I298">
        <v>1</v>
      </c>
      <c r="J298" t="s">
        <v>108</v>
      </c>
      <c r="K298" t="s">
        <v>689</v>
      </c>
      <c r="L298" t="s">
        <v>690</v>
      </c>
      <c r="M298" t="s">
        <v>27</v>
      </c>
      <c r="N298" t="s">
        <v>387</v>
      </c>
      <c r="O298" t="str">
        <f>_xlfn.XLOOKUP(E298,[1]syr_populatedplaces!$L:$L,[1]syr_populatedplaces!$M:$M)</f>
        <v>C4162</v>
      </c>
      <c r="P298">
        <f>_xlfn.XLOOKUP(E298,[1]syr_populatedplaces!$L:$L,[1]syr_populatedplaces!$AD:$AD)</f>
        <v>36.201110839999998</v>
      </c>
      <c r="Q298">
        <f>_xlfn.XLOOKUP(E298,[1]syr_populatedplaces!$L:$L,[1]syr_populatedplaces!$AC:$AC)</f>
        <v>36.561279300000002</v>
      </c>
    </row>
    <row r="299" spans="2:17">
      <c r="B299" t="s">
        <v>614</v>
      </c>
      <c r="C299" t="s">
        <v>127</v>
      </c>
      <c r="D299" t="s">
        <v>128</v>
      </c>
      <c r="E299" t="s">
        <v>162</v>
      </c>
      <c r="F299" t="s">
        <v>346</v>
      </c>
      <c r="G299" t="s">
        <v>347</v>
      </c>
      <c r="H299" t="s">
        <v>124</v>
      </c>
      <c r="I299">
        <v>1</v>
      </c>
      <c r="J299" t="s">
        <v>108</v>
      </c>
      <c r="K299" t="s">
        <v>689</v>
      </c>
      <c r="L299" t="s">
        <v>690</v>
      </c>
      <c r="M299" t="s">
        <v>27</v>
      </c>
      <c r="N299" t="s">
        <v>387</v>
      </c>
      <c r="O299" t="e">
        <f>_xlfn.XLOOKUP(E299,[1]syr_populatedplaces!$L:$L,[1]syr_populatedplaces!$M:$M)</f>
        <v>#N/A</v>
      </c>
      <c r="P299">
        <v>36.620199999999997</v>
      </c>
      <c r="Q299">
        <v>36.083829999999999</v>
      </c>
    </row>
    <row r="300" spans="2:17">
      <c r="B300" t="s">
        <v>381</v>
      </c>
      <c r="C300" t="s">
        <v>127</v>
      </c>
      <c r="D300" t="s">
        <v>128</v>
      </c>
      <c r="E300" t="s">
        <v>209</v>
      </c>
      <c r="F300" t="s">
        <v>96</v>
      </c>
      <c r="G300" t="s">
        <v>470</v>
      </c>
      <c r="H300" t="s">
        <v>198</v>
      </c>
      <c r="I300">
        <v>1</v>
      </c>
      <c r="J300" t="s">
        <v>108</v>
      </c>
      <c r="K300" t="s">
        <v>471</v>
      </c>
      <c r="L300" t="s">
        <v>472</v>
      </c>
      <c r="M300" t="s">
        <v>27</v>
      </c>
      <c r="N300" t="s">
        <v>387</v>
      </c>
      <c r="O300" t="str">
        <f>_xlfn.XLOOKUP(E300,[1]syr_populatedplaces!$L:$L,[1]syr_populatedplaces!$M:$M)</f>
        <v>C4614</v>
      </c>
      <c r="P300">
        <f>_xlfn.XLOOKUP(E300,[1]syr_populatedplaces!$L:$L,[1]syr_populatedplaces!$AD:$AD)</f>
        <v>36.649108890000001</v>
      </c>
      <c r="Q300">
        <f>_xlfn.XLOOKUP(E300,[1]syr_populatedplaces!$L:$L,[1]syr_populatedplaces!$AC:$AC)</f>
        <v>41.417907720000002</v>
      </c>
    </row>
    <row r="301" spans="2:17" ht="15">
      <c r="B301" t="s">
        <v>614</v>
      </c>
      <c r="C301" t="s">
        <v>127</v>
      </c>
      <c r="D301" t="s">
        <v>128</v>
      </c>
      <c r="E301" t="s">
        <v>695</v>
      </c>
      <c r="F301" t="s">
        <v>346</v>
      </c>
      <c r="G301" t="s">
        <v>347</v>
      </c>
      <c r="H301" t="s">
        <v>124</v>
      </c>
      <c r="I301">
        <v>1</v>
      </c>
      <c r="J301" t="s">
        <v>108</v>
      </c>
      <c r="K301" t="s">
        <v>689</v>
      </c>
      <c r="L301" t="s">
        <v>690</v>
      </c>
      <c r="M301" t="s">
        <v>27</v>
      </c>
      <c r="N301" t="s">
        <v>387</v>
      </c>
      <c r="O301" t="e">
        <f>_xlfn.XLOOKUP(E301,[1]syr_populatedplaces!$L:$L,[1]syr_populatedplaces!$M:$M)</f>
        <v>#N/A</v>
      </c>
      <c r="P301" s="4" t="e">
        <f>_xlfn.XLOOKUP(الجدول1[[#This Row],[القرية– البلدة]],[1]syr_populatedplaces!$L:$L,[1]syr_populatedplaces!$AD:$AD)</f>
        <v>#N/A</v>
      </c>
      <c r="Q301" s="4" t="e">
        <f>_xlfn.XLOOKUP(الجدول1[[#This Row],[القرية– البلدة]],[1]syr_populatedplaces!$L:$L,[1]syr_populatedplaces!$AC:$AC)</f>
        <v>#N/A</v>
      </c>
    </row>
    <row r="302" spans="2:17">
      <c r="B302" t="s">
        <v>381</v>
      </c>
      <c r="C302" t="s">
        <v>127</v>
      </c>
      <c r="D302" t="s">
        <v>128</v>
      </c>
      <c r="E302" t="s">
        <v>183</v>
      </c>
      <c r="F302" t="s">
        <v>96</v>
      </c>
      <c r="G302" t="s">
        <v>470</v>
      </c>
      <c r="H302" t="s">
        <v>198</v>
      </c>
      <c r="I302">
        <v>1</v>
      </c>
      <c r="J302" t="s">
        <v>108</v>
      </c>
      <c r="K302" t="s">
        <v>471</v>
      </c>
      <c r="L302" t="s">
        <v>472</v>
      </c>
      <c r="M302" t="s">
        <v>27</v>
      </c>
      <c r="N302" t="s">
        <v>387</v>
      </c>
      <c r="O302" t="s">
        <v>184</v>
      </c>
      <c r="P302">
        <v>35.903076169999999</v>
      </c>
      <c r="Q302">
        <v>36.191101070000002</v>
      </c>
    </row>
    <row r="303" spans="2:17">
      <c r="B303" t="s">
        <v>381</v>
      </c>
      <c r="C303" t="s">
        <v>127</v>
      </c>
      <c r="D303" t="s">
        <v>129</v>
      </c>
      <c r="E303" t="s">
        <v>129</v>
      </c>
      <c r="F303" t="s">
        <v>96</v>
      </c>
      <c r="G303" t="s">
        <v>473</v>
      </c>
      <c r="H303" t="s">
        <v>474</v>
      </c>
      <c r="I303">
        <v>1</v>
      </c>
      <c r="J303" t="s">
        <v>108</v>
      </c>
      <c r="K303" t="s">
        <v>475</v>
      </c>
      <c r="L303" t="s">
        <v>476</v>
      </c>
      <c r="M303" t="s">
        <v>27</v>
      </c>
      <c r="N303" t="s">
        <v>99</v>
      </c>
      <c r="O303" t="s">
        <v>133</v>
      </c>
      <c r="P303">
        <v>35.814270020000002</v>
      </c>
      <c r="Q303">
        <v>36.314880369999997</v>
      </c>
    </row>
    <row r="304" spans="2:17">
      <c r="B304" t="s">
        <v>614</v>
      </c>
      <c r="C304" t="s">
        <v>127</v>
      </c>
      <c r="D304" t="s">
        <v>128</v>
      </c>
      <c r="E304" t="s">
        <v>1803</v>
      </c>
      <c r="F304" t="s">
        <v>346</v>
      </c>
      <c r="G304" t="s">
        <v>347</v>
      </c>
      <c r="H304" t="s">
        <v>124</v>
      </c>
      <c r="I304">
        <v>1</v>
      </c>
      <c r="J304" t="s">
        <v>108</v>
      </c>
      <c r="K304" t="s">
        <v>689</v>
      </c>
      <c r="L304" t="s">
        <v>690</v>
      </c>
      <c r="M304" t="s">
        <v>27</v>
      </c>
      <c r="N304" t="s">
        <v>387</v>
      </c>
      <c r="O304" t="str">
        <f>_xlfn.XLOOKUP(E304,[1]syr_populatedplaces!$L:$L,[1]syr_populatedplaces!$M:$M)</f>
        <v>C4247</v>
      </c>
      <c r="P304">
        <f>_xlfn.XLOOKUP(E304,[1]syr_populatedplaces!$L:$L,[1]syr_populatedplaces!$AD:$AD)</f>
        <v>35.968872070000003</v>
      </c>
      <c r="Q304">
        <f>_xlfn.XLOOKUP(E304,[1]syr_populatedplaces!$L:$L,[1]syr_populatedplaces!$AC:$AC)</f>
        <v>36.429321289999997</v>
      </c>
    </row>
    <row r="305" spans="2:17">
      <c r="B305" t="s">
        <v>614</v>
      </c>
      <c r="C305" t="s">
        <v>127</v>
      </c>
      <c r="D305" t="s">
        <v>128</v>
      </c>
      <c r="E305" t="s">
        <v>1794</v>
      </c>
      <c r="F305" t="s">
        <v>346</v>
      </c>
      <c r="G305" t="s">
        <v>347</v>
      </c>
      <c r="H305" t="s">
        <v>124</v>
      </c>
      <c r="I305">
        <v>1</v>
      </c>
      <c r="J305" t="s">
        <v>108</v>
      </c>
      <c r="K305" t="s">
        <v>689</v>
      </c>
      <c r="L305" t="s">
        <v>690</v>
      </c>
      <c r="M305" t="s">
        <v>27</v>
      </c>
      <c r="N305" t="s">
        <v>387</v>
      </c>
      <c r="O305" t="str">
        <f>_xlfn.XLOOKUP(E305,[1]syr_populatedplaces!$L:$L,[1]syr_populatedplaces!$M:$M)</f>
        <v>C8092</v>
      </c>
      <c r="P305">
        <f>_xlfn.XLOOKUP(E305,[1]syr_populatedplaces!$L:$L,[1]syr_populatedplaces!$AD:$AD)</f>
        <v>36.255676270000002</v>
      </c>
      <c r="Q305">
        <f>_xlfn.XLOOKUP(E305,[1]syr_populatedplaces!$L:$L,[1]syr_populatedplaces!$AC:$AC)</f>
        <v>36.713500979999999</v>
      </c>
    </row>
    <row r="306" spans="2:17">
      <c r="B306" t="s">
        <v>614</v>
      </c>
      <c r="C306" t="s">
        <v>127</v>
      </c>
      <c r="D306" t="s">
        <v>128</v>
      </c>
      <c r="E306" t="s">
        <v>1795</v>
      </c>
      <c r="F306" t="s">
        <v>346</v>
      </c>
      <c r="G306" t="s">
        <v>347</v>
      </c>
      <c r="H306" t="s">
        <v>124</v>
      </c>
      <c r="I306">
        <v>1</v>
      </c>
      <c r="J306" t="s">
        <v>108</v>
      </c>
      <c r="K306" t="s">
        <v>689</v>
      </c>
      <c r="L306" t="s">
        <v>690</v>
      </c>
      <c r="M306" t="s">
        <v>27</v>
      </c>
      <c r="N306" t="s">
        <v>387</v>
      </c>
      <c r="O306" t="str">
        <f>_xlfn.XLOOKUP(E306,[1]syr_populatedplaces!$L:$L,[1]syr_populatedplaces!$M:$M)</f>
        <v>C4283</v>
      </c>
      <c r="P306">
        <f>_xlfn.XLOOKUP(E306,[1]syr_populatedplaces!$L:$L,[1]syr_populatedplaces!$AD:$AD)</f>
        <v>35.798522949999999</v>
      </c>
      <c r="Q306">
        <f>_xlfn.XLOOKUP(E306,[1]syr_populatedplaces!$L:$L,[1]syr_populatedplaces!$AC:$AC)</f>
        <v>36.626281740000003</v>
      </c>
    </row>
    <row r="307" spans="2:17">
      <c r="B307" t="s">
        <v>614</v>
      </c>
      <c r="C307" t="s">
        <v>127</v>
      </c>
      <c r="D307" t="s">
        <v>128</v>
      </c>
      <c r="E307" t="s">
        <v>1796</v>
      </c>
      <c r="F307" t="s">
        <v>346</v>
      </c>
      <c r="G307" t="s">
        <v>347</v>
      </c>
      <c r="H307" t="s">
        <v>124</v>
      </c>
      <c r="I307">
        <v>1</v>
      </c>
      <c r="J307" t="s">
        <v>108</v>
      </c>
      <c r="K307" t="s">
        <v>689</v>
      </c>
      <c r="L307" t="s">
        <v>690</v>
      </c>
      <c r="M307" t="s">
        <v>27</v>
      </c>
      <c r="N307" t="s">
        <v>387</v>
      </c>
      <c r="O307" t="str">
        <f>_xlfn.XLOOKUP(E307,[1]syr_populatedplaces!$L:$L,[1]syr_populatedplaces!$M:$M)</f>
        <v>C4263</v>
      </c>
      <c r="P307">
        <f>_xlfn.XLOOKUP(E307,[1]syr_populatedplaces!$L:$L,[1]syr_populatedplaces!$AD:$AD)</f>
        <v>35.941711429999998</v>
      </c>
      <c r="Q307">
        <f>_xlfn.XLOOKUP(E307,[1]syr_populatedplaces!$L:$L,[1]syr_populatedplaces!$AC:$AC)</f>
        <v>36.234497070000003</v>
      </c>
    </row>
    <row r="308" spans="2:17" ht="15">
      <c r="B308" t="s">
        <v>614</v>
      </c>
      <c r="C308" t="s">
        <v>127</v>
      </c>
      <c r="D308" t="s">
        <v>128</v>
      </c>
      <c r="E308" t="s">
        <v>699</v>
      </c>
      <c r="F308" t="s">
        <v>346</v>
      </c>
      <c r="G308" t="s">
        <v>347</v>
      </c>
      <c r="H308" t="s">
        <v>124</v>
      </c>
      <c r="I308">
        <v>1</v>
      </c>
      <c r="J308" t="s">
        <v>108</v>
      </c>
      <c r="K308" t="s">
        <v>689</v>
      </c>
      <c r="L308" t="s">
        <v>690</v>
      </c>
      <c r="M308" t="s">
        <v>27</v>
      </c>
      <c r="N308" t="s">
        <v>387</v>
      </c>
      <c r="O308" t="e">
        <f>_xlfn.XLOOKUP(E308,[1]syr_populatedplaces!$L:$L,[1]syr_populatedplaces!$M:$M)</f>
        <v>#N/A</v>
      </c>
      <c r="P308" s="4" t="e">
        <f>_xlfn.XLOOKUP(الجدول1[[#This Row],[القرية– البلدة]],[1]syr_populatedplaces!$L:$L,[1]syr_populatedplaces!$AD:$AD)</f>
        <v>#N/A</v>
      </c>
      <c r="Q308" s="4" t="e">
        <f>_xlfn.XLOOKUP(الجدول1[[#This Row],[القرية– البلدة]],[1]syr_populatedplaces!$L:$L,[1]syr_populatedplaces!$AC:$AC)</f>
        <v>#N/A</v>
      </c>
    </row>
    <row r="309" spans="2:17" ht="15">
      <c r="B309" t="s">
        <v>614</v>
      </c>
      <c r="C309" t="s">
        <v>127</v>
      </c>
      <c r="D309" t="s">
        <v>128</v>
      </c>
      <c r="E309" t="s">
        <v>59</v>
      </c>
      <c r="F309" t="s">
        <v>346</v>
      </c>
      <c r="G309" t="s">
        <v>347</v>
      </c>
      <c r="H309" t="s">
        <v>124</v>
      </c>
      <c r="I309">
        <v>1</v>
      </c>
      <c r="J309" t="s">
        <v>108</v>
      </c>
      <c r="K309" t="s">
        <v>689</v>
      </c>
      <c r="L309" t="s">
        <v>690</v>
      </c>
      <c r="M309" t="s">
        <v>27</v>
      </c>
      <c r="N309" t="s">
        <v>387</v>
      </c>
      <c r="O309" t="e">
        <f>_xlfn.XLOOKUP(E309,[1]syr_populatedplaces!$L:$L,[1]syr_populatedplaces!$M:$M)</f>
        <v>#N/A</v>
      </c>
      <c r="P309" s="4" t="e">
        <f>_xlfn.XLOOKUP(الجدول1[[#This Row],[القرية– البلدة]],[1]syr_populatedplaces!$L:$L,[1]syr_populatedplaces!$AD:$AD)</f>
        <v>#N/A</v>
      </c>
      <c r="Q309" s="4" t="e">
        <f>_xlfn.XLOOKUP(الجدول1[[#This Row],[القرية– البلدة]],[1]syr_populatedplaces!$L:$L,[1]syr_populatedplaces!$AC:$AC)</f>
        <v>#N/A</v>
      </c>
    </row>
    <row r="310" spans="2:17" ht="15">
      <c r="B310" t="s">
        <v>614</v>
      </c>
      <c r="C310" t="s">
        <v>127</v>
      </c>
      <c r="D310" t="s">
        <v>128</v>
      </c>
      <c r="E310" t="s">
        <v>706</v>
      </c>
      <c r="F310" t="s">
        <v>346</v>
      </c>
      <c r="G310" t="s">
        <v>702</v>
      </c>
      <c r="H310" t="s">
        <v>260</v>
      </c>
      <c r="I310">
        <v>1</v>
      </c>
      <c r="J310" t="s">
        <v>108</v>
      </c>
      <c r="K310" t="s">
        <v>703</v>
      </c>
      <c r="L310" t="s">
        <v>704</v>
      </c>
      <c r="M310" t="s">
        <v>27</v>
      </c>
      <c r="N310" t="s">
        <v>387</v>
      </c>
      <c r="O310" t="e">
        <f>_xlfn.XLOOKUP(E310,[1]syr_populatedplaces!$L:$L,[1]syr_populatedplaces!$M:$M)</f>
        <v>#N/A</v>
      </c>
      <c r="P310" s="4" t="e">
        <f>_xlfn.XLOOKUP(الجدول1[[#This Row],[القرية– البلدة]],[1]syr_populatedplaces!$L:$L,[1]syr_populatedplaces!$AD:$AD)</f>
        <v>#N/A</v>
      </c>
      <c r="Q310" s="4" t="e">
        <f>_xlfn.XLOOKUP(الجدول1[[#This Row],[القرية– البلدة]],[1]syr_populatedplaces!$L:$L,[1]syr_populatedplaces!$AC:$AC)</f>
        <v>#N/A</v>
      </c>
    </row>
    <row r="311" spans="2:17">
      <c r="B311" t="s">
        <v>614</v>
      </c>
      <c r="C311" t="s">
        <v>127</v>
      </c>
      <c r="D311" t="s">
        <v>128</v>
      </c>
      <c r="E311" t="s">
        <v>439</v>
      </c>
      <c r="F311" t="s">
        <v>346</v>
      </c>
      <c r="G311" t="s">
        <v>123</v>
      </c>
      <c r="H311" t="s">
        <v>124</v>
      </c>
      <c r="I311">
        <v>15</v>
      </c>
      <c r="J311" t="s">
        <v>108</v>
      </c>
      <c r="K311" t="s">
        <v>707</v>
      </c>
      <c r="L311" t="s">
        <v>708</v>
      </c>
      <c r="M311" t="s">
        <v>27</v>
      </c>
      <c r="N311" t="s">
        <v>108</v>
      </c>
      <c r="O311" t="str">
        <f>_xlfn.XLOOKUP(E311,[1]syr_populatedplaces!$L:$L,[1]syr_populatedplaces!$M:$M)</f>
        <v>C4278</v>
      </c>
      <c r="P311">
        <f>_xlfn.XLOOKUP(E311,[1]syr_populatedplaces!$L:$L,[1]syr_populatedplaces!$AD:$AD)</f>
        <v>35.81408691</v>
      </c>
      <c r="Q311">
        <f>_xlfn.XLOOKUP(E311,[1]syr_populatedplaces!$L:$L,[1]syr_populatedplaces!$AC:$AC)</f>
        <v>36.61029053</v>
      </c>
    </row>
    <row r="312" spans="2:17" ht="15">
      <c r="B312" t="s">
        <v>614</v>
      </c>
      <c r="C312" t="s">
        <v>127</v>
      </c>
      <c r="D312" t="s">
        <v>128</v>
      </c>
      <c r="E312" t="s">
        <v>711</v>
      </c>
      <c r="F312" t="s">
        <v>346</v>
      </c>
      <c r="G312" t="s">
        <v>123</v>
      </c>
      <c r="H312" t="s">
        <v>124</v>
      </c>
      <c r="I312">
        <v>15</v>
      </c>
      <c r="J312" t="s">
        <v>108</v>
      </c>
      <c r="K312" t="s">
        <v>707</v>
      </c>
      <c r="L312" t="s">
        <v>708</v>
      </c>
      <c r="M312" t="s">
        <v>27</v>
      </c>
      <c r="N312" t="s">
        <v>108</v>
      </c>
      <c r="O312" t="e">
        <f>_xlfn.XLOOKUP(E312,[1]syr_populatedplaces!$L:$L,[1]syr_populatedplaces!$M:$M)</f>
        <v>#N/A</v>
      </c>
      <c r="P312" s="4" t="e">
        <f>_xlfn.XLOOKUP(الجدول1[[#This Row],[القرية– البلدة]],[1]syr_populatedplaces!$L:$L,[1]syr_populatedplaces!$AD:$AD)</f>
        <v>#N/A</v>
      </c>
      <c r="Q312" s="4" t="e">
        <f>_xlfn.XLOOKUP(الجدول1[[#This Row],[القرية– البلدة]],[1]syr_populatedplaces!$L:$L,[1]syr_populatedplaces!$AC:$AC)</f>
        <v>#N/A</v>
      </c>
    </row>
    <row r="313" spans="2:17">
      <c r="B313" t="s">
        <v>614</v>
      </c>
      <c r="C313" t="s">
        <v>127</v>
      </c>
      <c r="D313" t="s">
        <v>128</v>
      </c>
      <c r="E313" t="s">
        <v>1797</v>
      </c>
      <c r="F313" t="s">
        <v>346</v>
      </c>
      <c r="G313" t="s">
        <v>123</v>
      </c>
      <c r="H313" t="s">
        <v>124</v>
      </c>
      <c r="I313">
        <v>15</v>
      </c>
      <c r="J313" t="s">
        <v>108</v>
      </c>
      <c r="K313" t="s">
        <v>707</v>
      </c>
      <c r="L313" t="s">
        <v>708</v>
      </c>
      <c r="M313" t="s">
        <v>27</v>
      </c>
      <c r="N313" t="s">
        <v>108</v>
      </c>
      <c r="O313" t="str">
        <f>_xlfn.XLOOKUP(E313,[1]syr_populatedplaces!$L:$L,[1]syr_populatedplaces!$M:$M)</f>
        <v>C3947</v>
      </c>
      <c r="P313">
        <f>_xlfn.XLOOKUP(E313,[1]syr_populatedplaces!$L:$L,[1]syr_populatedplaces!$AD:$AD)</f>
        <v>36.013916020000003</v>
      </c>
      <c r="Q313">
        <f>_xlfn.XLOOKUP(E313,[1]syr_populatedplaces!$L:$L,[1]syr_populatedplaces!$AC:$AC)</f>
        <v>36.672729490000002</v>
      </c>
    </row>
    <row r="314" spans="2:17">
      <c r="B314" t="s">
        <v>614</v>
      </c>
      <c r="C314" t="s">
        <v>127</v>
      </c>
      <c r="D314" t="s">
        <v>128</v>
      </c>
      <c r="E314" t="s">
        <v>1798</v>
      </c>
      <c r="F314" t="s">
        <v>346</v>
      </c>
      <c r="G314" t="s">
        <v>712</v>
      </c>
      <c r="H314" t="s">
        <v>124</v>
      </c>
      <c r="I314">
        <v>28</v>
      </c>
      <c r="J314" t="s">
        <v>108</v>
      </c>
      <c r="K314" t="s">
        <v>713</v>
      </c>
      <c r="L314" t="s">
        <v>714</v>
      </c>
      <c r="M314" t="s">
        <v>27</v>
      </c>
      <c r="N314" t="s">
        <v>387</v>
      </c>
      <c r="O314" t="str">
        <f>_xlfn.XLOOKUP(E314,[1]syr_populatedplaces!$L:$L,[1]syr_populatedplaces!$M:$M)</f>
        <v>C6693</v>
      </c>
      <c r="P314">
        <f>_xlfn.XLOOKUP(E314,[1]syr_populatedplaces!$L:$L,[1]syr_populatedplaces!$AD:$AD)</f>
        <v>36.213317869999997</v>
      </c>
      <c r="Q314">
        <f>_xlfn.XLOOKUP(E314,[1]syr_populatedplaces!$L:$L,[1]syr_populatedplaces!$AC:$AC)</f>
        <v>36.731872559999999</v>
      </c>
    </row>
    <row r="315" spans="2:17">
      <c r="B315" t="s">
        <v>614</v>
      </c>
      <c r="C315" t="s">
        <v>127</v>
      </c>
      <c r="D315" t="s">
        <v>128</v>
      </c>
      <c r="E315" t="s">
        <v>1799</v>
      </c>
      <c r="F315" t="s">
        <v>346</v>
      </c>
      <c r="G315" t="s">
        <v>712</v>
      </c>
      <c r="H315" t="s">
        <v>124</v>
      </c>
      <c r="I315">
        <v>28</v>
      </c>
      <c r="J315" t="s">
        <v>108</v>
      </c>
      <c r="K315" t="s">
        <v>713</v>
      </c>
      <c r="L315" t="s">
        <v>714</v>
      </c>
      <c r="M315" t="s">
        <v>27</v>
      </c>
      <c r="N315" t="s">
        <v>387</v>
      </c>
      <c r="O315" t="str">
        <f>_xlfn.XLOOKUP(E315,[1]syr_populatedplaces!$L:$L,[1]syr_populatedplaces!$M:$M)</f>
        <v>C4132</v>
      </c>
      <c r="P315">
        <f>_xlfn.XLOOKUP(E315,[1]syr_populatedplaces!$L:$L,[1]syr_populatedplaces!$AD:$AD)</f>
        <v>36.174682619999999</v>
      </c>
      <c r="Q315">
        <f>_xlfn.XLOOKUP(E315,[1]syr_populatedplaces!$L:$L,[1]syr_populatedplaces!$AC:$AC)</f>
        <v>36.666503910000003</v>
      </c>
    </row>
    <row r="316" spans="2:17" ht="15">
      <c r="B316" t="s">
        <v>614</v>
      </c>
      <c r="C316" t="s">
        <v>127</v>
      </c>
      <c r="D316" t="s">
        <v>128</v>
      </c>
      <c r="E316" t="s">
        <v>720</v>
      </c>
      <c r="F316" t="s">
        <v>346</v>
      </c>
      <c r="G316" t="s">
        <v>712</v>
      </c>
      <c r="H316" t="s">
        <v>124</v>
      </c>
      <c r="I316">
        <v>28</v>
      </c>
      <c r="J316" t="s">
        <v>108</v>
      </c>
      <c r="K316" t="s">
        <v>713</v>
      </c>
      <c r="L316" t="s">
        <v>714</v>
      </c>
      <c r="M316" t="s">
        <v>27</v>
      </c>
      <c r="N316" t="s">
        <v>387</v>
      </c>
      <c r="O316" t="e">
        <f>_xlfn.XLOOKUP(E316,[1]syr_populatedplaces!$L:$L,[1]syr_populatedplaces!$M:$M)</f>
        <v>#N/A</v>
      </c>
      <c r="P316" s="4" t="e">
        <f>_xlfn.XLOOKUP(الجدول1[[#This Row],[القرية– البلدة]],[1]syr_populatedplaces!$L:$L,[1]syr_populatedplaces!$AD:$AD)</f>
        <v>#N/A</v>
      </c>
      <c r="Q316" s="4" t="e">
        <f>_xlfn.XLOOKUP(الجدول1[[#This Row],[القرية– البلدة]],[1]syr_populatedplaces!$L:$L,[1]syr_populatedplaces!$AC:$AC)</f>
        <v>#N/A</v>
      </c>
    </row>
    <row r="317" spans="2:17">
      <c r="B317" t="s">
        <v>614</v>
      </c>
      <c r="C317" t="s">
        <v>127</v>
      </c>
      <c r="D317" t="s">
        <v>436</v>
      </c>
      <c r="E317" t="s">
        <v>1800</v>
      </c>
      <c r="F317" t="s">
        <v>346</v>
      </c>
      <c r="G317" t="s">
        <v>727</v>
      </c>
      <c r="H317" t="s">
        <v>124</v>
      </c>
      <c r="I317">
        <v>1</v>
      </c>
      <c r="J317" t="s">
        <v>108</v>
      </c>
      <c r="K317" t="s">
        <v>728</v>
      </c>
      <c r="L317" t="s">
        <v>729</v>
      </c>
      <c r="M317" t="s">
        <v>27</v>
      </c>
      <c r="N317" t="s">
        <v>24</v>
      </c>
      <c r="O317" t="str">
        <f>_xlfn.XLOOKUP(E317,[1]syr_populatedplaces!$L:$L,[1]syr_populatedplaces!$M:$M)</f>
        <v>C8387</v>
      </c>
      <c r="P317">
        <f>_xlfn.XLOOKUP(E317,[1]syr_populatedplaces!$L:$L,[1]syr_populatedplaces!$AD:$AD)</f>
        <v>35.777282720000002</v>
      </c>
      <c r="Q317">
        <f>_xlfn.XLOOKUP(E317,[1]syr_populatedplaces!$L:$L,[1]syr_populatedplaces!$AC:$AC)</f>
        <v>36.302673339999998</v>
      </c>
    </row>
    <row r="318" spans="2:17">
      <c r="B318" t="s">
        <v>809</v>
      </c>
      <c r="C318" t="s">
        <v>127</v>
      </c>
      <c r="D318" t="s">
        <v>449</v>
      </c>
      <c r="E318" t="s">
        <v>1797</v>
      </c>
      <c r="F318" t="s">
        <v>812</v>
      </c>
      <c r="G318" t="s">
        <v>849</v>
      </c>
      <c r="H318" t="s">
        <v>797</v>
      </c>
      <c r="I318">
        <v>1</v>
      </c>
      <c r="J318" t="s">
        <v>108</v>
      </c>
      <c r="K318" t="s">
        <v>850</v>
      </c>
      <c r="L318" t="s">
        <v>550</v>
      </c>
      <c r="M318" t="s">
        <v>27</v>
      </c>
      <c r="N318" t="s">
        <v>108</v>
      </c>
      <c r="O318" t="str">
        <f>_xlfn.XLOOKUP(E318,[1]syr_populatedplaces!$L:$L,[1]syr_populatedplaces!$M:$M)</f>
        <v>C3947</v>
      </c>
      <c r="P318">
        <f>_xlfn.XLOOKUP(E318,[1]syr_populatedplaces!$L:$L,[1]syr_populatedplaces!$AD:$AD)</f>
        <v>36.013916020000003</v>
      </c>
      <c r="Q318">
        <f>_xlfn.XLOOKUP(E318,[1]syr_populatedplaces!$L:$L,[1]syr_populatedplaces!$AC:$AC)</f>
        <v>36.672729490000002</v>
      </c>
    </row>
    <row r="319" spans="2:17">
      <c r="B319" t="s">
        <v>809</v>
      </c>
      <c r="C319" t="s">
        <v>127</v>
      </c>
      <c r="D319" t="s">
        <v>449</v>
      </c>
      <c r="E319" t="s">
        <v>1801</v>
      </c>
      <c r="F319" t="s">
        <v>812</v>
      </c>
      <c r="G319" t="s">
        <v>849</v>
      </c>
      <c r="H319" t="s">
        <v>797</v>
      </c>
      <c r="I319">
        <v>1</v>
      </c>
      <c r="J319" t="s">
        <v>108</v>
      </c>
      <c r="K319" t="s">
        <v>850</v>
      </c>
      <c r="L319" t="s">
        <v>550</v>
      </c>
      <c r="M319" t="s">
        <v>27</v>
      </c>
      <c r="N319" t="s">
        <v>108</v>
      </c>
      <c r="O319" t="str">
        <f>_xlfn.XLOOKUP(E319,[1]syr_populatedplaces!$L:$L,[1]syr_populatedplaces!$M:$M)</f>
        <v>C3938</v>
      </c>
      <c r="P319">
        <f>_xlfn.XLOOKUP(E319,[1]syr_populatedplaces!$L:$L,[1]syr_populatedplaces!$AD:$AD)</f>
        <v>36.04571533</v>
      </c>
      <c r="Q319">
        <f>_xlfn.XLOOKUP(E319,[1]syr_populatedplaces!$L:$L,[1]syr_populatedplaces!$AC:$AC)</f>
        <v>36.755310059999999</v>
      </c>
    </row>
    <row r="320" spans="2:17">
      <c r="B320" t="s">
        <v>809</v>
      </c>
      <c r="C320" t="s">
        <v>127</v>
      </c>
      <c r="D320" t="s">
        <v>857</v>
      </c>
      <c r="E320" t="s">
        <v>857</v>
      </c>
      <c r="F320" t="s">
        <v>812</v>
      </c>
      <c r="G320" t="s">
        <v>849</v>
      </c>
      <c r="H320" t="s">
        <v>124</v>
      </c>
      <c r="I320">
        <v>1</v>
      </c>
      <c r="J320" t="s">
        <v>108</v>
      </c>
      <c r="K320" t="s">
        <v>850</v>
      </c>
      <c r="L320" t="s">
        <v>550</v>
      </c>
      <c r="M320" t="s">
        <v>27</v>
      </c>
      <c r="N320" t="s">
        <v>108</v>
      </c>
      <c r="O320" t="str">
        <f>_xlfn.XLOOKUP(E320,[1]syr_populatedplaces!$L:$L,[1]syr_populatedplaces!$M:$M)</f>
        <v>C4200</v>
      </c>
      <c r="P320">
        <f>_xlfn.XLOOKUP(E320,[1]syr_populatedplaces!$L:$L,[1]syr_populatedplaces!$AD:$AD)</f>
        <v>35.789123539999999</v>
      </c>
      <c r="Q320">
        <f>_xlfn.XLOOKUP(E320,[1]syr_populatedplaces!$L:$L,[1]syr_populatedplaces!$AC:$AC)</f>
        <v>36.398315429999997</v>
      </c>
    </row>
    <row r="321" spans="2:17">
      <c r="B321" t="s">
        <v>809</v>
      </c>
      <c r="C321" t="s">
        <v>127</v>
      </c>
      <c r="D321" t="s">
        <v>858</v>
      </c>
      <c r="E321" t="s">
        <v>1802</v>
      </c>
      <c r="F321" t="s">
        <v>812</v>
      </c>
      <c r="G321" t="s">
        <v>851</v>
      </c>
      <c r="H321" t="s">
        <v>859</v>
      </c>
      <c r="I321">
        <v>1</v>
      </c>
      <c r="J321" t="s">
        <v>108</v>
      </c>
      <c r="K321" t="s">
        <v>486</v>
      </c>
      <c r="L321" t="s">
        <v>860</v>
      </c>
      <c r="M321" t="s">
        <v>27</v>
      </c>
      <c r="N321" t="s">
        <v>108</v>
      </c>
      <c r="O321" t="str">
        <f>_xlfn.XLOOKUP(E321,[1]syr_populatedplaces!$L:$L,[1]syr_populatedplaces!$M:$M)</f>
        <v>C3930</v>
      </c>
      <c r="P321">
        <f>_xlfn.XLOOKUP(E321,[1]syr_populatedplaces!$L:$L,[1]syr_populatedplaces!$AD:$AD)</f>
        <v>35.811096190000001</v>
      </c>
      <c r="Q321">
        <f>_xlfn.XLOOKUP(E321,[1]syr_populatedplaces!$L:$L,[1]syr_populatedplaces!$AC:$AC)</f>
        <v>36.790710449999999</v>
      </c>
    </row>
    <row r="322" spans="2:17">
      <c r="B322" t="s">
        <v>809</v>
      </c>
      <c r="C322" t="s">
        <v>127</v>
      </c>
      <c r="D322" t="s">
        <v>861</v>
      </c>
      <c r="E322" t="s">
        <v>861</v>
      </c>
      <c r="F322" t="s">
        <v>812</v>
      </c>
      <c r="G322" t="s">
        <v>849</v>
      </c>
      <c r="H322" t="s">
        <v>124</v>
      </c>
      <c r="I322">
        <v>1</v>
      </c>
      <c r="J322" t="s">
        <v>108</v>
      </c>
      <c r="K322" t="s">
        <v>850</v>
      </c>
      <c r="L322" t="s">
        <v>550</v>
      </c>
      <c r="M322" t="s">
        <v>27</v>
      </c>
      <c r="N322" t="s">
        <v>108</v>
      </c>
      <c r="O322" t="str">
        <f>_xlfn.XLOOKUP(E322,[1]syr_populatedplaces!$L:$L,[1]syr_populatedplaces!$M:$M)</f>
        <v>C4313</v>
      </c>
      <c r="P322">
        <f>_xlfn.XLOOKUP(E322,[1]syr_populatedplaces!$L:$L,[1]syr_populatedplaces!$AD:$AD)</f>
        <v>35.865478520000003</v>
      </c>
      <c r="Q322">
        <f>_xlfn.XLOOKUP(E322,[1]syr_populatedplaces!$L:$L,[1]syr_populatedplaces!$AC:$AC)</f>
        <v>36.435729979999998</v>
      </c>
    </row>
    <row r="323" spans="2:17">
      <c r="B323" t="s">
        <v>809</v>
      </c>
      <c r="C323" t="s">
        <v>127</v>
      </c>
      <c r="D323" t="s">
        <v>135</v>
      </c>
      <c r="E323" t="s">
        <v>1803</v>
      </c>
      <c r="F323" t="s">
        <v>812</v>
      </c>
      <c r="G323" t="s">
        <v>863</v>
      </c>
      <c r="H323" t="s">
        <v>124</v>
      </c>
      <c r="I323">
        <v>1</v>
      </c>
      <c r="J323" t="s">
        <v>108</v>
      </c>
      <c r="K323" t="s">
        <v>864</v>
      </c>
      <c r="L323" t="s">
        <v>865</v>
      </c>
      <c r="M323" t="s">
        <v>27</v>
      </c>
      <c r="N323" t="s">
        <v>108</v>
      </c>
      <c r="O323" t="str">
        <f>_xlfn.XLOOKUP(E323,[1]syr_populatedplaces!$L:$L,[1]syr_populatedplaces!$M:$M)</f>
        <v>C4247</v>
      </c>
      <c r="P323">
        <f>_xlfn.XLOOKUP(E323,[1]syr_populatedplaces!$L:$L,[1]syr_populatedplaces!$AD:$AD)</f>
        <v>35.968872070000003</v>
      </c>
      <c r="Q323">
        <f>_xlfn.XLOOKUP(E323,[1]syr_populatedplaces!$L:$L,[1]syr_populatedplaces!$AC:$AC)</f>
        <v>36.429321289999997</v>
      </c>
    </row>
    <row r="324" spans="2:17">
      <c r="B324" t="s">
        <v>809</v>
      </c>
      <c r="C324" t="s">
        <v>127</v>
      </c>
      <c r="D324" t="s">
        <v>862</v>
      </c>
      <c r="E324" t="s">
        <v>1804</v>
      </c>
      <c r="F324" t="s">
        <v>812</v>
      </c>
      <c r="G324" t="s">
        <v>866</v>
      </c>
      <c r="H324" t="s">
        <v>124</v>
      </c>
      <c r="I324">
        <v>1</v>
      </c>
      <c r="J324" t="s">
        <v>108</v>
      </c>
      <c r="K324" t="s">
        <v>867</v>
      </c>
      <c r="L324" t="s">
        <v>868</v>
      </c>
      <c r="M324" t="s">
        <v>27</v>
      </c>
      <c r="N324" t="s">
        <v>108</v>
      </c>
      <c r="O324" t="str">
        <f>_xlfn.XLOOKUP(E324,[1]syr_populatedplaces!$L:$L,[1]syr_populatedplaces!$M:$M)</f>
        <v>C4235</v>
      </c>
      <c r="P324">
        <f>_xlfn.XLOOKUP(E324,[1]syr_populatedplaces!$L:$L,[1]syr_populatedplaces!$AD:$AD)</f>
        <v>35.777526860000002</v>
      </c>
      <c r="Q324">
        <f>_xlfn.XLOOKUP(E324,[1]syr_populatedplaces!$L:$L,[1]syr_populatedplaces!$AC:$AC)</f>
        <v>36.224487310000001</v>
      </c>
    </row>
    <row r="325" spans="2:17">
      <c r="B325" t="s">
        <v>809</v>
      </c>
      <c r="C325" t="s">
        <v>127</v>
      </c>
      <c r="D325" t="s">
        <v>449</v>
      </c>
      <c r="E325" t="s">
        <v>1801</v>
      </c>
      <c r="F325" t="s">
        <v>812</v>
      </c>
      <c r="G325" t="s">
        <v>873</v>
      </c>
      <c r="H325" t="s">
        <v>874</v>
      </c>
      <c r="I325">
        <v>1</v>
      </c>
      <c r="J325" t="s">
        <v>99</v>
      </c>
      <c r="K325" t="s">
        <v>875</v>
      </c>
      <c r="L325" t="s">
        <v>876</v>
      </c>
      <c r="M325" t="s">
        <v>27</v>
      </c>
      <c r="N325" t="s">
        <v>99</v>
      </c>
      <c r="O325" t="str">
        <f>_xlfn.XLOOKUP(E325,[1]syr_populatedplaces!$L:$L,[1]syr_populatedplaces!$M:$M)</f>
        <v>C3938</v>
      </c>
      <c r="P325">
        <f>_xlfn.XLOOKUP(E325,[1]syr_populatedplaces!$L:$L,[1]syr_populatedplaces!$AD:$AD)</f>
        <v>36.04571533</v>
      </c>
      <c r="Q325">
        <f>_xlfn.XLOOKUP(E325,[1]syr_populatedplaces!$L:$L,[1]syr_populatedplaces!$AC:$AC)</f>
        <v>36.755310059999999</v>
      </c>
    </row>
    <row r="326" spans="2:17">
      <c r="B326" t="s">
        <v>809</v>
      </c>
      <c r="C326" t="s">
        <v>127</v>
      </c>
      <c r="D326" t="s">
        <v>129</v>
      </c>
      <c r="E326" t="s">
        <v>150</v>
      </c>
      <c r="F326" t="s">
        <v>812</v>
      </c>
      <c r="G326" t="s">
        <v>873</v>
      </c>
      <c r="H326" t="s">
        <v>874</v>
      </c>
      <c r="I326">
        <v>1</v>
      </c>
      <c r="J326" t="s">
        <v>99</v>
      </c>
      <c r="K326" t="s">
        <v>875</v>
      </c>
      <c r="L326" t="s">
        <v>876</v>
      </c>
      <c r="M326" t="s">
        <v>27</v>
      </c>
      <c r="N326" t="s">
        <v>99</v>
      </c>
      <c r="O326" t="str">
        <f>_xlfn.XLOOKUP(E326,[1]syr_populatedplaces!$L:$L,[1]syr_populatedplaces!$M:$M)</f>
        <v>C4226</v>
      </c>
      <c r="P326">
        <f>_xlfn.XLOOKUP(E326,[1]syr_populatedplaces!$L:$L,[1]syr_populatedplaces!$AD:$AD)</f>
        <v>35.812072749999999</v>
      </c>
      <c r="Q326">
        <f>_xlfn.XLOOKUP(E326,[1]syr_populatedplaces!$L:$L,[1]syr_populatedplaces!$AC:$AC)</f>
        <v>36.197326660000002</v>
      </c>
    </row>
    <row r="327" spans="2:17">
      <c r="B327" t="s">
        <v>809</v>
      </c>
      <c r="C327" t="s">
        <v>127</v>
      </c>
      <c r="D327" t="s">
        <v>439</v>
      </c>
      <c r="E327" t="s">
        <v>439</v>
      </c>
      <c r="F327" t="s">
        <v>812</v>
      </c>
      <c r="G327" t="s">
        <v>873</v>
      </c>
      <c r="H327" t="s">
        <v>874</v>
      </c>
      <c r="I327">
        <v>1</v>
      </c>
      <c r="J327" t="s">
        <v>99</v>
      </c>
      <c r="K327" t="s">
        <v>875</v>
      </c>
      <c r="L327" t="s">
        <v>876</v>
      </c>
      <c r="M327" t="s">
        <v>27</v>
      </c>
      <c r="N327" t="s">
        <v>99</v>
      </c>
      <c r="O327" t="str">
        <f>_xlfn.XLOOKUP(E327,[1]syr_populatedplaces!$L:$L,[1]syr_populatedplaces!$M:$M)</f>
        <v>C4278</v>
      </c>
      <c r="P327">
        <f>_xlfn.XLOOKUP(E327,[1]syr_populatedplaces!$L:$L,[1]syr_populatedplaces!$AD:$AD)</f>
        <v>35.81408691</v>
      </c>
      <c r="Q327">
        <f>_xlfn.XLOOKUP(E327,[1]syr_populatedplaces!$L:$L,[1]syr_populatedplaces!$AC:$AC)</f>
        <v>36.61029053</v>
      </c>
    </row>
    <row r="328" spans="2:17">
      <c r="B328" t="s">
        <v>809</v>
      </c>
      <c r="C328" t="s">
        <v>127</v>
      </c>
      <c r="D328" t="s">
        <v>439</v>
      </c>
      <c r="E328" t="s">
        <v>871</v>
      </c>
      <c r="F328" t="s">
        <v>812</v>
      </c>
      <c r="G328" t="s">
        <v>873</v>
      </c>
      <c r="H328" t="s">
        <v>874</v>
      </c>
      <c r="I328">
        <v>1</v>
      </c>
      <c r="J328" t="s">
        <v>99</v>
      </c>
      <c r="K328" t="s">
        <v>875</v>
      </c>
      <c r="L328" t="s">
        <v>876</v>
      </c>
      <c r="M328" t="s">
        <v>27</v>
      </c>
      <c r="N328" t="s">
        <v>99</v>
      </c>
      <c r="O328" t="str">
        <f>_xlfn.XLOOKUP(E328,[1]syr_populatedplaces!$L:$L,[1]syr_populatedplaces!$M:$M)</f>
        <v>C6608</v>
      </c>
      <c r="P328">
        <f>_xlfn.XLOOKUP(E328,[1]syr_populatedplaces!$L:$L,[1]syr_populatedplaces!$AD:$AD)</f>
        <v>35.823486330000001</v>
      </c>
      <c r="Q328">
        <f>_xlfn.XLOOKUP(E328,[1]syr_populatedplaces!$L:$L,[1]syr_populatedplaces!$AC:$AC)</f>
        <v>36.58868408</v>
      </c>
    </row>
    <row r="329" spans="2:17">
      <c r="B329" t="s">
        <v>809</v>
      </c>
      <c r="C329" t="s">
        <v>127</v>
      </c>
      <c r="D329" t="s">
        <v>425</v>
      </c>
      <c r="E329" t="s">
        <v>425</v>
      </c>
      <c r="F329" t="s">
        <v>812</v>
      </c>
      <c r="G329" t="s">
        <v>243</v>
      </c>
      <c r="H329" t="s">
        <v>814</v>
      </c>
      <c r="I329">
        <v>1</v>
      </c>
      <c r="J329" t="s">
        <v>108</v>
      </c>
      <c r="K329" t="s">
        <v>878</v>
      </c>
      <c r="L329" t="s">
        <v>278</v>
      </c>
      <c r="M329" t="s">
        <v>27</v>
      </c>
      <c r="N329" t="s">
        <v>108</v>
      </c>
      <c r="O329" t="str">
        <f>_xlfn.XLOOKUP(E329,[1]syr_populatedplaces!$L:$L,[1]syr_populatedplaces!$M:$M)</f>
        <v>C3965</v>
      </c>
      <c r="P329">
        <f>_xlfn.XLOOKUP(E329,[1]syr_populatedplaces!$L:$L,[1]syr_populatedplaces!$AD:$AD)</f>
        <v>35.699890140000001</v>
      </c>
      <c r="Q329">
        <f>_xlfn.XLOOKUP(E329,[1]syr_populatedplaces!$L:$L,[1]syr_populatedplaces!$AC:$AC)</f>
        <v>36.688110350000002</v>
      </c>
    </row>
    <row r="330" spans="2:17">
      <c r="B330" t="s">
        <v>809</v>
      </c>
      <c r="C330" t="s">
        <v>127</v>
      </c>
      <c r="D330" t="s">
        <v>425</v>
      </c>
      <c r="E330" t="s">
        <v>425</v>
      </c>
      <c r="F330" t="s">
        <v>812</v>
      </c>
      <c r="G330" t="s">
        <v>879</v>
      </c>
      <c r="H330" t="s">
        <v>578</v>
      </c>
      <c r="I330">
        <v>1</v>
      </c>
      <c r="J330" t="s">
        <v>108</v>
      </c>
      <c r="K330" t="s">
        <v>880</v>
      </c>
      <c r="L330" t="s">
        <v>360</v>
      </c>
      <c r="M330" t="s">
        <v>27</v>
      </c>
      <c r="N330" t="s">
        <v>108</v>
      </c>
      <c r="O330" t="str">
        <f>_xlfn.XLOOKUP(E330,[1]syr_populatedplaces!$L:$L,[1]syr_populatedplaces!$M:$M)</f>
        <v>C3965</v>
      </c>
      <c r="P330">
        <f>_xlfn.XLOOKUP(E330,[1]syr_populatedplaces!$L:$L,[1]syr_populatedplaces!$AD:$AD)</f>
        <v>35.699890140000001</v>
      </c>
      <c r="Q330">
        <f>_xlfn.XLOOKUP(E330,[1]syr_populatedplaces!$L:$L,[1]syr_populatedplaces!$AC:$AC)</f>
        <v>36.688110350000002</v>
      </c>
    </row>
    <row r="331" spans="2:17">
      <c r="B331" t="s">
        <v>809</v>
      </c>
      <c r="C331" t="s">
        <v>127</v>
      </c>
      <c r="D331" t="s">
        <v>146</v>
      </c>
      <c r="E331" t="s">
        <v>146</v>
      </c>
      <c r="F331" t="s">
        <v>812</v>
      </c>
      <c r="G331" t="s">
        <v>815</v>
      </c>
      <c r="H331" t="s">
        <v>881</v>
      </c>
      <c r="I331">
        <v>1</v>
      </c>
      <c r="J331" t="s">
        <v>108</v>
      </c>
      <c r="K331" t="s">
        <v>496</v>
      </c>
      <c r="L331" t="s">
        <v>360</v>
      </c>
      <c r="M331" t="s">
        <v>27</v>
      </c>
      <c r="N331" t="s">
        <v>108</v>
      </c>
      <c r="O331" t="str">
        <f>_xlfn.XLOOKUP(E331,[1]syr_populatedplaces!$L:$L,[1]syr_populatedplaces!$M:$M)</f>
        <v>C4174</v>
      </c>
      <c r="P331">
        <f>_xlfn.XLOOKUP(E331,[1]syr_populatedplaces!$L:$L,[1]syr_populatedplaces!$AD:$AD)</f>
        <v>36.138488770000002</v>
      </c>
      <c r="Q331">
        <f>_xlfn.XLOOKUP(E331,[1]syr_populatedplaces!$L:$L,[1]syr_populatedplaces!$AC:$AC)</f>
        <v>36.612670899999998</v>
      </c>
    </row>
    <row r="332" spans="2:17" ht="15">
      <c r="B332" t="s">
        <v>809</v>
      </c>
      <c r="C332" t="s">
        <v>127</v>
      </c>
      <c r="D332" t="s">
        <v>27</v>
      </c>
      <c r="E332" t="s">
        <v>887</v>
      </c>
      <c r="F332" t="s">
        <v>812</v>
      </c>
      <c r="G332" t="s">
        <v>888</v>
      </c>
      <c r="H332" t="s">
        <v>422</v>
      </c>
      <c r="I332">
        <v>1</v>
      </c>
      <c r="J332" t="s">
        <v>108</v>
      </c>
      <c r="K332" t="s">
        <v>889</v>
      </c>
      <c r="L332" t="s">
        <v>321</v>
      </c>
      <c r="M332" t="s">
        <v>27</v>
      </c>
      <c r="N332" t="s">
        <v>387</v>
      </c>
      <c r="O332" t="e">
        <f>_xlfn.XLOOKUP(E332,[1]syr_populatedplaces!$L:$L,[1]syr_populatedplaces!$M:$M)</f>
        <v>#N/A</v>
      </c>
      <c r="P332" s="4" t="e">
        <f>_xlfn.XLOOKUP(الجدول1[[#This Row],[القرية– البلدة]],[1]syr_populatedplaces!$L:$L,[1]syr_populatedplaces!$AD:$AD)</f>
        <v>#N/A</v>
      </c>
      <c r="Q332" s="4" t="e">
        <f>_xlfn.XLOOKUP(الجدول1[[#This Row],[القرية– البلدة]],[1]syr_populatedplaces!$L:$L,[1]syr_populatedplaces!$AC:$AC)</f>
        <v>#N/A</v>
      </c>
    </row>
    <row r="333" spans="2:17" ht="15">
      <c r="B333" t="s">
        <v>809</v>
      </c>
      <c r="C333" t="s">
        <v>127</v>
      </c>
      <c r="D333" t="s">
        <v>27</v>
      </c>
      <c r="E333" t="s">
        <v>890</v>
      </c>
      <c r="F333" t="s">
        <v>812</v>
      </c>
      <c r="G333" t="s">
        <v>888</v>
      </c>
      <c r="H333" t="s">
        <v>422</v>
      </c>
      <c r="I333">
        <v>1</v>
      </c>
      <c r="J333" t="s">
        <v>108</v>
      </c>
      <c r="K333" t="s">
        <v>889</v>
      </c>
      <c r="L333" t="s">
        <v>321</v>
      </c>
      <c r="M333" t="s">
        <v>27</v>
      </c>
      <c r="N333" t="s">
        <v>387</v>
      </c>
      <c r="O333" t="e">
        <f>_xlfn.XLOOKUP(E333,[1]syr_populatedplaces!$L:$L,[1]syr_populatedplaces!$M:$M)</f>
        <v>#N/A</v>
      </c>
      <c r="P333" s="4" t="e">
        <f>_xlfn.XLOOKUP(الجدول1[[#This Row],[القرية– البلدة]],[1]syr_populatedplaces!$L:$L,[1]syr_populatedplaces!$AD:$AD)</f>
        <v>#N/A</v>
      </c>
      <c r="Q333" s="4" t="e">
        <f>_xlfn.XLOOKUP(الجدول1[[#This Row],[القرية– البلدة]],[1]syr_populatedplaces!$L:$L,[1]syr_populatedplaces!$AC:$AC)</f>
        <v>#N/A</v>
      </c>
    </row>
    <row r="334" spans="2:17" ht="15">
      <c r="B334" t="s">
        <v>809</v>
      </c>
      <c r="C334" t="s">
        <v>127</v>
      </c>
      <c r="D334" t="s">
        <v>27</v>
      </c>
      <c r="E334" t="s">
        <v>891</v>
      </c>
      <c r="F334" t="s">
        <v>812</v>
      </c>
      <c r="G334" t="s">
        <v>888</v>
      </c>
      <c r="H334" t="s">
        <v>422</v>
      </c>
      <c r="I334">
        <v>1</v>
      </c>
      <c r="J334" t="s">
        <v>108</v>
      </c>
      <c r="K334" t="s">
        <v>889</v>
      </c>
      <c r="L334" t="s">
        <v>321</v>
      </c>
      <c r="M334" t="s">
        <v>27</v>
      </c>
      <c r="N334" t="s">
        <v>387</v>
      </c>
      <c r="O334" t="e">
        <f>_xlfn.XLOOKUP(E334,[1]syr_populatedplaces!$L:$L,[1]syr_populatedplaces!$M:$M)</f>
        <v>#N/A</v>
      </c>
      <c r="P334" s="4" t="e">
        <f>_xlfn.XLOOKUP(الجدول1[[#This Row],[القرية– البلدة]],[1]syr_populatedplaces!$L:$L,[1]syr_populatedplaces!$AD:$AD)</f>
        <v>#N/A</v>
      </c>
      <c r="Q334" s="4" t="e">
        <f>_xlfn.XLOOKUP(الجدول1[[#This Row],[القرية– البلدة]],[1]syr_populatedplaces!$L:$L,[1]syr_populatedplaces!$AC:$AC)</f>
        <v>#N/A</v>
      </c>
    </row>
    <row r="335" spans="2:17" ht="15">
      <c r="B335" t="s">
        <v>809</v>
      </c>
      <c r="C335" t="s">
        <v>127</v>
      </c>
      <c r="D335" t="s">
        <v>27</v>
      </c>
      <c r="E335" t="s">
        <v>892</v>
      </c>
      <c r="F335" t="s">
        <v>812</v>
      </c>
      <c r="G335" t="s">
        <v>888</v>
      </c>
      <c r="H335" t="s">
        <v>422</v>
      </c>
      <c r="I335">
        <v>1</v>
      </c>
      <c r="J335" t="s">
        <v>108</v>
      </c>
      <c r="K335" t="s">
        <v>889</v>
      </c>
      <c r="L335" t="s">
        <v>321</v>
      </c>
      <c r="M335" t="s">
        <v>27</v>
      </c>
      <c r="N335" t="s">
        <v>387</v>
      </c>
      <c r="O335" t="e">
        <f>_xlfn.XLOOKUP(E335,[1]syr_populatedplaces!$L:$L,[1]syr_populatedplaces!$M:$M)</f>
        <v>#N/A</v>
      </c>
      <c r="P335" s="4" t="e">
        <f>_xlfn.XLOOKUP(الجدول1[[#This Row],[القرية– البلدة]],[1]syr_populatedplaces!$L:$L,[1]syr_populatedplaces!$AD:$AD)</f>
        <v>#N/A</v>
      </c>
      <c r="Q335" s="4" t="e">
        <f>_xlfn.XLOOKUP(الجدول1[[#This Row],[القرية– البلدة]],[1]syr_populatedplaces!$L:$L,[1]syr_populatedplaces!$AC:$AC)</f>
        <v>#N/A</v>
      </c>
    </row>
    <row r="336" spans="2:17" ht="15">
      <c r="B336" t="s">
        <v>809</v>
      </c>
      <c r="C336" t="s">
        <v>127</v>
      </c>
      <c r="D336" t="s">
        <v>27</v>
      </c>
      <c r="E336" t="s">
        <v>893</v>
      </c>
      <c r="F336" t="s">
        <v>812</v>
      </c>
      <c r="G336" t="s">
        <v>888</v>
      </c>
      <c r="H336" t="s">
        <v>422</v>
      </c>
      <c r="I336">
        <v>1</v>
      </c>
      <c r="J336" t="s">
        <v>108</v>
      </c>
      <c r="K336" t="s">
        <v>889</v>
      </c>
      <c r="L336" t="s">
        <v>321</v>
      </c>
      <c r="M336" t="s">
        <v>27</v>
      </c>
      <c r="N336" t="s">
        <v>387</v>
      </c>
      <c r="O336" t="e">
        <f>_xlfn.XLOOKUP(E336,[1]syr_populatedplaces!$L:$L,[1]syr_populatedplaces!$M:$M)</f>
        <v>#N/A</v>
      </c>
      <c r="P336" s="4" t="e">
        <f>_xlfn.XLOOKUP(الجدول1[[#This Row],[القرية– البلدة]],[1]syr_populatedplaces!$L:$L,[1]syr_populatedplaces!$AD:$AD)</f>
        <v>#N/A</v>
      </c>
      <c r="Q336" s="4" t="e">
        <f>_xlfn.XLOOKUP(الجدول1[[#This Row],[القرية– البلدة]],[1]syr_populatedplaces!$L:$L,[1]syr_populatedplaces!$AC:$AC)</f>
        <v>#N/A</v>
      </c>
    </row>
    <row r="337" spans="2:17">
      <c r="B337" t="s">
        <v>809</v>
      </c>
      <c r="C337" t="s">
        <v>127</v>
      </c>
      <c r="D337" t="s">
        <v>27</v>
      </c>
      <c r="E337" t="s">
        <v>1794</v>
      </c>
      <c r="F337" t="s">
        <v>812</v>
      </c>
      <c r="G337" t="s">
        <v>888</v>
      </c>
      <c r="H337" t="s">
        <v>422</v>
      </c>
      <c r="I337">
        <v>1</v>
      </c>
      <c r="J337" t="s">
        <v>108</v>
      </c>
      <c r="K337" t="s">
        <v>889</v>
      </c>
      <c r="L337" t="s">
        <v>321</v>
      </c>
      <c r="M337" t="s">
        <v>27</v>
      </c>
      <c r="N337" t="s">
        <v>387</v>
      </c>
      <c r="O337" t="str">
        <f>_xlfn.XLOOKUP(E337,[1]syr_populatedplaces!$L:$L,[1]syr_populatedplaces!$M:$M)</f>
        <v>C8092</v>
      </c>
      <c r="P337">
        <f>_xlfn.XLOOKUP(E337,[1]syr_populatedplaces!$L:$L,[1]syr_populatedplaces!$AD:$AD)</f>
        <v>36.255676270000002</v>
      </c>
      <c r="Q337">
        <f>_xlfn.XLOOKUP(E337,[1]syr_populatedplaces!$L:$L,[1]syr_populatedplaces!$AC:$AC)</f>
        <v>36.713500979999999</v>
      </c>
    </row>
    <row r="338" spans="2:17">
      <c r="B338" t="s">
        <v>809</v>
      </c>
      <c r="C338" t="s">
        <v>127</v>
      </c>
      <c r="D338" t="s">
        <v>27</v>
      </c>
      <c r="E338" t="s">
        <v>1790</v>
      </c>
      <c r="F338" t="s">
        <v>812</v>
      </c>
      <c r="G338" t="s">
        <v>888</v>
      </c>
      <c r="H338" t="s">
        <v>422</v>
      </c>
      <c r="I338">
        <v>1</v>
      </c>
      <c r="J338" t="s">
        <v>108</v>
      </c>
      <c r="K338" t="s">
        <v>889</v>
      </c>
      <c r="L338" t="s">
        <v>321</v>
      </c>
      <c r="M338" t="s">
        <v>27</v>
      </c>
      <c r="N338" t="s">
        <v>387</v>
      </c>
      <c r="O338" t="str">
        <f>_xlfn.XLOOKUP(E338,[1]syr_populatedplaces!$L:$L,[1]syr_populatedplaces!$M:$M)</f>
        <v>C4130</v>
      </c>
      <c r="P338">
        <f>_xlfn.XLOOKUP(E338,[1]syr_populatedplaces!$L:$L,[1]syr_populatedplaces!$AD:$AD)</f>
        <v>36.309875490000003</v>
      </c>
      <c r="Q338">
        <f>_xlfn.XLOOKUP(E338,[1]syr_populatedplaces!$L:$L,[1]syr_populatedplaces!$AC:$AC)</f>
        <v>36.689880369999997</v>
      </c>
    </row>
    <row r="339" spans="2:17" ht="15">
      <c r="B339" t="s">
        <v>809</v>
      </c>
      <c r="C339" t="s">
        <v>127</v>
      </c>
      <c r="D339" t="s">
        <v>27</v>
      </c>
      <c r="E339" t="s">
        <v>894</v>
      </c>
      <c r="F339" t="s">
        <v>812</v>
      </c>
      <c r="G339" t="s">
        <v>888</v>
      </c>
      <c r="H339" t="s">
        <v>422</v>
      </c>
      <c r="I339">
        <v>1</v>
      </c>
      <c r="J339" t="s">
        <v>108</v>
      </c>
      <c r="K339" t="s">
        <v>889</v>
      </c>
      <c r="L339" t="s">
        <v>321</v>
      </c>
      <c r="M339" t="s">
        <v>27</v>
      </c>
      <c r="N339" t="s">
        <v>387</v>
      </c>
      <c r="O339" t="e">
        <f>_xlfn.XLOOKUP(E339,[1]syr_populatedplaces!$L:$L,[1]syr_populatedplaces!$M:$M)</f>
        <v>#N/A</v>
      </c>
      <c r="P339" s="4" t="e">
        <f>_xlfn.XLOOKUP(الجدول1[[#This Row],[القرية– البلدة]],[1]syr_populatedplaces!$L:$L,[1]syr_populatedplaces!$AD:$AD)</f>
        <v>#N/A</v>
      </c>
      <c r="Q339" s="4" t="e">
        <f>_xlfn.XLOOKUP(الجدول1[[#This Row],[القرية– البلدة]],[1]syr_populatedplaces!$L:$L,[1]syr_populatedplaces!$AC:$AC)</f>
        <v>#N/A</v>
      </c>
    </row>
    <row r="340" spans="2:17">
      <c r="B340" t="s">
        <v>809</v>
      </c>
      <c r="C340" t="s">
        <v>127</v>
      </c>
      <c r="D340" t="s">
        <v>1717</v>
      </c>
      <c r="E340" t="s">
        <v>1805</v>
      </c>
      <c r="F340" t="s">
        <v>812</v>
      </c>
      <c r="G340" t="s">
        <v>896</v>
      </c>
      <c r="H340" t="s">
        <v>840</v>
      </c>
      <c r="I340">
        <v>1</v>
      </c>
      <c r="J340" t="s">
        <v>108</v>
      </c>
      <c r="K340" t="s">
        <v>897</v>
      </c>
      <c r="L340" t="s">
        <v>576</v>
      </c>
      <c r="M340" t="s">
        <v>841</v>
      </c>
      <c r="N340" t="s">
        <v>108</v>
      </c>
      <c r="O340" t="str">
        <f>_xlfn.XLOOKUP(E340,[1]syr_populatedplaces!$L:$L,[1]syr_populatedplaces!$M:$M)</f>
        <v>C4037</v>
      </c>
      <c r="P340">
        <f>_xlfn.XLOOKUP(E340,[1]syr_populatedplaces!$L:$L,[1]syr_populatedplaces!$AD:$AD)</f>
        <v>35.536499020000001</v>
      </c>
      <c r="Q340">
        <f>_xlfn.XLOOKUP(E340,[1]syr_populatedplaces!$L:$L,[1]syr_populatedplaces!$AC:$AC)</f>
        <v>36.961730959999997</v>
      </c>
    </row>
    <row r="341" spans="2:17">
      <c r="B341" t="s">
        <v>809</v>
      </c>
      <c r="C341" t="s">
        <v>127</v>
      </c>
      <c r="D341" t="s">
        <v>449</v>
      </c>
      <c r="E341" t="s">
        <v>1797</v>
      </c>
      <c r="F341" t="s">
        <v>812</v>
      </c>
      <c r="G341" t="s">
        <v>496</v>
      </c>
      <c r="H341" t="s">
        <v>541</v>
      </c>
      <c r="I341">
        <v>1</v>
      </c>
      <c r="J341" t="s">
        <v>108</v>
      </c>
      <c r="K341" t="s">
        <v>902</v>
      </c>
      <c r="L341" t="s">
        <v>278</v>
      </c>
      <c r="M341" t="s">
        <v>27</v>
      </c>
      <c r="N341" t="s">
        <v>108</v>
      </c>
      <c r="O341" t="str">
        <f>_xlfn.XLOOKUP(E341,[1]syr_populatedplaces!$L:$L,[1]syr_populatedplaces!$M:$M)</f>
        <v>C3947</v>
      </c>
      <c r="P341">
        <f>_xlfn.XLOOKUP(E341,[1]syr_populatedplaces!$L:$L,[1]syr_populatedplaces!$AD:$AD)</f>
        <v>36.013916020000003</v>
      </c>
      <c r="Q341">
        <f>_xlfn.XLOOKUP(E341,[1]syr_populatedplaces!$L:$L,[1]syr_populatedplaces!$AC:$AC)</f>
        <v>36.672729490000002</v>
      </c>
    </row>
    <row r="342" spans="2:17">
      <c r="B342" t="s">
        <v>809</v>
      </c>
      <c r="C342" t="s">
        <v>127</v>
      </c>
      <c r="D342" t="s">
        <v>27</v>
      </c>
      <c r="E342" t="s">
        <v>1806</v>
      </c>
      <c r="F342" t="s">
        <v>812</v>
      </c>
      <c r="G342" t="s">
        <v>903</v>
      </c>
      <c r="H342" t="s">
        <v>124</v>
      </c>
      <c r="I342">
        <v>1</v>
      </c>
      <c r="J342" t="s">
        <v>108</v>
      </c>
      <c r="K342" t="s">
        <v>904</v>
      </c>
      <c r="L342" t="s">
        <v>905</v>
      </c>
      <c r="M342" t="s">
        <v>27</v>
      </c>
      <c r="N342" t="s">
        <v>108</v>
      </c>
      <c r="O342" t="str">
        <f>_xlfn.XLOOKUP(E342,[1]syr_populatedplaces!$L:$L,[1]syr_populatedplaces!$M:$M)</f>
        <v>C3871</v>
      </c>
      <c r="P342">
        <f>_xlfn.XLOOKUP(E342,[1]syr_populatedplaces!$L:$L,[1]syr_populatedplaces!$AD:$AD)</f>
        <v>35.929077149999998</v>
      </c>
      <c r="Q342">
        <f>_xlfn.XLOOKUP(E342,[1]syr_populatedplaces!$L:$L,[1]syr_populatedplaces!$AC:$AC)</f>
        <v>36.635314940000001</v>
      </c>
    </row>
    <row r="343" spans="2:17">
      <c r="B343" t="s">
        <v>809</v>
      </c>
      <c r="C343" t="s">
        <v>127</v>
      </c>
      <c r="D343" t="s">
        <v>27</v>
      </c>
      <c r="E343" t="s">
        <v>1807</v>
      </c>
      <c r="F343" t="s">
        <v>812</v>
      </c>
      <c r="G343" t="s">
        <v>903</v>
      </c>
      <c r="H343" t="s">
        <v>124</v>
      </c>
      <c r="I343">
        <v>1</v>
      </c>
      <c r="J343" t="s">
        <v>108</v>
      </c>
      <c r="K343" t="s">
        <v>904</v>
      </c>
      <c r="L343" t="s">
        <v>905</v>
      </c>
      <c r="M343" t="s">
        <v>27</v>
      </c>
      <c r="N343" t="s">
        <v>108</v>
      </c>
      <c r="O343" t="str">
        <f>_xlfn.XLOOKUP(E343,[1]syr_populatedplaces!$L:$L,[1]syr_populatedplaces!$M:$M)</f>
        <v>C4290</v>
      </c>
      <c r="P343">
        <f>_xlfn.XLOOKUP(E343,[1]syr_populatedplaces!$L:$L,[1]syr_populatedplaces!$AD:$AD)</f>
        <v>35.807922359999999</v>
      </c>
      <c r="Q343">
        <f>_xlfn.XLOOKUP(E343,[1]syr_populatedplaces!$L:$L,[1]syr_populatedplaces!$AC:$AC)</f>
        <v>36.563293459999997</v>
      </c>
    </row>
    <row r="344" spans="2:17">
      <c r="B344" t="s">
        <v>809</v>
      </c>
      <c r="C344" t="s">
        <v>127</v>
      </c>
      <c r="D344" t="s">
        <v>27</v>
      </c>
      <c r="E344" t="s">
        <v>1806</v>
      </c>
      <c r="F344" t="s">
        <v>812</v>
      </c>
      <c r="G344" t="s">
        <v>903</v>
      </c>
      <c r="H344" t="s">
        <v>124</v>
      </c>
      <c r="I344">
        <v>1</v>
      </c>
      <c r="J344" t="s">
        <v>108</v>
      </c>
      <c r="K344" t="s">
        <v>904</v>
      </c>
      <c r="L344" t="s">
        <v>905</v>
      </c>
      <c r="M344" t="s">
        <v>27</v>
      </c>
      <c r="N344" t="s">
        <v>108</v>
      </c>
      <c r="O344" t="str">
        <f>_xlfn.XLOOKUP(E344,[1]syr_populatedplaces!$L:$L,[1]syr_populatedplaces!$M:$M)</f>
        <v>C3871</v>
      </c>
      <c r="P344">
        <f>_xlfn.XLOOKUP(E344,[1]syr_populatedplaces!$L:$L,[1]syr_populatedplaces!$AD:$AD)</f>
        <v>35.929077149999998</v>
      </c>
      <c r="Q344">
        <f>_xlfn.XLOOKUP(E344,[1]syr_populatedplaces!$L:$L,[1]syr_populatedplaces!$AC:$AC)</f>
        <v>36.635314940000001</v>
      </c>
    </row>
    <row r="345" spans="2:17">
      <c r="B345" t="s">
        <v>809</v>
      </c>
      <c r="C345" t="s">
        <v>127</v>
      </c>
      <c r="D345" t="s">
        <v>27</v>
      </c>
      <c r="E345" t="s">
        <v>165</v>
      </c>
      <c r="F345" t="s">
        <v>812</v>
      </c>
      <c r="G345" t="s">
        <v>903</v>
      </c>
      <c r="H345" t="s">
        <v>124</v>
      </c>
      <c r="I345">
        <v>1</v>
      </c>
      <c r="J345" t="s">
        <v>108</v>
      </c>
      <c r="K345" t="s">
        <v>904</v>
      </c>
      <c r="L345" t="s">
        <v>905</v>
      </c>
      <c r="M345" t="s">
        <v>27</v>
      </c>
      <c r="N345" t="s">
        <v>108</v>
      </c>
      <c r="O345" t="str">
        <f>_xlfn.XLOOKUP(E345,[1]syr_populatedplaces!$L:$L,[1]syr_populatedplaces!$M:$M)</f>
        <v>C4121</v>
      </c>
      <c r="P345">
        <f>_xlfn.XLOOKUP(E345,[1]syr_populatedplaces!$L:$L,[1]syr_populatedplaces!$AD:$AD)</f>
        <v>36.186706540000003</v>
      </c>
      <c r="Q345">
        <f>_xlfn.XLOOKUP(E345,[1]syr_populatedplaces!$L:$L,[1]syr_populatedplaces!$AC:$AC)</f>
        <v>36.723876949999998</v>
      </c>
    </row>
    <row r="346" spans="2:17" ht="15">
      <c r="B346" t="s">
        <v>809</v>
      </c>
      <c r="C346" t="s">
        <v>127</v>
      </c>
      <c r="D346" t="s">
        <v>27</v>
      </c>
      <c r="E346" t="s">
        <v>27</v>
      </c>
      <c r="F346" t="s">
        <v>812</v>
      </c>
      <c r="G346" t="s">
        <v>911</v>
      </c>
      <c r="H346" t="s">
        <v>123</v>
      </c>
      <c r="I346">
        <v>1</v>
      </c>
      <c r="J346" t="s">
        <v>108</v>
      </c>
      <c r="K346" t="s">
        <v>912</v>
      </c>
      <c r="L346" t="s">
        <v>913</v>
      </c>
      <c r="M346" t="s">
        <v>914</v>
      </c>
      <c r="N346" t="s">
        <v>108</v>
      </c>
      <c r="O346" t="e">
        <f>_xlfn.XLOOKUP(E346,[1]syr_populatedplaces!$L:$L,[1]syr_populatedplaces!$M:$M)</f>
        <v>#N/A</v>
      </c>
      <c r="P346" s="4" t="e">
        <f>_xlfn.XLOOKUP(الجدول1[[#This Row],[القرية– البلدة]],[1]syr_populatedplaces!$L:$L,[1]syr_populatedplaces!$AD:$AD)</f>
        <v>#N/A</v>
      </c>
      <c r="Q346" s="4" t="e">
        <f>_xlfn.XLOOKUP(الجدول1[[#This Row],[القرية– البلدة]],[1]syr_populatedplaces!$L:$L,[1]syr_populatedplaces!$AC:$AC)</f>
        <v>#N/A</v>
      </c>
    </row>
    <row r="347" spans="2:17">
      <c r="B347" t="s">
        <v>928</v>
      </c>
      <c r="C347" t="s">
        <v>127</v>
      </c>
      <c r="D347" t="s">
        <v>949</v>
      </c>
      <c r="E347" t="s">
        <v>1806</v>
      </c>
      <c r="F347" t="s">
        <v>930</v>
      </c>
      <c r="G347" t="s">
        <v>950</v>
      </c>
      <c r="H347" t="s">
        <v>411</v>
      </c>
      <c r="I347">
        <v>1</v>
      </c>
      <c r="J347" t="s">
        <v>883</v>
      </c>
      <c r="K347" t="s">
        <v>951</v>
      </c>
      <c r="L347" t="s">
        <v>952</v>
      </c>
      <c r="M347" t="s">
        <v>953</v>
      </c>
      <c r="N347" t="s">
        <v>387</v>
      </c>
      <c r="O347" t="str">
        <f>_xlfn.XLOOKUP(E347,[1]syr_populatedplaces!$L:$L,[1]syr_populatedplaces!$M:$M)</f>
        <v>C3871</v>
      </c>
      <c r="P347">
        <f>_xlfn.XLOOKUP(E347,[1]syr_populatedplaces!$L:$L,[1]syr_populatedplaces!$AD:$AD)</f>
        <v>35.929077149999998</v>
      </c>
      <c r="Q347">
        <f>_xlfn.XLOOKUP(E347,[1]syr_populatedplaces!$L:$L,[1]syr_populatedplaces!$AC:$AC)</f>
        <v>36.635314940000001</v>
      </c>
    </row>
    <row r="348" spans="2:17" ht="15">
      <c r="B348" t="s">
        <v>928</v>
      </c>
      <c r="C348" t="s">
        <v>127</v>
      </c>
      <c r="D348" t="s">
        <v>949</v>
      </c>
      <c r="E348" t="s">
        <v>954</v>
      </c>
      <c r="F348" t="s">
        <v>930</v>
      </c>
      <c r="G348" t="s">
        <v>955</v>
      </c>
      <c r="H348" t="s">
        <v>956</v>
      </c>
      <c r="I348">
        <v>1</v>
      </c>
      <c r="J348" t="s">
        <v>883</v>
      </c>
      <c r="K348" t="s">
        <v>957</v>
      </c>
      <c r="L348" t="s">
        <v>958</v>
      </c>
      <c r="M348" t="s">
        <v>959</v>
      </c>
      <c r="N348" t="s">
        <v>387</v>
      </c>
      <c r="O348" t="e">
        <f>_xlfn.XLOOKUP(E348,[1]syr_populatedplaces!$L:$L,[1]syr_populatedplaces!$M:$M)</f>
        <v>#N/A</v>
      </c>
      <c r="P348" s="4" t="e">
        <f>_xlfn.XLOOKUP(الجدول1[[#This Row],[القرية– البلدة]],[1]syr_populatedplaces!$L:$L,[1]syr_populatedplaces!$AD:$AD)</f>
        <v>#N/A</v>
      </c>
      <c r="Q348" s="4" t="e">
        <f>_xlfn.XLOOKUP(الجدول1[[#This Row],[القرية– البلدة]],[1]syr_populatedplaces!$L:$L,[1]syr_populatedplaces!$AC:$AC)</f>
        <v>#N/A</v>
      </c>
    </row>
    <row r="349" spans="2:17" ht="15">
      <c r="B349" t="s">
        <v>928</v>
      </c>
      <c r="C349" t="s">
        <v>127</v>
      </c>
      <c r="D349" t="s">
        <v>183</v>
      </c>
      <c r="E349" t="s">
        <v>960</v>
      </c>
      <c r="F349" t="s">
        <v>930</v>
      </c>
      <c r="G349" t="s">
        <v>961</v>
      </c>
      <c r="H349" t="s">
        <v>587</v>
      </c>
      <c r="I349">
        <v>1</v>
      </c>
      <c r="J349" t="s">
        <v>883</v>
      </c>
      <c r="K349" t="s">
        <v>962</v>
      </c>
      <c r="L349" t="s">
        <v>963</v>
      </c>
      <c r="M349" t="s">
        <v>964</v>
      </c>
      <c r="N349" t="s">
        <v>387</v>
      </c>
      <c r="O349" t="e">
        <f>_xlfn.XLOOKUP(E349,[1]syr_populatedplaces!$L:$L,[1]syr_populatedplaces!$M:$M)</f>
        <v>#N/A</v>
      </c>
      <c r="P349" s="4" t="e">
        <f>_xlfn.XLOOKUP(الجدول1[[#This Row],[القرية– البلدة]],[1]syr_populatedplaces!$L:$L,[1]syr_populatedplaces!$AD:$AD)</f>
        <v>#N/A</v>
      </c>
      <c r="Q349" s="4" t="e">
        <f>_xlfn.XLOOKUP(الجدول1[[#This Row],[القرية– البلدة]],[1]syr_populatedplaces!$L:$L,[1]syr_populatedplaces!$AC:$AC)</f>
        <v>#N/A</v>
      </c>
    </row>
    <row r="350" spans="2:17">
      <c r="B350" t="s">
        <v>928</v>
      </c>
      <c r="C350" t="s">
        <v>127</v>
      </c>
      <c r="D350" t="s">
        <v>183</v>
      </c>
      <c r="E350" t="s">
        <v>183</v>
      </c>
      <c r="F350" t="s">
        <v>930</v>
      </c>
      <c r="G350" t="s">
        <v>965</v>
      </c>
      <c r="H350" t="s">
        <v>966</v>
      </c>
      <c r="I350">
        <v>1</v>
      </c>
      <c r="J350" t="s">
        <v>883</v>
      </c>
      <c r="K350" t="s">
        <v>967</v>
      </c>
      <c r="L350" t="s">
        <v>968</v>
      </c>
      <c r="M350" t="s">
        <v>969</v>
      </c>
      <c r="N350" t="s">
        <v>387</v>
      </c>
      <c r="O350" t="str">
        <f>_xlfn.XLOOKUP(E350,[1]syr_populatedplaces!$L:$L,[1]syr_populatedplaces!$M:$M)</f>
        <v>C4231</v>
      </c>
      <c r="P350">
        <f>_xlfn.XLOOKUP(E350,[1]syr_populatedplaces!$L:$L,[1]syr_populatedplaces!$AD:$AD)</f>
        <v>35.903076169999999</v>
      </c>
      <c r="Q350">
        <f>_xlfn.XLOOKUP(E350,[1]syr_populatedplaces!$L:$L,[1]syr_populatedplaces!$AC:$AC)</f>
        <v>36.191101070000002</v>
      </c>
    </row>
    <row r="351" spans="2:17">
      <c r="B351" t="s">
        <v>928</v>
      </c>
      <c r="C351" t="s">
        <v>127</v>
      </c>
      <c r="D351" t="s">
        <v>183</v>
      </c>
      <c r="E351" t="s">
        <v>183</v>
      </c>
      <c r="F351" t="s">
        <v>930</v>
      </c>
      <c r="G351" t="s">
        <v>970</v>
      </c>
      <c r="H351" t="s">
        <v>971</v>
      </c>
      <c r="I351">
        <v>1</v>
      </c>
      <c r="J351" t="s">
        <v>108</v>
      </c>
      <c r="K351" t="s">
        <v>972</v>
      </c>
      <c r="L351" t="s">
        <v>973</v>
      </c>
      <c r="M351" t="s">
        <v>974</v>
      </c>
      <c r="N351" t="s">
        <v>108</v>
      </c>
      <c r="O351" t="str">
        <f>_xlfn.XLOOKUP(E351,[1]syr_populatedplaces!$L:$L,[1]syr_populatedplaces!$M:$M)</f>
        <v>C4231</v>
      </c>
      <c r="P351">
        <f>_xlfn.XLOOKUP(E351,[1]syr_populatedplaces!$L:$L,[1]syr_populatedplaces!$AD:$AD)</f>
        <v>35.903076169999999</v>
      </c>
      <c r="Q351">
        <f>_xlfn.XLOOKUP(E351,[1]syr_populatedplaces!$L:$L,[1]syr_populatedplaces!$AC:$AC)</f>
        <v>36.191101070000002</v>
      </c>
    </row>
    <row r="352" spans="2:17">
      <c r="B352" t="s">
        <v>928</v>
      </c>
      <c r="C352" t="s">
        <v>127</v>
      </c>
      <c r="D352" t="s">
        <v>183</v>
      </c>
      <c r="E352" t="s">
        <v>183</v>
      </c>
      <c r="F352" t="s">
        <v>930</v>
      </c>
      <c r="G352" t="s">
        <v>975</v>
      </c>
      <c r="H352" t="s">
        <v>976</v>
      </c>
      <c r="I352">
        <v>1</v>
      </c>
      <c r="J352" t="s">
        <v>99</v>
      </c>
      <c r="K352" t="s">
        <v>977</v>
      </c>
      <c r="L352" t="s">
        <v>978</v>
      </c>
      <c r="M352" t="s">
        <v>27</v>
      </c>
      <c r="N352" t="s">
        <v>99</v>
      </c>
      <c r="O352" t="str">
        <f>_xlfn.XLOOKUP(E352,[1]syr_populatedplaces!$L:$L,[1]syr_populatedplaces!$M:$M)</f>
        <v>C4231</v>
      </c>
      <c r="P352">
        <f>_xlfn.XLOOKUP(E352,[1]syr_populatedplaces!$L:$L,[1]syr_populatedplaces!$AD:$AD)</f>
        <v>35.903076169999999</v>
      </c>
      <c r="Q352">
        <f>_xlfn.XLOOKUP(E352,[1]syr_populatedplaces!$L:$L,[1]syr_populatedplaces!$AC:$AC)</f>
        <v>36.191101070000002</v>
      </c>
    </row>
    <row r="353" spans="2:17">
      <c r="B353" t="s">
        <v>928</v>
      </c>
      <c r="C353" t="s">
        <v>127</v>
      </c>
      <c r="D353" t="s">
        <v>183</v>
      </c>
      <c r="E353" t="s">
        <v>183</v>
      </c>
      <c r="F353" t="s">
        <v>930</v>
      </c>
      <c r="G353" t="s">
        <v>975</v>
      </c>
      <c r="H353" t="s">
        <v>976</v>
      </c>
      <c r="I353">
        <v>1</v>
      </c>
      <c r="J353" t="s">
        <v>99</v>
      </c>
      <c r="K353" t="s">
        <v>977</v>
      </c>
      <c r="L353" t="s">
        <v>978</v>
      </c>
      <c r="M353" t="s">
        <v>27</v>
      </c>
      <c r="N353" t="s">
        <v>99</v>
      </c>
      <c r="O353" t="str">
        <f>_xlfn.XLOOKUP(E353,[1]syr_populatedplaces!$L:$L,[1]syr_populatedplaces!$M:$M)</f>
        <v>C4231</v>
      </c>
      <c r="P353">
        <f>_xlfn.XLOOKUP(E353,[1]syr_populatedplaces!$L:$L,[1]syr_populatedplaces!$AD:$AD)</f>
        <v>35.903076169999999</v>
      </c>
      <c r="Q353">
        <f>_xlfn.XLOOKUP(E353,[1]syr_populatedplaces!$L:$L,[1]syr_populatedplaces!$AC:$AC)</f>
        <v>36.191101070000002</v>
      </c>
    </row>
    <row r="354" spans="2:17">
      <c r="B354" t="s">
        <v>928</v>
      </c>
      <c r="C354" t="s">
        <v>127</v>
      </c>
      <c r="D354" t="s">
        <v>183</v>
      </c>
      <c r="E354" t="s">
        <v>183</v>
      </c>
      <c r="F354" t="s">
        <v>930</v>
      </c>
      <c r="G354" t="s">
        <v>975</v>
      </c>
      <c r="H354" t="s">
        <v>976</v>
      </c>
      <c r="I354">
        <v>1</v>
      </c>
      <c r="J354" t="s">
        <v>99</v>
      </c>
      <c r="K354" t="s">
        <v>977</v>
      </c>
      <c r="L354" t="s">
        <v>978</v>
      </c>
      <c r="M354" t="s">
        <v>27</v>
      </c>
      <c r="N354" t="s">
        <v>99</v>
      </c>
      <c r="O354" t="str">
        <f>_xlfn.XLOOKUP(E354,[1]syr_populatedplaces!$L:$L,[1]syr_populatedplaces!$M:$M)</f>
        <v>C4231</v>
      </c>
      <c r="P354">
        <f>_xlfn.XLOOKUP(E354,[1]syr_populatedplaces!$L:$L,[1]syr_populatedplaces!$AD:$AD)</f>
        <v>35.903076169999999</v>
      </c>
      <c r="Q354">
        <f>_xlfn.XLOOKUP(E354,[1]syr_populatedplaces!$L:$L,[1]syr_populatedplaces!$AC:$AC)</f>
        <v>36.191101070000002</v>
      </c>
    </row>
    <row r="355" spans="2:17">
      <c r="B355" t="s">
        <v>928</v>
      </c>
      <c r="C355" t="s">
        <v>127</v>
      </c>
      <c r="D355" t="s">
        <v>183</v>
      </c>
      <c r="E355" t="s">
        <v>183</v>
      </c>
      <c r="F355" t="s">
        <v>930</v>
      </c>
      <c r="G355" t="s">
        <v>975</v>
      </c>
      <c r="H355" t="s">
        <v>976</v>
      </c>
      <c r="I355">
        <v>1</v>
      </c>
      <c r="J355" t="s">
        <v>99</v>
      </c>
      <c r="K355" t="s">
        <v>977</v>
      </c>
      <c r="L355" t="s">
        <v>978</v>
      </c>
      <c r="M355" t="s">
        <v>27</v>
      </c>
      <c r="N355" t="s">
        <v>99</v>
      </c>
      <c r="O355" t="str">
        <f>_xlfn.XLOOKUP(E355,[1]syr_populatedplaces!$L:$L,[1]syr_populatedplaces!$M:$M)</f>
        <v>C4231</v>
      </c>
      <c r="P355">
        <f>_xlfn.XLOOKUP(E355,[1]syr_populatedplaces!$L:$L,[1]syr_populatedplaces!$AD:$AD)</f>
        <v>35.903076169999999</v>
      </c>
      <c r="Q355">
        <f>_xlfn.XLOOKUP(E355,[1]syr_populatedplaces!$L:$L,[1]syr_populatedplaces!$AC:$AC)</f>
        <v>36.191101070000002</v>
      </c>
    </row>
    <row r="356" spans="2:17">
      <c r="B356" t="s">
        <v>928</v>
      </c>
      <c r="C356" t="s">
        <v>127</v>
      </c>
      <c r="D356" t="s">
        <v>183</v>
      </c>
      <c r="E356" t="s">
        <v>183</v>
      </c>
      <c r="F356" t="s">
        <v>930</v>
      </c>
      <c r="G356" t="s">
        <v>975</v>
      </c>
      <c r="H356" t="s">
        <v>976</v>
      </c>
      <c r="I356">
        <v>1</v>
      </c>
      <c r="J356" t="s">
        <v>99</v>
      </c>
      <c r="K356" t="s">
        <v>977</v>
      </c>
      <c r="L356" t="s">
        <v>978</v>
      </c>
      <c r="M356" t="s">
        <v>27</v>
      </c>
      <c r="N356" t="s">
        <v>99</v>
      </c>
      <c r="O356" t="str">
        <f>_xlfn.XLOOKUP(E356,[1]syr_populatedplaces!$L:$L,[1]syr_populatedplaces!$M:$M)</f>
        <v>C4231</v>
      </c>
      <c r="P356">
        <f>_xlfn.XLOOKUP(E356,[1]syr_populatedplaces!$L:$L,[1]syr_populatedplaces!$AD:$AD)</f>
        <v>35.903076169999999</v>
      </c>
      <c r="Q356">
        <f>_xlfn.XLOOKUP(E356,[1]syr_populatedplaces!$L:$L,[1]syr_populatedplaces!$AC:$AC)</f>
        <v>36.191101070000002</v>
      </c>
    </row>
    <row r="357" spans="2:17">
      <c r="B357" t="s">
        <v>928</v>
      </c>
      <c r="C357" t="s">
        <v>127</v>
      </c>
      <c r="D357" t="s">
        <v>183</v>
      </c>
      <c r="E357" t="s">
        <v>183</v>
      </c>
      <c r="F357" t="s">
        <v>930</v>
      </c>
      <c r="G357" t="s">
        <v>975</v>
      </c>
      <c r="H357" t="s">
        <v>976</v>
      </c>
      <c r="I357">
        <v>1</v>
      </c>
      <c r="J357" t="s">
        <v>99</v>
      </c>
      <c r="K357" t="s">
        <v>977</v>
      </c>
      <c r="L357" t="s">
        <v>978</v>
      </c>
      <c r="M357" t="s">
        <v>27</v>
      </c>
      <c r="N357" t="s">
        <v>99</v>
      </c>
      <c r="O357" t="str">
        <f>_xlfn.XLOOKUP(E357,[1]syr_populatedplaces!$L:$L,[1]syr_populatedplaces!$M:$M)</f>
        <v>C4231</v>
      </c>
      <c r="P357">
        <f>_xlfn.XLOOKUP(E357,[1]syr_populatedplaces!$L:$L,[1]syr_populatedplaces!$AD:$AD)</f>
        <v>35.903076169999999</v>
      </c>
      <c r="Q357">
        <f>_xlfn.XLOOKUP(E357,[1]syr_populatedplaces!$L:$L,[1]syr_populatedplaces!$AC:$AC)</f>
        <v>36.191101070000002</v>
      </c>
    </row>
    <row r="358" spans="2:17">
      <c r="B358" t="s">
        <v>928</v>
      </c>
      <c r="C358" t="s">
        <v>127</v>
      </c>
      <c r="D358" t="s">
        <v>183</v>
      </c>
      <c r="E358" t="s">
        <v>183</v>
      </c>
      <c r="F358" t="s">
        <v>930</v>
      </c>
      <c r="G358" t="s">
        <v>975</v>
      </c>
      <c r="H358" t="s">
        <v>976</v>
      </c>
      <c r="I358">
        <v>1</v>
      </c>
      <c r="J358" t="s">
        <v>99</v>
      </c>
      <c r="K358" t="s">
        <v>977</v>
      </c>
      <c r="L358" t="s">
        <v>978</v>
      </c>
      <c r="M358" t="s">
        <v>27</v>
      </c>
      <c r="N358" t="s">
        <v>99</v>
      </c>
      <c r="O358" t="str">
        <f>_xlfn.XLOOKUP(E358,[1]syr_populatedplaces!$L:$L,[1]syr_populatedplaces!$M:$M)</f>
        <v>C4231</v>
      </c>
      <c r="P358">
        <f>_xlfn.XLOOKUP(E358,[1]syr_populatedplaces!$L:$L,[1]syr_populatedplaces!$AD:$AD)</f>
        <v>35.903076169999999</v>
      </c>
      <c r="Q358">
        <f>_xlfn.XLOOKUP(E358,[1]syr_populatedplaces!$L:$L,[1]syr_populatedplaces!$AC:$AC)</f>
        <v>36.191101070000002</v>
      </c>
    </row>
    <row r="359" spans="2:17">
      <c r="B359" t="s">
        <v>928</v>
      </c>
      <c r="C359" t="s">
        <v>127</v>
      </c>
      <c r="D359" t="s">
        <v>183</v>
      </c>
      <c r="E359" t="s">
        <v>183</v>
      </c>
      <c r="F359" t="s">
        <v>930</v>
      </c>
      <c r="G359" t="s">
        <v>975</v>
      </c>
      <c r="H359" t="s">
        <v>976</v>
      </c>
      <c r="I359">
        <v>1</v>
      </c>
      <c r="J359" t="s">
        <v>99</v>
      </c>
      <c r="K359" t="s">
        <v>977</v>
      </c>
      <c r="L359" t="s">
        <v>978</v>
      </c>
      <c r="M359" t="s">
        <v>27</v>
      </c>
      <c r="N359" t="s">
        <v>99</v>
      </c>
      <c r="O359" t="str">
        <f>_xlfn.XLOOKUP(E359,[1]syr_populatedplaces!$L:$L,[1]syr_populatedplaces!$M:$M)</f>
        <v>C4231</v>
      </c>
      <c r="P359">
        <f>_xlfn.XLOOKUP(E359,[1]syr_populatedplaces!$L:$L,[1]syr_populatedplaces!$AD:$AD)</f>
        <v>35.903076169999999</v>
      </c>
      <c r="Q359">
        <f>_xlfn.XLOOKUP(E359,[1]syr_populatedplaces!$L:$L,[1]syr_populatedplaces!$AC:$AC)</f>
        <v>36.191101070000002</v>
      </c>
    </row>
    <row r="360" spans="2:17">
      <c r="B360" t="s">
        <v>928</v>
      </c>
      <c r="C360" t="s">
        <v>127</v>
      </c>
      <c r="D360" t="s">
        <v>183</v>
      </c>
      <c r="E360" t="s">
        <v>183</v>
      </c>
      <c r="F360" t="s">
        <v>930</v>
      </c>
      <c r="G360" t="s">
        <v>979</v>
      </c>
      <c r="H360" t="s">
        <v>980</v>
      </c>
      <c r="I360">
        <v>1</v>
      </c>
      <c r="J360" t="s">
        <v>108</v>
      </c>
      <c r="K360" t="s">
        <v>981</v>
      </c>
      <c r="L360" t="s">
        <v>982</v>
      </c>
      <c r="M360" t="s">
        <v>983</v>
      </c>
      <c r="N360" t="s">
        <v>108</v>
      </c>
      <c r="O360" t="str">
        <f>_xlfn.XLOOKUP(E360,[1]syr_populatedplaces!$L:$L,[1]syr_populatedplaces!$M:$M)</f>
        <v>C4231</v>
      </c>
      <c r="P360">
        <f>_xlfn.XLOOKUP(E360,[1]syr_populatedplaces!$L:$L,[1]syr_populatedplaces!$AD:$AD)</f>
        <v>35.903076169999999</v>
      </c>
      <c r="Q360">
        <f>_xlfn.XLOOKUP(E360,[1]syr_populatedplaces!$L:$L,[1]syr_populatedplaces!$AC:$AC)</f>
        <v>36.191101070000002</v>
      </c>
    </row>
    <row r="361" spans="2:17">
      <c r="B361" t="s">
        <v>928</v>
      </c>
      <c r="C361" t="s">
        <v>127</v>
      </c>
      <c r="D361" t="s">
        <v>183</v>
      </c>
      <c r="E361" t="s">
        <v>183</v>
      </c>
      <c r="F361" t="s">
        <v>930</v>
      </c>
      <c r="G361" t="s">
        <v>979</v>
      </c>
      <c r="H361" t="s">
        <v>980</v>
      </c>
      <c r="I361">
        <v>1</v>
      </c>
      <c r="J361" t="s">
        <v>108</v>
      </c>
      <c r="K361" t="s">
        <v>981</v>
      </c>
      <c r="L361" t="s">
        <v>982</v>
      </c>
      <c r="M361" t="s">
        <v>984</v>
      </c>
      <c r="N361" t="s">
        <v>108</v>
      </c>
      <c r="O361" t="str">
        <f>_xlfn.XLOOKUP(E361,[1]syr_populatedplaces!$L:$L,[1]syr_populatedplaces!$M:$M)</f>
        <v>C4231</v>
      </c>
      <c r="P361">
        <f>_xlfn.XLOOKUP(E361,[1]syr_populatedplaces!$L:$L,[1]syr_populatedplaces!$AD:$AD)</f>
        <v>35.903076169999999</v>
      </c>
      <c r="Q361">
        <f>_xlfn.XLOOKUP(E361,[1]syr_populatedplaces!$L:$L,[1]syr_populatedplaces!$AC:$AC)</f>
        <v>36.191101070000002</v>
      </c>
    </row>
    <row r="362" spans="2:17" ht="15">
      <c r="B362" t="s">
        <v>928</v>
      </c>
      <c r="C362" t="s">
        <v>127</v>
      </c>
      <c r="D362" t="s">
        <v>985</v>
      </c>
      <c r="E362" t="s">
        <v>986</v>
      </c>
      <c r="F362" t="s">
        <v>930</v>
      </c>
      <c r="G362" t="s">
        <v>987</v>
      </c>
      <c r="H362" t="s">
        <v>422</v>
      </c>
      <c r="I362">
        <v>1</v>
      </c>
      <c r="J362" t="s">
        <v>883</v>
      </c>
      <c r="K362" t="s">
        <v>988</v>
      </c>
      <c r="L362" t="s">
        <v>989</v>
      </c>
      <c r="M362" t="s">
        <v>990</v>
      </c>
      <c r="N362" t="s">
        <v>387</v>
      </c>
      <c r="O362" t="e">
        <f>_xlfn.XLOOKUP(E362,[1]syr_populatedplaces!$L:$L,[1]syr_populatedplaces!$M:$M)</f>
        <v>#N/A</v>
      </c>
      <c r="P362" s="4" t="e">
        <f>_xlfn.XLOOKUP(الجدول1[[#This Row],[القرية– البلدة]],[1]syr_populatedplaces!$L:$L,[1]syr_populatedplaces!$AD:$AD)</f>
        <v>#N/A</v>
      </c>
      <c r="Q362" s="4" t="e">
        <f>_xlfn.XLOOKUP(الجدول1[[#This Row],[القرية– البلدة]],[1]syr_populatedplaces!$L:$L,[1]syr_populatedplaces!$AC:$AC)</f>
        <v>#N/A</v>
      </c>
    </row>
    <row r="363" spans="2:17" ht="15">
      <c r="B363" t="s">
        <v>928</v>
      </c>
      <c r="C363" t="s">
        <v>127</v>
      </c>
      <c r="D363" t="s">
        <v>985</v>
      </c>
      <c r="E363" t="s">
        <v>991</v>
      </c>
      <c r="F363" t="s">
        <v>930</v>
      </c>
      <c r="G363" t="s">
        <v>987</v>
      </c>
      <c r="H363" t="s">
        <v>422</v>
      </c>
      <c r="I363">
        <v>1</v>
      </c>
      <c r="J363" t="s">
        <v>883</v>
      </c>
      <c r="K363" t="s">
        <v>988</v>
      </c>
      <c r="L363" t="s">
        <v>989</v>
      </c>
      <c r="M363" t="s">
        <v>990</v>
      </c>
      <c r="N363" t="s">
        <v>387</v>
      </c>
      <c r="O363" t="e">
        <f>_xlfn.XLOOKUP(E363,[1]syr_populatedplaces!$L:$L,[1]syr_populatedplaces!$M:$M)</f>
        <v>#N/A</v>
      </c>
      <c r="P363" s="4" t="e">
        <f>_xlfn.XLOOKUP(الجدول1[[#This Row],[القرية– البلدة]],[1]syr_populatedplaces!$L:$L,[1]syr_populatedplaces!$AD:$AD)</f>
        <v>#N/A</v>
      </c>
      <c r="Q363" s="4" t="e">
        <f>_xlfn.XLOOKUP(الجدول1[[#This Row],[القرية– البلدة]],[1]syr_populatedplaces!$L:$L,[1]syr_populatedplaces!$AC:$AC)</f>
        <v>#N/A</v>
      </c>
    </row>
    <row r="364" spans="2:17" ht="15">
      <c r="B364" t="s">
        <v>928</v>
      </c>
      <c r="C364" t="s">
        <v>127</v>
      </c>
      <c r="D364" t="s">
        <v>985</v>
      </c>
      <c r="E364" t="s">
        <v>992</v>
      </c>
      <c r="F364" t="s">
        <v>930</v>
      </c>
      <c r="G364" t="s">
        <v>987</v>
      </c>
      <c r="H364" t="s">
        <v>422</v>
      </c>
      <c r="I364">
        <v>1</v>
      </c>
      <c r="J364" t="s">
        <v>883</v>
      </c>
      <c r="K364" t="s">
        <v>988</v>
      </c>
      <c r="L364" t="s">
        <v>989</v>
      </c>
      <c r="M364" t="s">
        <v>990</v>
      </c>
      <c r="N364" t="s">
        <v>387</v>
      </c>
      <c r="O364" t="e">
        <f>_xlfn.XLOOKUP(E364,[1]syr_populatedplaces!$L:$L,[1]syr_populatedplaces!$M:$M)</f>
        <v>#N/A</v>
      </c>
      <c r="P364" s="4" t="e">
        <f>_xlfn.XLOOKUP(الجدول1[[#This Row],[القرية– البلدة]],[1]syr_populatedplaces!$L:$L,[1]syr_populatedplaces!$AD:$AD)</f>
        <v>#N/A</v>
      </c>
      <c r="Q364" s="4" t="e">
        <f>_xlfn.XLOOKUP(الجدول1[[#This Row],[القرية– البلدة]],[1]syr_populatedplaces!$L:$L,[1]syr_populatedplaces!$AC:$AC)</f>
        <v>#N/A</v>
      </c>
    </row>
    <row r="365" spans="2:17" ht="15">
      <c r="B365" t="s">
        <v>928</v>
      </c>
      <c r="C365" t="s">
        <v>127</v>
      </c>
      <c r="D365" t="s">
        <v>985</v>
      </c>
      <c r="E365" t="s">
        <v>993</v>
      </c>
      <c r="F365" t="s">
        <v>930</v>
      </c>
      <c r="G365" t="s">
        <v>987</v>
      </c>
      <c r="H365" t="s">
        <v>422</v>
      </c>
      <c r="I365">
        <v>1</v>
      </c>
      <c r="J365" t="s">
        <v>883</v>
      </c>
      <c r="K365" t="s">
        <v>988</v>
      </c>
      <c r="L365" t="s">
        <v>989</v>
      </c>
      <c r="M365" t="s">
        <v>990</v>
      </c>
      <c r="N365" t="s">
        <v>387</v>
      </c>
      <c r="O365" t="e">
        <f>_xlfn.XLOOKUP(E365,[1]syr_populatedplaces!$L:$L,[1]syr_populatedplaces!$M:$M)</f>
        <v>#N/A</v>
      </c>
      <c r="P365" s="4" t="e">
        <f>_xlfn.XLOOKUP(الجدول1[[#This Row],[القرية– البلدة]],[1]syr_populatedplaces!$L:$L,[1]syr_populatedplaces!$AD:$AD)</f>
        <v>#N/A</v>
      </c>
      <c r="Q365" s="4" t="e">
        <f>_xlfn.XLOOKUP(الجدول1[[#This Row],[القرية– البلدة]],[1]syr_populatedplaces!$L:$L,[1]syr_populatedplaces!$AC:$AC)</f>
        <v>#N/A</v>
      </c>
    </row>
    <row r="366" spans="2:17" ht="15">
      <c r="B366" t="s">
        <v>928</v>
      </c>
      <c r="C366" t="s">
        <v>127</v>
      </c>
      <c r="D366" t="s">
        <v>985</v>
      </c>
      <c r="E366" t="s">
        <v>994</v>
      </c>
      <c r="F366" t="s">
        <v>930</v>
      </c>
      <c r="G366" t="s">
        <v>987</v>
      </c>
      <c r="H366" t="s">
        <v>422</v>
      </c>
      <c r="I366">
        <v>1</v>
      </c>
      <c r="J366" t="s">
        <v>883</v>
      </c>
      <c r="K366" t="s">
        <v>988</v>
      </c>
      <c r="L366" t="s">
        <v>989</v>
      </c>
      <c r="M366" t="s">
        <v>990</v>
      </c>
      <c r="N366" t="s">
        <v>387</v>
      </c>
      <c r="O366" t="e">
        <f>_xlfn.XLOOKUP(E366,[1]syr_populatedplaces!$L:$L,[1]syr_populatedplaces!$M:$M)</f>
        <v>#N/A</v>
      </c>
      <c r="P366" s="4" t="e">
        <f>_xlfn.XLOOKUP(الجدول1[[#This Row],[القرية– البلدة]],[1]syr_populatedplaces!$L:$L,[1]syr_populatedplaces!$AD:$AD)</f>
        <v>#N/A</v>
      </c>
      <c r="Q366" s="4" t="e">
        <f>_xlfn.XLOOKUP(الجدول1[[#This Row],[القرية– البلدة]],[1]syr_populatedplaces!$L:$L,[1]syr_populatedplaces!$AC:$AC)</f>
        <v>#N/A</v>
      </c>
    </row>
    <row r="367" spans="2:17" ht="15">
      <c r="B367" t="s">
        <v>928</v>
      </c>
      <c r="C367" t="s">
        <v>127</v>
      </c>
      <c r="D367" t="s">
        <v>985</v>
      </c>
      <c r="E367" t="s">
        <v>995</v>
      </c>
      <c r="F367" t="s">
        <v>930</v>
      </c>
      <c r="G367" t="s">
        <v>987</v>
      </c>
      <c r="H367" t="s">
        <v>422</v>
      </c>
      <c r="I367">
        <v>1</v>
      </c>
      <c r="J367" t="s">
        <v>883</v>
      </c>
      <c r="K367" t="s">
        <v>988</v>
      </c>
      <c r="L367" t="s">
        <v>989</v>
      </c>
      <c r="M367" t="s">
        <v>990</v>
      </c>
      <c r="N367" t="s">
        <v>387</v>
      </c>
      <c r="O367" t="e">
        <f>_xlfn.XLOOKUP(E367,[1]syr_populatedplaces!$L:$L,[1]syr_populatedplaces!$M:$M)</f>
        <v>#N/A</v>
      </c>
      <c r="P367" s="4" t="e">
        <f>_xlfn.XLOOKUP(الجدول1[[#This Row],[القرية– البلدة]],[1]syr_populatedplaces!$L:$L,[1]syr_populatedplaces!$AD:$AD)</f>
        <v>#N/A</v>
      </c>
      <c r="Q367" s="4" t="e">
        <f>_xlfn.XLOOKUP(الجدول1[[#This Row],[القرية– البلدة]],[1]syr_populatedplaces!$L:$L,[1]syr_populatedplaces!$AC:$AC)</f>
        <v>#N/A</v>
      </c>
    </row>
    <row r="368" spans="2:17" ht="15">
      <c r="B368" t="s">
        <v>928</v>
      </c>
      <c r="C368" t="s">
        <v>127</v>
      </c>
      <c r="D368" t="s">
        <v>985</v>
      </c>
      <c r="E368" t="s">
        <v>996</v>
      </c>
      <c r="F368" t="s">
        <v>930</v>
      </c>
      <c r="G368" t="s">
        <v>987</v>
      </c>
      <c r="H368" t="s">
        <v>422</v>
      </c>
      <c r="I368">
        <v>1</v>
      </c>
      <c r="J368" t="s">
        <v>883</v>
      </c>
      <c r="K368" t="s">
        <v>988</v>
      </c>
      <c r="L368" t="s">
        <v>989</v>
      </c>
      <c r="M368" t="s">
        <v>990</v>
      </c>
      <c r="N368" t="s">
        <v>387</v>
      </c>
      <c r="O368" t="e">
        <f>_xlfn.XLOOKUP(E368,[1]syr_populatedplaces!$L:$L,[1]syr_populatedplaces!$M:$M)</f>
        <v>#N/A</v>
      </c>
      <c r="P368" s="4" t="e">
        <f>_xlfn.XLOOKUP(الجدول1[[#This Row],[القرية– البلدة]],[1]syr_populatedplaces!$L:$L,[1]syr_populatedplaces!$AD:$AD)</f>
        <v>#N/A</v>
      </c>
      <c r="Q368" s="4" t="e">
        <f>_xlfn.XLOOKUP(الجدول1[[#This Row],[القرية– البلدة]],[1]syr_populatedplaces!$L:$L,[1]syr_populatedplaces!$AC:$AC)</f>
        <v>#N/A</v>
      </c>
    </row>
    <row r="369" spans="2:17" ht="15">
      <c r="B369" t="s">
        <v>928</v>
      </c>
      <c r="C369" t="s">
        <v>127</v>
      </c>
      <c r="D369" t="s">
        <v>985</v>
      </c>
      <c r="E369" t="s">
        <v>997</v>
      </c>
      <c r="F369" t="s">
        <v>930</v>
      </c>
      <c r="G369" t="s">
        <v>987</v>
      </c>
      <c r="H369" t="s">
        <v>422</v>
      </c>
      <c r="I369">
        <v>1</v>
      </c>
      <c r="J369" t="s">
        <v>883</v>
      </c>
      <c r="K369" t="s">
        <v>988</v>
      </c>
      <c r="L369" t="s">
        <v>989</v>
      </c>
      <c r="M369" t="s">
        <v>990</v>
      </c>
      <c r="N369" t="s">
        <v>387</v>
      </c>
      <c r="O369" t="e">
        <f>_xlfn.XLOOKUP(E369,[1]syr_populatedplaces!$L:$L,[1]syr_populatedplaces!$M:$M)</f>
        <v>#N/A</v>
      </c>
      <c r="P369" s="4" t="e">
        <f>_xlfn.XLOOKUP(الجدول1[[#This Row],[القرية– البلدة]],[1]syr_populatedplaces!$L:$L,[1]syr_populatedplaces!$AD:$AD)</f>
        <v>#N/A</v>
      </c>
      <c r="Q369" s="4" t="e">
        <f>_xlfn.XLOOKUP(الجدول1[[#This Row],[القرية– البلدة]],[1]syr_populatedplaces!$L:$L,[1]syr_populatedplaces!$AC:$AC)</f>
        <v>#N/A</v>
      </c>
    </row>
    <row r="370" spans="2:17" ht="15">
      <c r="B370" t="s">
        <v>928</v>
      </c>
      <c r="C370" t="s">
        <v>127</v>
      </c>
      <c r="D370" t="s">
        <v>985</v>
      </c>
      <c r="E370" t="s">
        <v>998</v>
      </c>
      <c r="F370" t="s">
        <v>930</v>
      </c>
      <c r="G370" t="s">
        <v>987</v>
      </c>
      <c r="H370" t="s">
        <v>422</v>
      </c>
      <c r="I370">
        <v>1</v>
      </c>
      <c r="J370" t="s">
        <v>883</v>
      </c>
      <c r="K370" t="s">
        <v>988</v>
      </c>
      <c r="L370" t="s">
        <v>989</v>
      </c>
      <c r="M370" t="s">
        <v>990</v>
      </c>
      <c r="N370" t="s">
        <v>387</v>
      </c>
      <c r="O370" t="e">
        <f>_xlfn.XLOOKUP(E370,[1]syr_populatedplaces!$L:$L,[1]syr_populatedplaces!$M:$M)</f>
        <v>#N/A</v>
      </c>
      <c r="P370" s="4" t="e">
        <f>_xlfn.XLOOKUP(الجدول1[[#This Row],[القرية– البلدة]],[1]syr_populatedplaces!$L:$L,[1]syr_populatedplaces!$AD:$AD)</f>
        <v>#N/A</v>
      </c>
      <c r="Q370" s="4" t="e">
        <f>_xlfn.XLOOKUP(الجدول1[[#This Row],[القرية– البلدة]],[1]syr_populatedplaces!$L:$L,[1]syr_populatedplaces!$AC:$AC)</f>
        <v>#N/A</v>
      </c>
    </row>
    <row r="371" spans="2:17" ht="15">
      <c r="B371" t="s">
        <v>928</v>
      </c>
      <c r="C371" t="s">
        <v>127</v>
      </c>
      <c r="D371" t="s">
        <v>985</v>
      </c>
      <c r="E371" t="s">
        <v>999</v>
      </c>
      <c r="F371" t="s">
        <v>930</v>
      </c>
      <c r="G371" t="s">
        <v>987</v>
      </c>
      <c r="H371" t="s">
        <v>422</v>
      </c>
      <c r="I371">
        <v>1</v>
      </c>
      <c r="J371" t="s">
        <v>883</v>
      </c>
      <c r="K371" t="s">
        <v>988</v>
      </c>
      <c r="L371" t="s">
        <v>989</v>
      </c>
      <c r="M371" t="s">
        <v>990</v>
      </c>
      <c r="N371" t="s">
        <v>387</v>
      </c>
      <c r="O371" t="e">
        <f>_xlfn.XLOOKUP(E371,[1]syr_populatedplaces!$L:$L,[1]syr_populatedplaces!$M:$M)</f>
        <v>#N/A</v>
      </c>
      <c r="P371" s="4" t="e">
        <f>_xlfn.XLOOKUP(الجدول1[[#This Row],[القرية– البلدة]],[1]syr_populatedplaces!$L:$L,[1]syr_populatedplaces!$AD:$AD)</f>
        <v>#N/A</v>
      </c>
      <c r="Q371" s="4" t="e">
        <f>_xlfn.XLOOKUP(الجدول1[[#This Row],[القرية– البلدة]],[1]syr_populatedplaces!$L:$L,[1]syr_populatedplaces!$AC:$AC)</f>
        <v>#N/A</v>
      </c>
    </row>
    <row r="372" spans="2:17" ht="15">
      <c r="B372" t="s">
        <v>928</v>
      </c>
      <c r="C372" t="s">
        <v>127</v>
      </c>
      <c r="D372" t="s">
        <v>985</v>
      </c>
      <c r="E372" t="s">
        <v>1000</v>
      </c>
      <c r="F372" t="s">
        <v>930</v>
      </c>
      <c r="G372" t="s">
        <v>987</v>
      </c>
      <c r="H372" t="s">
        <v>422</v>
      </c>
      <c r="I372">
        <v>1</v>
      </c>
      <c r="J372" t="s">
        <v>883</v>
      </c>
      <c r="K372" t="s">
        <v>988</v>
      </c>
      <c r="L372" t="s">
        <v>989</v>
      </c>
      <c r="M372" t="s">
        <v>990</v>
      </c>
      <c r="N372" t="s">
        <v>387</v>
      </c>
      <c r="O372" t="e">
        <f>_xlfn.XLOOKUP(E372,[1]syr_populatedplaces!$L:$L,[1]syr_populatedplaces!$M:$M)</f>
        <v>#N/A</v>
      </c>
      <c r="P372" s="4" t="e">
        <f>_xlfn.XLOOKUP(الجدول1[[#This Row],[القرية– البلدة]],[1]syr_populatedplaces!$L:$L,[1]syr_populatedplaces!$AD:$AD)</f>
        <v>#N/A</v>
      </c>
      <c r="Q372" s="4" t="e">
        <f>_xlfn.XLOOKUP(الجدول1[[#This Row],[القرية– البلدة]],[1]syr_populatedplaces!$L:$L,[1]syr_populatedplaces!$AC:$AC)</f>
        <v>#N/A</v>
      </c>
    </row>
    <row r="373" spans="2:17" ht="15">
      <c r="B373" t="s">
        <v>928</v>
      </c>
      <c r="C373" t="s">
        <v>127</v>
      </c>
      <c r="D373" t="s">
        <v>985</v>
      </c>
      <c r="E373" t="s">
        <v>1001</v>
      </c>
      <c r="F373" t="s">
        <v>930</v>
      </c>
      <c r="G373" t="s">
        <v>987</v>
      </c>
      <c r="H373" t="s">
        <v>422</v>
      </c>
      <c r="I373">
        <v>1</v>
      </c>
      <c r="J373" t="s">
        <v>883</v>
      </c>
      <c r="K373" t="s">
        <v>988</v>
      </c>
      <c r="L373" t="s">
        <v>989</v>
      </c>
      <c r="M373" t="s">
        <v>990</v>
      </c>
      <c r="N373" t="s">
        <v>387</v>
      </c>
      <c r="O373" t="e">
        <f>_xlfn.XLOOKUP(E373,[1]syr_populatedplaces!$L:$L,[1]syr_populatedplaces!$M:$M)</f>
        <v>#N/A</v>
      </c>
      <c r="P373" s="4" t="e">
        <f>_xlfn.XLOOKUP(الجدول1[[#This Row],[القرية– البلدة]],[1]syr_populatedplaces!$L:$L,[1]syr_populatedplaces!$AD:$AD)</f>
        <v>#N/A</v>
      </c>
      <c r="Q373" s="4" t="e">
        <f>_xlfn.XLOOKUP(الجدول1[[#This Row],[القرية– البلدة]],[1]syr_populatedplaces!$L:$L,[1]syr_populatedplaces!$AC:$AC)</f>
        <v>#N/A</v>
      </c>
    </row>
    <row r="374" spans="2:17" ht="15">
      <c r="B374" t="s">
        <v>928</v>
      </c>
      <c r="C374" t="s">
        <v>127</v>
      </c>
      <c r="D374" t="s">
        <v>985</v>
      </c>
      <c r="E374" t="s">
        <v>1002</v>
      </c>
      <c r="F374" t="s">
        <v>930</v>
      </c>
      <c r="G374" t="s">
        <v>987</v>
      </c>
      <c r="H374" t="s">
        <v>422</v>
      </c>
      <c r="I374">
        <v>1</v>
      </c>
      <c r="J374" t="s">
        <v>883</v>
      </c>
      <c r="K374" t="s">
        <v>988</v>
      </c>
      <c r="L374" t="s">
        <v>989</v>
      </c>
      <c r="M374" t="s">
        <v>990</v>
      </c>
      <c r="N374" t="s">
        <v>387</v>
      </c>
      <c r="O374" t="e">
        <f>_xlfn.XLOOKUP(E374,[1]syr_populatedplaces!$L:$L,[1]syr_populatedplaces!$M:$M)</f>
        <v>#N/A</v>
      </c>
      <c r="P374" s="4" t="e">
        <f>_xlfn.XLOOKUP(الجدول1[[#This Row],[القرية– البلدة]],[1]syr_populatedplaces!$L:$L,[1]syr_populatedplaces!$AD:$AD)</f>
        <v>#N/A</v>
      </c>
      <c r="Q374" s="4" t="e">
        <f>_xlfn.XLOOKUP(الجدول1[[#This Row],[القرية– البلدة]],[1]syr_populatedplaces!$L:$L,[1]syr_populatedplaces!$AC:$AC)</f>
        <v>#N/A</v>
      </c>
    </row>
    <row r="375" spans="2:17" ht="15">
      <c r="B375" t="s">
        <v>928</v>
      </c>
      <c r="C375" t="s">
        <v>127</v>
      </c>
      <c r="D375" t="s">
        <v>985</v>
      </c>
      <c r="E375" t="s">
        <v>1003</v>
      </c>
      <c r="F375" t="s">
        <v>930</v>
      </c>
      <c r="G375" t="s">
        <v>987</v>
      </c>
      <c r="H375" t="s">
        <v>422</v>
      </c>
      <c r="I375">
        <v>1</v>
      </c>
      <c r="J375" t="s">
        <v>883</v>
      </c>
      <c r="K375" t="s">
        <v>988</v>
      </c>
      <c r="L375" t="s">
        <v>989</v>
      </c>
      <c r="M375" t="s">
        <v>990</v>
      </c>
      <c r="N375" t="s">
        <v>387</v>
      </c>
      <c r="O375" t="e">
        <f>_xlfn.XLOOKUP(E375,[1]syr_populatedplaces!$L:$L,[1]syr_populatedplaces!$M:$M)</f>
        <v>#N/A</v>
      </c>
      <c r="P375" s="4" t="e">
        <f>_xlfn.XLOOKUP(الجدول1[[#This Row],[القرية– البلدة]],[1]syr_populatedplaces!$L:$L,[1]syr_populatedplaces!$AD:$AD)</f>
        <v>#N/A</v>
      </c>
      <c r="Q375" s="4" t="e">
        <f>_xlfn.XLOOKUP(الجدول1[[#This Row],[القرية– البلدة]],[1]syr_populatedplaces!$L:$L,[1]syr_populatedplaces!$AC:$AC)</f>
        <v>#N/A</v>
      </c>
    </row>
    <row r="376" spans="2:17" ht="15">
      <c r="B376" t="s">
        <v>928</v>
      </c>
      <c r="C376" t="s">
        <v>127</v>
      </c>
      <c r="D376" t="s">
        <v>985</v>
      </c>
      <c r="E376" t="s">
        <v>1004</v>
      </c>
      <c r="F376" t="s">
        <v>930</v>
      </c>
      <c r="G376" t="s">
        <v>987</v>
      </c>
      <c r="H376" t="s">
        <v>422</v>
      </c>
      <c r="I376">
        <v>1</v>
      </c>
      <c r="J376" t="s">
        <v>883</v>
      </c>
      <c r="K376" t="s">
        <v>988</v>
      </c>
      <c r="L376" t="s">
        <v>989</v>
      </c>
      <c r="M376" t="s">
        <v>990</v>
      </c>
      <c r="N376" t="s">
        <v>387</v>
      </c>
      <c r="O376" t="e">
        <f>_xlfn.XLOOKUP(E376,[1]syr_populatedplaces!$L:$L,[1]syr_populatedplaces!$M:$M)</f>
        <v>#N/A</v>
      </c>
      <c r="P376" s="4" t="e">
        <f>_xlfn.XLOOKUP(الجدول1[[#This Row],[القرية– البلدة]],[1]syr_populatedplaces!$L:$L,[1]syr_populatedplaces!$AD:$AD)</f>
        <v>#N/A</v>
      </c>
      <c r="Q376" s="4" t="e">
        <f>_xlfn.XLOOKUP(الجدول1[[#This Row],[القرية– البلدة]],[1]syr_populatedplaces!$L:$L,[1]syr_populatedplaces!$AC:$AC)</f>
        <v>#N/A</v>
      </c>
    </row>
    <row r="377" spans="2:17" ht="15">
      <c r="B377" t="s">
        <v>928</v>
      </c>
      <c r="C377" t="s">
        <v>127</v>
      </c>
      <c r="D377" t="s">
        <v>985</v>
      </c>
      <c r="E377" t="s">
        <v>1005</v>
      </c>
      <c r="F377" t="s">
        <v>930</v>
      </c>
      <c r="G377" t="s">
        <v>987</v>
      </c>
      <c r="H377" t="s">
        <v>422</v>
      </c>
      <c r="I377">
        <v>1</v>
      </c>
      <c r="J377" t="s">
        <v>883</v>
      </c>
      <c r="K377" t="s">
        <v>988</v>
      </c>
      <c r="L377" t="s">
        <v>989</v>
      </c>
      <c r="M377" t="s">
        <v>990</v>
      </c>
      <c r="N377" t="s">
        <v>387</v>
      </c>
      <c r="O377" t="e">
        <f>_xlfn.XLOOKUP(E377,[1]syr_populatedplaces!$L:$L,[1]syr_populatedplaces!$M:$M)</f>
        <v>#N/A</v>
      </c>
      <c r="P377" s="4" t="e">
        <f>_xlfn.XLOOKUP(الجدول1[[#This Row],[القرية– البلدة]],[1]syr_populatedplaces!$L:$L,[1]syr_populatedplaces!$AD:$AD)</f>
        <v>#N/A</v>
      </c>
      <c r="Q377" s="4" t="e">
        <f>_xlfn.XLOOKUP(الجدول1[[#This Row],[القرية– البلدة]],[1]syr_populatedplaces!$L:$L,[1]syr_populatedplaces!$AC:$AC)</f>
        <v>#N/A</v>
      </c>
    </row>
    <row r="378" spans="2:17" ht="15">
      <c r="B378" t="s">
        <v>928</v>
      </c>
      <c r="C378" t="s">
        <v>127</v>
      </c>
      <c r="D378" t="s">
        <v>985</v>
      </c>
      <c r="E378" t="s">
        <v>1006</v>
      </c>
      <c r="F378" t="s">
        <v>930</v>
      </c>
      <c r="G378" t="s">
        <v>987</v>
      </c>
      <c r="H378" t="s">
        <v>422</v>
      </c>
      <c r="I378">
        <v>1</v>
      </c>
      <c r="J378" t="s">
        <v>883</v>
      </c>
      <c r="K378" t="s">
        <v>988</v>
      </c>
      <c r="L378" t="s">
        <v>989</v>
      </c>
      <c r="M378" t="s">
        <v>990</v>
      </c>
      <c r="N378" t="s">
        <v>387</v>
      </c>
      <c r="O378" t="e">
        <f>_xlfn.XLOOKUP(E378,[1]syr_populatedplaces!$L:$L,[1]syr_populatedplaces!$M:$M)</f>
        <v>#N/A</v>
      </c>
      <c r="P378" s="4" t="e">
        <f>_xlfn.XLOOKUP(الجدول1[[#This Row],[القرية– البلدة]],[1]syr_populatedplaces!$L:$L,[1]syr_populatedplaces!$AD:$AD)</f>
        <v>#N/A</v>
      </c>
      <c r="Q378" s="4" t="e">
        <f>_xlfn.XLOOKUP(الجدول1[[#This Row],[القرية– البلدة]],[1]syr_populatedplaces!$L:$L,[1]syr_populatedplaces!$AC:$AC)</f>
        <v>#N/A</v>
      </c>
    </row>
    <row r="379" spans="2:17" ht="15">
      <c r="B379" t="s">
        <v>928</v>
      </c>
      <c r="C379" t="s">
        <v>127</v>
      </c>
      <c r="D379" t="s">
        <v>985</v>
      </c>
      <c r="E379" t="s">
        <v>1007</v>
      </c>
      <c r="F379" t="s">
        <v>930</v>
      </c>
      <c r="G379" t="s">
        <v>987</v>
      </c>
      <c r="H379" t="s">
        <v>422</v>
      </c>
      <c r="I379">
        <v>1</v>
      </c>
      <c r="J379" t="s">
        <v>883</v>
      </c>
      <c r="K379" t="s">
        <v>988</v>
      </c>
      <c r="L379" t="s">
        <v>989</v>
      </c>
      <c r="M379" t="s">
        <v>990</v>
      </c>
      <c r="N379" t="s">
        <v>387</v>
      </c>
      <c r="O379" t="e">
        <f>_xlfn.XLOOKUP(E379,[1]syr_populatedplaces!$L:$L,[1]syr_populatedplaces!$M:$M)</f>
        <v>#N/A</v>
      </c>
      <c r="P379" s="4" t="e">
        <f>_xlfn.XLOOKUP(الجدول1[[#This Row],[القرية– البلدة]],[1]syr_populatedplaces!$L:$L,[1]syr_populatedplaces!$AD:$AD)</f>
        <v>#N/A</v>
      </c>
      <c r="Q379" s="4" t="e">
        <f>_xlfn.XLOOKUP(الجدول1[[#This Row],[القرية– البلدة]],[1]syr_populatedplaces!$L:$L,[1]syr_populatedplaces!$AC:$AC)</f>
        <v>#N/A</v>
      </c>
    </row>
    <row r="380" spans="2:17">
      <c r="B380" t="s">
        <v>614</v>
      </c>
      <c r="C380" t="s">
        <v>127</v>
      </c>
      <c r="D380" t="s">
        <v>128</v>
      </c>
      <c r="E380" t="s">
        <v>439</v>
      </c>
      <c r="F380" t="s">
        <v>346</v>
      </c>
      <c r="G380" t="s">
        <v>347</v>
      </c>
      <c r="H380" t="s">
        <v>124</v>
      </c>
      <c r="I380">
        <v>1</v>
      </c>
      <c r="J380" t="s">
        <v>108</v>
      </c>
      <c r="K380" t="s">
        <v>689</v>
      </c>
      <c r="L380" t="s">
        <v>690</v>
      </c>
      <c r="M380" t="s">
        <v>27</v>
      </c>
      <c r="N380" t="s">
        <v>387</v>
      </c>
      <c r="O380" t="str">
        <f>_xlfn.XLOOKUP(E380,[1]syr_populatedplaces!$L:$L,[1]syr_populatedplaces!$M:$M)</f>
        <v>C4278</v>
      </c>
      <c r="P380">
        <f>_xlfn.XLOOKUP(E380,[1]syr_populatedplaces!$L:$L,[1]syr_populatedplaces!$AD:$AD)</f>
        <v>35.81408691</v>
      </c>
      <c r="Q380">
        <f>_xlfn.XLOOKUP(E380,[1]syr_populatedplaces!$L:$L,[1]syr_populatedplaces!$AC:$AC)</f>
        <v>36.61029053</v>
      </c>
    </row>
    <row r="381" spans="2:17" ht="15">
      <c r="B381" t="s">
        <v>928</v>
      </c>
      <c r="C381" t="s">
        <v>127</v>
      </c>
      <c r="D381" t="s">
        <v>985</v>
      </c>
      <c r="E381" t="s">
        <v>1008</v>
      </c>
      <c r="F381" t="s">
        <v>930</v>
      </c>
      <c r="G381" t="s">
        <v>987</v>
      </c>
      <c r="H381" t="s">
        <v>422</v>
      </c>
      <c r="I381">
        <v>1</v>
      </c>
      <c r="J381" t="s">
        <v>883</v>
      </c>
      <c r="K381" t="s">
        <v>988</v>
      </c>
      <c r="L381" t="s">
        <v>989</v>
      </c>
      <c r="M381" t="s">
        <v>990</v>
      </c>
      <c r="N381" t="s">
        <v>387</v>
      </c>
      <c r="O381" t="e">
        <f>_xlfn.XLOOKUP(E381,[1]syr_populatedplaces!$L:$L,[1]syr_populatedplaces!$M:$M)</f>
        <v>#N/A</v>
      </c>
      <c r="P381" s="4" t="e">
        <f>_xlfn.XLOOKUP(الجدول1[[#This Row],[القرية– البلدة]],[1]syr_populatedplaces!$L:$L,[1]syr_populatedplaces!$AD:$AD)</f>
        <v>#N/A</v>
      </c>
      <c r="Q381" s="4" t="e">
        <f>_xlfn.XLOOKUP(الجدول1[[#This Row],[القرية– البلدة]],[1]syr_populatedplaces!$L:$L,[1]syr_populatedplaces!$AC:$AC)</f>
        <v>#N/A</v>
      </c>
    </row>
    <row r="382" spans="2:17">
      <c r="B382" t="s">
        <v>614</v>
      </c>
      <c r="C382" t="s">
        <v>127</v>
      </c>
      <c r="D382" t="s">
        <v>128</v>
      </c>
      <c r="E382" t="s">
        <v>158</v>
      </c>
      <c r="F382" t="s">
        <v>346</v>
      </c>
      <c r="G382" t="s">
        <v>347</v>
      </c>
      <c r="H382" t="s">
        <v>124</v>
      </c>
      <c r="I382">
        <v>1</v>
      </c>
      <c r="J382" t="s">
        <v>108</v>
      </c>
      <c r="K382" t="s">
        <v>689</v>
      </c>
      <c r="L382" t="s">
        <v>690</v>
      </c>
      <c r="M382" t="s">
        <v>27</v>
      </c>
      <c r="N382" t="s">
        <v>387</v>
      </c>
      <c r="O382" t="s">
        <v>159</v>
      </c>
      <c r="P382">
        <v>36.116516109999999</v>
      </c>
      <c r="Q382">
        <v>36.515502929999997</v>
      </c>
    </row>
    <row r="383" spans="2:17" ht="15">
      <c r="B383" t="s">
        <v>928</v>
      </c>
      <c r="C383" t="s">
        <v>127</v>
      </c>
      <c r="D383" t="s">
        <v>985</v>
      </c>
      <c r="E383" t="s">
        <v>1009</v>
      </c>
      <c r="F383" t="s">
        <v>930</v>
      </c>
      <c r="G383" t="s">
        <v>987</v>
      </c>
      <c r="H383" t="s">
        <v>422</v>
      </c>
      <c r="I383">
        <v>1</v>
      </c>
      <c r="J383" t="s">
        <v>883</v>
      </c>
      <c r="K383" t="s">
        <v>988</v>
      </c>
      <c r="L383" t="s">
        <v>989</v>
      </c>
      <c r="M383" t="s">
        <v>990</v>
      </c>
      <c r="N383" t="s">
        <v>387</v>
      </c>
      <c r="O383" t="e">
        <f>_xlfn.XLOOKUP(E383,[1]syr_populatedplaces!$L:$L,[1]syr_populatedplaces!$M:$M)</f>
        <v>#N/A</v>
      </c>
      <c r="P383" s="4" t="e">
        <f>_xlfn.XLOOKUP(الجدول1[[#This Row],[القرية– البلدة]],[1]syr_populatedplaces!$L:$L,[1]syr_populatedplaces!$AD:$AD)</f>
        <v>#N/A</v>
      </c>
      <c r="Q383" s="4" t="e">
        <f>_xlfn.XLOOKUP(الجدول1[[#This Row],[القرية– البلدة]],[1]syr_populatedplaces!$L:$L,[1]syr_populatedplaces!$AC:$AC)</f>
        <v>#N/A</v>
      </c>
    </row>
    <row r="384" spans="2:17">
      <c r="B384" t="s">
        <v>614</v>
      </c>
      <c r="C384" t="s">
        <v>127</v>
      </c>
      <c r="D384" t="s">
        <v>128</v>
      </c>
      <c r="E384" t="s">
        <v>163</v>
      </c>
      <c r="F384" t="s">
        <v>346</v>
      </c>
      <c r="G384" t="s">
        <v>347</v>
      </c>
      <c r="H384" t="s">
        <v>124</v>
      </c>
      <c r="I384">
        <v>1</v>
      </c>
      <c r="J384" t="s">
        <v>108</v>
      </c>
      <c r="K384" t="s">
        <v>689</v>
      </c>
      <c r="L384" t="s">
        <v>690</v>
      </c>
      <c r="M384" t="s">
        <v>27</v>
      </c>
      <c r="N384" t="s">
        <v>387</v>
      </c>
      <c r="O384" t="s">
        <v>164</v>
      </c>
      <c r="P384">
        <v>36.212707520000002</v>
      </c>
      <c r="Q384">
        <v>36.520874020000001</v>
      </c>
    </row>
    <row r="385" spans="2:17">
      <c r="B385" t="s">
        <v>928</v>
      </c>
      <c r="C385" t="s">
        <v>127</v>
      </c>
      <c r="D385" t="s">
        <v>439</v>
      </c>
      <c r="E385" t="s">
        <v>439</v>
      </c>
      <c r="F385" t="s">
        <v>930</v>
      </c>
      <c r="G385" t="s">
        <v>1010</v>
      </c>
      <c r="H385" t="s">
        <v>124</v>
      </c>
      <c r="I385">
        <v>1</v>
      </c>
      <c r="J385" t="s">
        <v>108</v>
      </c>
      <c r="K385" t="s">
        <v>1011</v>
      </c>
      <c r="L385" t="s">
        <v>1012</v>
      </c>
      <c r="M385" t="s">
        <v>27</v>
      </c>
      <c r="N385" t="s">
        <v>108</v>
      </c>
      <c r="O385" t="str">
        <f>_xlfn.XLOOKUP(E385,[1]syr_populatedplaces!$L:$L,[1]syr_populatedplaces!$M:$M)</f>
        <v>C4278</v>
      </c>
      <c r="P385">
        <f>_xlfn.XLOOKUP(E385,[1]syr_populatedplaces!$L:$L,[1]syr_populatedplaces!$AD:$AD)</f>
        <v>35.81408691</v>
      </c>
      <c r="Q385">
        <f>_xlfn.XLOOKUP(E385,[1]syr_populatedplaces!$L:$L,[1]syr_populatedplaces!$AC:$AC)</f>
        <v>36.61029053</v>
      </c>
    </row>
    <row r="386" spans="2:17">
      <c r="B386" t="s">
        <v>928</v>
      </c>
      <c r="C386" t="s">
        <v>127</v>
      </c>
      <c r="D386" t="s">
        <v>129</v>
      </c>
      <c r="E386" t="s">
        <v>129</v>
      </c>
      <c r="F386" t="s">
        <v>930</v>
      </c>
      <c r="G386" t="s">
        <v>1010</v>
      </c>
      <c r="H386" t="s">
        <v>1013</v>
      </c>
      <c r="I386">
        <v>1</v>
      </c>
      <c r="J386" t="s">
        <v>108</v>
      </c>
      <c r="K386" t="s">
        <v>1011</v>
      </c>
      <c r="L386" t="s">
        <v>1012</v>
      </c>
      <c r="M386" t="s">
        <v>27</v>
      </c>
      <c r="N386" t="s">
        <v>108</v>
      </c>
      <c r="O386" t="str">
        <f>_xlfn.XLOOKUP(E386,[1]syr_populatedplaces!$L:$L,[1]syr_populatedplaces!$M:$M)</f>
        <v>C4199</v>
      </c>
      <c r="P386">
        <f>_xlfn.XLOOKUP(E386,[1]syr_populatedplaces!$L:$L,[1]syr_populatedplaces!$AD:$AD)</f>
        <v>35.814270020000002</v>
      </c>
      <c r="Q386">
        <f>_xlfn.XLOOKUP(E386,[1]syr_populatedplaces!$L:$L,[1]syr_populatedplaces!$AC:$AC)</f>
        <v>36.314880369999997</v>
      </c>
    </row>
    <row r="387" spans="2:17">
      <c r="B387" t="s">
        <v>614</v>
      </c>
      <c r="C387" t="s">
        <v>127</v>
      </c>
      <c r="D387" t="s">
        <v>128</v>
      </c>
      <c r="E387" t="s">
        <v>693</v>
      </c>
      <c r="F387" t="s">
        <v>346</v>
      </c>
      <c r="G387" t="s">
        <v>347</v>
      </c>
      <c r="H387" t="s">
        <v>124</v>
      </c>
      <c r="I387">
        <v>1</v>
      </c>
      <c r="J387" t="s">
        <v>108</v>
      </c>
      <c r="K387" t="s">
        <v>689</v>
      </c>
      <c r="L387" t="s">
        <v>690</v>
      </c>
      <c r="M387" t="s">
        <v>27</v>
      </c>
      <c r="N387" t="s">
        <v>387</v>
      </c>
      <c r="O387" t="str">
        <f>_xlfn.XLOOKUP(E387,[1]syr_populatedplaces!$L:$L,[1]syr_populatedplaces!$M:$M)</f>
        <v>C4182</v>
      </c>
      <c r="P387">
        <f>_xlfn.XLOOKUP(E387,[1]syr_populatedplaces!$L:$L,[1]syr_populatedplaces!$AD:$AD)</f>
        <v>36.048706060000001</v>
      </c>
      <c r="Q387">
        <f>_xlfn.XLOOKUP(E387,[1]syr_populatedplaces!$L:$L,[1]syr_populatedplaces!$AC:$AC)</f>
        <v>36.452270509999998</v>
      </c>
    </row>
    <row r="388" spans="2:17">
      <c r="B388" t="s">
        <v>614</v>
      </c>
      <c r="C388" t="s">
        <v>127</v>
      </c>
      <c r="D388" t="s">
        <v>128</v>
      </c>
      <c r="E388" t="s">
        <v>163</v>
      </c>
      <c r="F388" t="s">
        <v>346</v>
      </c>
      <c r="G388" t="s">
        <v>347</v>
      </c>
      <c r="H388" t="s">
        <v>124</v>
      </c>
      <c r="I388">
        <v>1</v>
      </c>
      <c r="J388" t="s">
        <v>108</v>
      </c>
      <c r="K388" t="s">
        <v>689</v>
      </c>
      <c r="L388" t="s">
        <v>690</v>
      </c>
      <c r="M388" t="s">
        <v>27</v>
      </c>
      <c r="N388" t="s">
        <v>387</v>
      </c>
      <c r="O388" t="s">
        <v>164</v>
      </c>
      <c r="P388">
        <v>36.212707520000002</v>
      </c>
      <c r="Q388">
        <v>36.520874020000001</v>
      </c>
    </row>
    <row r="389" spans="2:17">
      <c r="B389" t="s">
        <v>928</v>
      </c>
      <c r="C389" t="s">
        <v>127</v>
      </c>
      <c r="D389" t="s">
        <v>27</v>
      </c>
      <c r="E389" t="s">
        <v>1806</v>
      </c>
      <c r="F389" t="s">
        <v>930</v>
      </c>
      <c r="G389" t="s">
        <v>496</v>
      </c>
      <c r="H389" t="s">
        <v>1016</v>
      </c>
      <c r="I389">
        <v>1</v>
      </c>
      <c r="J389" t="s">
        <v>108</v>
      </c>
      <c r="K389" t="s">
        <v>815</v>
      </c>
      <c r="L389" t="s">
        <v>589</v>
      </c>
      <c r="M389" t="s">
        <v>27</v>
      </c>
      <c r="N389" t="s">
        <v>108</v>
      </c>
      <c r="O389" t="str">
        <f>_xlfn.XLOOKUP(E389,[1]syr_populatedplaces!$L:$L,[1]syr_populatedplaces!$M:$M)</f>
        <v>C3871</v>
      </c>
      <c r="P389">
        <f>_xlfn.XLOOKUP(E389,[1]syr_populatedplaces!$L:$L,[1]syr_populatedplaces!$AD:$AD)</f>
        <v>35.929077149999998</v>
      </c>
      <c r="Q389">
        <f>_xlfn.XLOOKUP(E389,[1]syr_populatedplaces!$L:$L,[1]syr_populatedplaces!$AC:$AC)</f>
        <v>36.635314940000001</v>
      </c>
    </row>
    <row r="390" spans="2:17">
      <c r="B390" t="s">
        <v>928</v>
      </c>
      <c r="C390" t="s">
        <v>127</v>
      </c>
      <c r="D390" t="s">
        <v>27</v>
      </c>
      <c r="E390" t="s">
        <v>165</v>
      </c>
      <c r="F390" t="s">
        <v>930</v>
      </c>
      <c r="G390" t="s">
        <v>496</v>
      </c>
      <c r="H390" t="s">
        <v>1016</v>
      </c>
      <c r="I390">
        <v>1</v>
      </c>
      <c r="J390" t="s">
        <v>108</v>
      </c>
      <c r="K390" t="s">
        <v>815</v>
      </c>
      <c r="L390" t="s">
        <v>589</v>
      </c>
      <c r="M390" t="s">
        <v>27</v>
      </c>
      <c r="N390" t="s">
        <v>108</v>
      </c>
      <c r="O390" t="str">
        <f>_xlfn.XLOOKUP(E390,[1]syr_populatedplaces!$L:$L,[1]syr_populatedplaces!$M:$M)</f>
        <v>C4121</v>
      </c>
      <c r="P390">
        <f>_xlfn.XLOOKUP(E390,[1]syr_populatedplaces!$L:$L,[1]syr_populatedplaces!$AD:$AD)</f>
        <v>36.186706540000003</v>
      </c>
      <c r="Q390">
        <f>_xlfn.XLOOKUP(E390,[1]syr_populatedplaces!$L:$L,[1]syr_populatedplaces!$AC:$AC)</f>
        <v>36.723876949999998</v>
      </c>
    </row>
    <row r="391" spans="2:17">
      <c r="B391" t="s">
        <v>614</v>
      </c>
      <c r="C391" t="s">
        <v>127</v>
      </c>
      <c r="D391" t="s">
        <v>128</v>
      </c>
      <c r="E391" t="s">
        <v>163</v>
      </c>
      <c r="F391" t="s">
        <v>346</v>
      </c>
      <c r="G391" t="s">
        <v>347</v>
      </c>
      <c r="H391" t="s">
        <v>124</v>
      </c>
      <c r="I391">
        <v>1</v>
      </c>
      <c r="J391" t="s">
        <v>108</v>
      </c>
      <c r="K391" t="s">
        <v>689</v>
      </c>
      <c r="L391" t="s">
        <v>690</v>
      </c>
      <c r="M391" t="s">
        <v>27</v>
      </c>
      <c r="N391" t="s">
        <v>387</v>
      </c>
      <c r="O391" t="s">
        <v>164</v>
      </c>
      <c r="P391">
        <v>36.212707520000002</v>
      </c>
      <c r="Q391">
        <v>36.520874020000001</v>
      </c>
    </row>
    <row r="392" spans="2:17">
      <c r="B392" t="s">
        <v>614</v>
      </c>
      <c r="C392" t="s">
        <v>127</v>
      </c>
      <c r="D392" t="s">
        <v>128</v>
      </c>
      <c r="E392" t="s">
        <v>158</v>
      </c>
      <c r="F392" t="s">
        <v>346</v>
      </c>
      <c r="G392" t="s">
        <v>347</v>
      </c>
      <c r="H392" t="s">
        <v>124</v>
      </c>
      <c r="I392">
        <v>1</v>
      </c>
      <c r="J392" t="s">
        <v>108</v>
      </c>
      <c r="K392" t="s">
        <v>689</v>
      </c>
      <c r="L392" t="s">
        <v>690</v>
      </c>
      <c r="M392" t="s">
        <v>27</v>
      </c>
      <c r="N392" t="s">
        <v>387</v>
      </c>
      <c r="O392" t="s">
        <v>159</v>
      </c>
      <c r="P392">
        <v>36.116516109999999</v>
      </c>
      <c r="Q392">
        <v>36.515502929999997</v>
      </c>
    </row>
    <row r="393" spans="2:17">
      <c r="B393" t="s">
        <v>614</v>
      </c>
      <c r="C393" t="s">
        <v>127</v>
      </c>
      <c r="D393" t="s">
        <v>128</v>
      </c>
      <c r="E393" t="s">
        <v>146</v>
      </c>
      <c r="F393" t="s">
        <v>346</v>
      </c>
      <c r="G393" t="s">
        <v>347</v>
      </c>
      <c r="H393" t="s">
        <v>124</v>
      </c>
      <c r="I393">
        <v>1</v>
      </c>
      <c r="J393" t="s">
        <v>108</v>
      </c>
      <c r="K393" t="s">
        <v>689</v>
      </c>
      <c r="L393" t="s">
        <v>690</v>
      </c>
      <c r="M393" t="s">
        <v>27</v>
      </c>
      <c r="N393" t="s">
        <v>387</v>
      </c>
      <c r="O393" t="s">
        <v>147</v>
      </c>
      <c r="P393">
        <v>36.138488770000002</v>
      </c>
      <c r="Q393">
        <v>36.612670899999998</v>
      </c>
    </row>
    <row r="394" spans="2:17">
      <c r="B394" t="s">
        <v>928</v>
      </c>
      <c r="C394" t="s">
        <v>127</v>
      </c>
      <c r="D394" t="s">
        <v>27</v>
      </c>
      <c r="E394" t="s">
        <v>1806</v>
      </c>
      <c r="F394" t="s">
        <v>930</v>
      </c>
      <c r="G394" t="s">
        <v>496</v>
      </c>
      <c r="H394" t="s">
        <v>1016</v>
      </c>
      <c r="I394">
        <v>1</v>
      </c>
      <c r="J394" t="s">
        <v>108</v>
      </c>
      <c r="K394" t="s">
        <v>815</v>
      </c>
      <c r="L394" t="s">
        <v>589</v>
      </c>
      <c r="M394" t="s">
        <v>27</v>
      </c>
      <c r="N394" t="s">
        <v>108</v>
      </c>
      <c r="O394" t="str">
        <f>_xlfn.XLOOKUP(E394,[1]syr_populatedplaces!$L:$L,[1]syr_populatedplaces!$M:$M)</f>
        <v>C3871</v>
      </c>
      <c r="P394">
        <f>_xlfn.XLOOKUP(E394,[1]syr_populatedplaces!$L:$L,[1]syr_populatedplaces!$AD:$AD)</f>
        <v>35.929077149999998</v>
      </c>
      <c r="Q394">
        <f>_xlfn.XLOOKUP(E394,[1]syr_populatedplaces!$L:$L,[1]syr_populatedplaces!$AC:$AC)</f>
        <v>36.635314940000001</v>
      </c>
    </row>
    <row r="395" spans="2:17">
      <c r="B395" t="s">
        <v>614</v>
      </c>
      <c r="C395" t="s">
        <v>127</v>
      </c>
      <c r="D395" t="s">
        <v>128</v>
      </c>
      <c r="E395" t="s">
        <v>142</v>
      </c>
      <c r="F395" t="s">
        <v>346</v>
      </c>
      <c r="G395" t="s">
        <v>347</v>
      </c>
      <c r="H395" t="s">
        <v>124</v>
      </c>
      <c r="I395">
        <v>1</v>
      </c>
      <c r="J395" t="s">
        <v>108</v>
      </c>
      <c r="K395" t="s">
        <v>689</v>
      </c>
      <c r="L395" t="s">
        <v>690</v>
      </c>
      <c r="M395" t="s">
        <v>27</v>
      </c>
      <c r="N395" t="s">
        <v>387</v>
      </c>
      <c r="O395" t="str">
        <f>_xlfn.XLOOKUP(E395,[1]syr_populatedplaces!$L:$L,[1]syr_populatedplaces!$M:$M)</f>
        <v>C3866</v>
      </c>
      <c r="P395">
        <f>_xlfn.XLOOKUP(E395,[1]syr_populatedplaces!$L:$L,[1]syr_populatedplaces!$AD:$AD)</f>
        <v>35.885681150000003</v>
      </c>
      <c r="Q395">
        <f>_xlfn.XLOOKUP(E395,[1]syr_populatedplaces!$L:$L,[1]syr_populatedplaces!$AC:$AC)</f>
        <v>36.441894529999999</v>
      </c>
    </row>
    <row r="396" spans="2:17">
      <c r="B396" t="s">
        <v>614</v>
      </c>
      <c r="C396" t="s">
        <v>127</v>
      </c>
      <c r="D396" t="s">
        <v>128</v>
      </c>
      <c r="E396" t="s">
        <v>138</v>
      </c>
      <c r="F396" t="s">
        <v>346</v>
      </c>
      <c r="G396" t="s">
        <v>347</v>
      </c>
      <c r="H396" t="s">
        <v>124</v>
      </c>
      <c r="I396">
        <v>1</v>
      </c>
      <c r="J396" t="s">
        <v>108</v>
      </c>
      <c r="K396" t="s">
        <v>689</v>
      </c>
      <c r="L396" t="s">
        <v>690</v>
      </c>
      <c r="M396" t="s">
        <v>27</v>
      </c>
      <c r="N396" t="s">
        <v>387</v>
      </c>
      <c r="O396" t="s">
        <v>139</v>
      </c>
      <c r="P396">
        <v>36.255676270000002</v>
      </c>
      <c r="Q396">
        <v>36.713500979999999</v>
      </c>
    </row>
    <row r="397" spans="2:17">
      <c r="B397" t="s">
        <v>614</v>
      </c>
      <c r="C397" t="s">
        <v>127</v>
      </c>
      <c r="D397" t="s">
        <v>128</v>
      </c>
      <c r="E397" t="s">
        <v>163</v>
      </c>
      <c r="F397" t="s">
        <v>346</v>
      </c>
      <c r="G397" t="s">
        <v>347</v>
      </c>
      <c r="H397" t="s">
        <v>124</v>
      </c>
      <c r="I397">
        <v>1</v>
      </c>
      <c r="J397" t="s">
        <v>108</v>
      </c>
      <c r="K397" t="s">
        <v>689</v>
      </c>
      <c r="L397" t="s">
        <v>690</v>
      </c>
      <c r="M397" t="s">
        <v>27</v>
      </c>
      <c r="N397" t="s">
        <v>387</v>
      </c>
      <c r="O397" t="s">
        <v>164</v>
      </c>
      <c r="P397">
        <v>36.212707520000002</v>
      </c>
      <c r="Q397">
        <v>36.520874020000001</v>
      </c>
    </row>
    <row r="398" spans="2:17">
      <c r="B398" t="s">
        <v>614</v>
      </c>
      <c r="C398" t="s">
        <v>127</v>
      </c>
      <c r="D398" t="s">
        <v>128</v>
      </c>
      <c r="E398" t="s">
        <v>148</v>
      </c>
      <c r="F398" t="s">
        <v>346</v>
      </c>
      <c r="G398" t="s">
        <v>347</v>
      </c>
      <c r="H398" t="s">
        <v>124</v>
      </c>
      <c r="I398">
        <v>1</v>
      </c>
      <c r="J398" t="s">
        <v>108</v>
      </c>
      <c r="K398" t="s">
        <v>689</v>
      </c>
      <c r="L398" t="s">
        <v>690</v>
      </c>
      <c r="M398" t="s">
        <v>27</v>
      </c>
      <c r="N398" t="s">
        <v>387</v>
      </c>
      <c r="O398" t="s">
        <v>149</v>
      </c>
      <c r="P398">
        <v>36.169311520000001</v>
      </c>
      <c r="Q398">
        <v>36.580322270000003</v>
      </c>
    </row>
    <row r="399" spans="2:17">
      <c r="B399" t="s">
        <v>928</v>
      </c>
      <c r="C399" t="s">
        <v>127</v>
      </c>
      <c r="D399" t="s">
        <v>27</v>
      </c>
      <c r="E399" t="s">
        <v>1806</v>
      </c>
      <c r="F399" t="s">
        <v>930</v>
      </c>
      <c r="G399" t="s">
        <v>496</v>
      </c>
      <c r="H399" t="s">
        <v>1016</v>
      </c>
      <c r="I399">
        <v>1</v>
      </c>
      <c r="J399" t="s">
        <v>108</v>
      </c>
      <c r="K399" t="s">
        <v>815</v>
      </c>
      <c r="L399" t="s">
        <v>589</v>
      </c>
      <c r="M399" t="s">
        <v>27</v>
      </c>
      <c r="N399" t="s">
        <v>108</v>
      </c>
      <c r="O399" t="str">
        <f>_xlfn.XLOOKUP(E399,[1]syr_populatedplaces!$L:$L,[1]syr_populatedplaces!$M:$M)</f>
        <v>C3871</v>
      </c>
      <c r="P399">
        <f>_xlfn.XLOOKUP(E399,[1]syr_populatedplaces!$L:$L,[1]syr_populatedplaces!$AD:$AD)</f>
        <v>35.929077149999998</v>
      </c>
      <c r="Q399">
        <f>_xlfn.XLOOKUP(E399,[1]syr_populatedplaces!$L:$L,[1]syr_populatedplaces!$AC:$AC)</f>
        <v>36.635314940000001</v>
      </c>
    </row>
    <row r="400" spans="2:17">
      <c r="B400" t="s">
        <v>928</v>
      </c>
      <c r="C400" t="s">
        <v>127</v>
      </c>
      <c r="D400" t="s">
        <v>27</v>
      </c>
      <c r="E400" t="s">
        <v>1802</v>
      </c>
      <c r="F400" t="s">
        <v>930</v>
      </c>
      <c r="G400" t="s">
        <v>1017</v>
      </c>
      <c r="H400" t="s">
        <v>422</v>
      </c>
      <c r="I400">
        <v>1</v>
      </c>
      <c r="J400" t="s">
        <v>108</v>
      </c>
      <c r="K400" t="s">
        <v>1018</v>
      </c>
      <c r="L400" t="s">
        <v>589</v>
      </c>
      <c r="M400" t="s">
        <v>27</v>
      </c>
      <c r="N400" t="s">
        <v>387</v>
      </c>
      <c r="O400" t="str">
        <f>_xlfn.XLOOKUP(E400,[1]syr_populatedplaces!$L:$L,[1]syr_populatedplaces!$M:$M)</f>
        <v>C3930</v>
      </c>
      <c r="P400">
        <f>_xlfn.XLOOKUP(E400,[1]syr_populatedplaces!$L:$L,[1]syr_populatedplaces!$AD:$AD)</f>
        <v>35.811096190000001</v>
      </c>
      <c r="Q400">
        <f>_xlfn.XLOOKUP(E400,[1]syr_populatedplaces!$L:$L,[1]syr_populatedplaces!$AC:$AC)</f>
        <v>36.790710449999999</v>
      </c>
    </row>
    <row r="401" spans="2:17" ht="15">
      <c r="B401" t="s">
        <v>928</v>
      </c>
      <c r="C401" t="s">
        <v>127</v>
      </c>
      <c r="D401" t="s">
        <v>27</v>
      </c>
      <c r="E401" t="s">
        <v>986</v>
      </c>
      <c r="F401" t="s">
        <v>930</v>
      </c>
      <c r="G401" t="s">
        <v>1017</v>
      </c>
      <c r="H401" t="s">
        <v>422</v>
      </c>
      <c r="I401">
        <v>1</v>
      </c>
      <c r="J401" t="s">
        <v>108</v>
      </c>
      <c r="K401" t="s">
        <v>1018</v>
      </c>
      <c r="L401" t="s">
        <v>589</v>
      </c>
      <c r="M401" t="s">
        <v>27</v>
      </c>
      <c r="N401" t="s">
        <v>387</v>
      </c>
      <c r="O401" t="e">
        <f>_xlfn.XLOOKUP(E401,[1]syr_populatedplaces!$L:$L,[1]syr_populatedplaces!$M:$M)</f>
        <v>#N/A</v>
      </c>
      <c r="P401" s="4" t="e">
        <f>_xlfn.XLOOKUP(الجدول1[[#This Row],[القرية– البلدة]],[1]syr_populatedplaces!$L:$L,[1]syr_populatedplaces!$AD:$AD)</f>
        <v>#N/A</v>
      </c>
      <c r="Q401" s="4" t="e">
        <f>_xlfn.XLOOKUP(الجدول1[[#This Row],[القرية– البلدة]],[1]syr_populatedplaces!$L:$L,[1]syr_populatedplaces!$AC:$AC)</f>
        <v>#N/A</v>
      </c>
    </row>
    <row r="402" spans="2:17" ht="15">
      <c r="B402" t="s">
        <v>928</v>
      </c>
      <c r="C402" t="s">
        <v>127</v>
      </c>
      <c r="D402" t="s">
        <v>27</v>
      </c>
      <c r="E402" t="s">
        <v>991</v>
      </c>
      <c r="F402" t="s">
        <v>930</v>
      </c>
      <c r="G402" t="s">
        <v>1017</v>
      </c>
      <c r="H402" t="s">
        <v>422</v>
      </c>
      <c r="I402">
        <v>1</v>
      </c>
      <c r="J402" t="s">
        <v>108</v>
      </c>
      <c r="K402" t="s">
        <v>1018</v>
      </c>
      <c r="L402" t="s">
        <v>589</v>
      </c>
      <c r="M402" t="s">
        <v>27</v>
      </c>
      <c r="N402" t="s">
        <v>387</v>
      </c>
      <c r="O402" t="e">
        <f>_xlfn.XLOOKUP(E402,[1]syr_populatedplaces!$L:$L,[1]syr_populatedplaces!$M:$M)</f>
        <v>#N/A</v>
      </c>
      <c r="P402" s="4" t="e">
        <f>_xlfn.XLOOKUP(الجدول1[[#This Row],[القرية– البلدة]],[1]syr_populatedplaces!$L:$L,[1]syr_populatedplaces!$AD:$AD)</f>
        <v>#N/A</v>
      </c>
      <c r="Q402" s="4" t="e">
        <f>_xlfn.XLOOKUP(الجدول1[[#This Row],[القرية– البلدة]],[1]syr_populatedplaces!$L:$L,[1]syr_populatedplaces!$AC:$AC)</f>
        <v>#N/A</v>
      </c>
    </row>
    <row r="403" spans="2:17">
      <c r="B403" t="s">
        <v>614</v>
      </c>
      <c r="C403" t="s">
        <v>127</v>
      </c>
      <c r="D403" t="s">
        <v>128</v>
      </c>
      <c r="E403" t="s">
        <v>160</v>
      </c>
      <c r="F403" t="s">
        <v>346</v>
      </c>
      <c r="G403" t="s">
        <v>347</v>
      </c>
      <c r="H403" t="s">
        <v>124</v>
      </c>
      <c r="I403">
        <v>1</v>
      </c>
      <c r="J403" t="s">
        <v>108</v>
      </c>
      <c r="K403" t="s">
        <v>689</v>
      </c>
      <c r="L403" t="s">
        <v>690</v>
      </c>
      <c r="M403" t="s">
        <v>27</v>
      </c>
      <c r="N403" t="s">
        <v>387</v>
      </c>
      <c r="O403" t="s">
        <v>161</v>
      </c>
      <c r="P403">
        <v>36.139099119999997</v>
      </c>
      <c r="Q403">
        <v>36.453674319999998</v>
      </c>
    </row>
    <row r="404" spans="2:17">
      <c r="B404" t="s">
        <v>614</v>
      </c>
      <c r="C404" t="s">
        <v>127</v>
      </c>
      <c r="D404" t="s">
        <v>128</v>
      </c>
      <c r="E404" t="s">
        <v>693</v>
      </c>
      <c r="F404" t="s">
        <v>346</v>
      </c>
      <c r="G404" t="s">
        <v>347</v>
      </c>
      <c r="H404" t="s">
        <v>124</v>
      </c>
      <c r="I404">
        <v>1</v>
      </c>
      <c r="J404" t="s">
        <v>108</v>
      </c>
      <c r="K404" t="s">
        <v>689</v>
      </c>
      <c r="L404" t="s">
        <v>690</v>
      </c>
      <c r="M404" t="s">
        <v>27</v>
      </c>
      <c r="N404" t="s">
        <v>387</v>
      </c>
      <c r="O404" t="str">
        <f>_xlfn.XLOOKUP(E404,[1]syr_populatedplaces!$L:$L,[1]syr_populatedplaces!$M:$M)</f>
        <v>C4182</v>
      </c>
      <c r="P404">
        <f>_xlfn.XLOOKUP(E404,[1]syr_populatedplaces!$L:$L,[1]syr_populatedplaces!$AD:$AD)</f>
        <v>36.048706060000001</v>
      </c>
      <c r="Q404">
        <f>_xlfn.XLOOKUP(E404,[1]syr_populatedplaces!$L:$L,[1]syr_populatedplaces!$AC:$AC)</f>
        <v>36.452270509999998</v>
      </c>
    </row>
    <row r="405" spans="2:17">
      <c r="B405" t="s">
        <v>614</v>
      </c>
      <c r="C405" t="s">
        <v>127</v>
      </c>
      <c r="D405" t="s">
        <v>128</v>
      </c>
      <c r="E405" t="s">
        <v>158</v>
      </c>
      <c r="F405" t="s">
        <v>346</v>
      </c>
      <c r="G405" t="s">
        <v>347</v>
      </c>
      <c r="H405" t="s">
        <v>124</v>
      </c>
      <c r="I405">
        <v>1</v>
      </c>
      <c r="J405" t="s">
        <v>108</v>
      </c>
      <c r="K405" t="s">
        <v>689</v>
      </c>
      <c r="L405" t="s">
        <v>690</v>
      </c>
      <c r="M405" t="s">
        <v>27</v>
      </c>
      <c r="N405" t="s">
        <v>387</v>
      </c>
      <c r="O405" t="s">
        <v>159</v>
      </c>
      <c r="P405">
        <v>36.116516109999999</v>
      </c>
      <c r="Q405">
        <v>36.515502929999997</v>
      </c>
    </row>
    <row r="406" spans="2:17">
      <c r="B406" t="s">
        <v>614</v>
      </c>
      <c r="C406" t="s">
        <v>127</v>
      </c>
      <c r="D406" t="s">
        <v>128</v>
      </c>
      <c r="E406" t="s">
        <v>696</v>
      </c>
      <c r="F406" t="s">
        <v>346</v>
      </c>
      <c r="G406" t="s">
        <v>347</v>
      </c>
      <c r="H406" t="s">
        <v>124</v>
      </c>
      <c r="I406">
        <v>1</v>
      </c>
      <c r="J406" t="s">
        <v>108</v>
      </c>
      <c r="K406" t="s">
        <v>689</v>
      </c>
      <c r="L406" t="s">
        <v>690</v>
      </c>
      <c r="M406" t="s">
        <v>27</v>
      </c>
      <c r="N406" t="s">
        <v>387</v>
      </c>
      <c r="O406" t="str">
        <f>_xlfn.XLOOKUP(E406,[1]syr_populatedplaces!$L:$L,[1]syr_populatedplaces!$M:$M)</f>
        <v>C6035</v>
      </c>
      <c r="P406">
        <f>_xlfn.XLOOKUP(E406,[1]syr_populatedplaces!$L:$L,[1]syr_populatedplaces!$AD:$AD)</f>
        <v>32.736083979999997</v>
      </c>
      <c r="Q406">
        <f>_xlfn.XLOOKUP(E406,[1]syr_populatedplaces!$L:$L,[1]syr_populatedplaces!$AC:$AC)</f>
        <v>35.985900880000003</v>
      </c>
    </row>
    <row r="407" spans="2:17" ht="15">
      <c r="B407" t="s">
        <v>928</v>
      </c>
      <c r="C407" t="s">
        <v>127</v>
      </c>
      <c r="D407" t="s">
        <v>27</v>
      </c>
      <c r="E407" t="s">
        <v>992</v>
      </c>
      <c r="F407" t="s">
        <v>930</v>
      </c>
      <c r="G407" t="s">
        <v>1017</v>
      </c>
      <c r="H407" t="s">
        <v>422</v>
      </c>
      <c r="I407">
        <v>1</v>
      </c>
      <c r="J407" t="s">
        <v>108</v>
      </c>
      <c r="K407" t="s">
        <v>1018</v>
      </c>
      <c r="L407" t="s">
        <v>589</v>
      </c>
      <c r="M407" t="s">
        <v>27</v>
      </c>
      <c r="N407" t="s">
        <v>387</v>
      </c>
      <c r="O407" t="e">
        <f>_xlfn.XLOOKUP(E407,[1]syr_populatedplaces!$L:$L,[1]syr_populatedplaces!$M:$M)</f>
        <v>#N/A</v>
      </c>
      <c r="P407" s="4" t="e">
        <f>_xlfn.XLOOKUP(الجدول1[[#This Row],[القرية– البلدة]],[1]syr_populatedplaces!$L:$L,[1]syr_populatedplaces!$AD:$AD)</f>
        <v>#N/A</v>
      </c>
      <c r="Q407" s="4" t="e">
        <f>_xlfn.XLOOKUP(الجدول1[[#This Row],[القرية– البلدة]],[1]syr_populatedplaces!$L:$L,[1]syr_populatedplaces!$AC:$AC)</f>
        <v>#N/A</v>
      </c>
    </row>
    <row r="408" spans="2:17">
      <c r="B408" t="s">
        <v>614</v>
      </c>
      <c r="C408" t="s">
        <v>127</v>
      </c>
      <c r="D408" t="s">
        <v>128</v>
      </c>
      <c r="E408" t="s">
        <v>135</v>
      </c>
      <c r="F408" t="s">
        <v>346</v>
      </c>
      <c r="G408" t="s">
        <v>347</v>
      </c>
      <c r="H408" t="s">
        <v>124</v>
      </c>
      <c r="I408">
        <v>1</v>
      </c>
      <c r="J408" t="s">
        <v>108</v>
      </c>
      <c r="K408" t="s">
        <v>689</v>
      </c>
      <c r="L408" t="s">
        <v>690</v>
      </c>
      <c r="M408" t="s">
        <v>27</v>
      </c>
      <c r="N408" t="s">
        <v>387</v>
      </c>
      <c r="O408" t="s">
        <v>136</v>
      </c>
      <c r="P408">
        <v>35.992492679999998</v>
      </c>
      <c r="Q408">
        <v>36.393493650000003</v>
      </c>
    </row>
    <row r="409" spans="2:17">
      <c r="B409" t="s">
        <v>614</v>
      </c>
      <c r="C409" t="s">
        <v>127</v>
      </c>
      <c r="D409" t="s">
        <v>128</v>
      </c>
      <c r="E409" t="s">
        <v>190</v>
      </c>
      <c r="F409" t="s">
        <v>346</v>
      </c>
      <c r="G409" t="s">
        <v>347</v>
      </c>
      <c r="H409" t="s">
        <v>124</v>
      </c>
      <c r="I409">
        <v>1</v>
      </c>
      <c r="J409" t="s">
        <v>108</v>
      </c>
      <c r="K409" t="s">
        <v>689</v>
      </c>
      <c r="L409" t="s">
        <v>690</v>
      </c>
      <c r="M409" t="s">
        <v>27</v>
      </c>
      <c r="N409" t="s">
        <v>387</v>
      </c>
      <c r="O409" t="str">
        <f>_xlfn.XLOOKUP(E409,[1]syr_populatedplaces!$L:$L,[1]syr_populatedplaces!$M:$M)</f>
        <v>C4302</v>
      </c>
      <c r="P409">
        <f>_xlfn.XLOOKUP(E409,[1]syr_populatedplaces!$L:$L,[1]syr_populatedplaces!$AD:$AD)</f>
        <v>35.696105959999997</v>
      </c>
      <c r="Q409">
        <f>_xlfn.XLOOKUP(E409,[1]syr_populatedplaces!$L:$L,[1]syr_populatedplaces!$AC:$AC)</f>
        <v>36.503723149999999</v>
      </c>
    </row>
    <row r="410" spans="2:17">
      <c r="B410" t="s">
        <v>614</v>
      </c>
      <c r="C410" t="s">
        <v>127</v>
      </c>
      <c r="D410" t="s">
        <v>128</v>
      </c>
      <c r="E410" t="s">
        <v>439</v>
      </c>
      <c r="F410" t="s">
        <v>346</v>
      </c>
      <c r="G410" t="s">
        <v>347</v>
      </c>
      <c r="H410" t="s">
        <v>124</v>
      </c>
      <c r="I410">
        <v>1</v>
      </c>
      <c r="J410" t="s">
        <v>108</v>
      </c>
      <c r="K410" t="s">
        <v>689</v>
      </c>
      <c r="L410" t="s">
        <v>690</v>
      </c>
      <c r="M410" t="s">
        <v>27</v>
      </c>
      <c r="N410" t="s">
        <v>387</v>
      </c>
      <c r="O410" t="str">
        <f>_xlfn.XLOOKUP(E410,[1]syr_populatedplaces!$L:$L,[1]syr_populatedplaces!$M:$M)</f>
        <v>C4278</v>
      </c>
      <c r="P410">
        <f>_xlfn.XLOOKUP(E410,[1]syr_populatedplaces!$L:$L,[1]syr_populatedplaces!$AD:$AD)</f>
        <v>35.81408691</v>
      </c>
      <c r="Q410">
        <f>_xlfn.XLOOKUP(E410,[1]syr_populatedplaces!$L:$L,[1]syr_populatedplaces!$AC:$AC)</f>
        <v>36.61029053</v>
      </c>
    </row>
    <row r="411" spans="2:17" ht="15">
      <c r="B411" t="s">
        <v>928</v>
      </c>
      <c r="C411" t="s">
        <v>127</v>
      </c>
      <c r="D411" t="s">
        <v>27</v>
      </c>
      <c r="E411" t="s">
        <v>999</v>
      </c>
      <c r="F411" t="s">
        <v>930</v>
      </c>
      <c r="G411" t="s">
        <v>1017</v>
      </c>
      <c r="H411" t="s">
        <v>422</v>
      </c>
      <c r="I411">
        <v>1</v>
      </c>
      <c r="J411" t="s">
        <v>108</v>
      </c>
      <c r="K411" t="s">
        <v>1018</v>
      </c>
      <c r="L411" t="s">
        <v>589</v>
      </c>
      <c r="M411" t="s">
        <v>27</v>
      </c>
      <c r="N411" t="s">
        <v>387</v>
      </c>
      <c r="O411" t="e">
        <f>_xlfn.XLOOKUP(E411,[1]syr_populatedplaces!$L:$L,[1]syr_populatedplaces!$M:$M)</f>
        <v>#N/A</v>
      </c>
      <c r="P411" s="4" t="e">
        <f>_xlfn.XLOOKUP(الجدول1[[#This Row],[القرية– البلدة]],[1]syr_populatedplaces!$L:$L,[1]syr_populatedplaces!$AD:$AD)</f>
        <v>#N/A</v>
      </c>
      <c r="Q411" s="4" t="e">
        <f>_xlfn.XLOOKUP(الجدول1[[#This Row],[القرية– البلدة]],[1]syr_populatedplaces!$L:$L,[1]syr_populatedplaces!$AC:$AC)</f>
        <v>#N/A</v>
      </c>
    </row>
    <row r="412" spans="2:17">
      <c r="B412" t="s">
        <v>614</v>
      </c>
      <c r="C412" t="s">
        <v>127</v>
      </c>
      <c r="D412" t="s">
        <v>128</v>
      </c>
      <c r="E412" t="s">
        <v>81</v>
      </c>
      <c r="F412" t="s">
        <v>346</v>
      </c>
      <c r="G412" t="s">
        <v>347</v>
      </c>
      <c r="H412" t="s">
        <v>124</v>
      </c>
      <c r="I412">
        <v>1</v>
      </c>
      <c r="J412" t="s">
        <v>108</v>
      </c>
      <c r="K412" t="s">
        <v>689</v>
      </c>
      <c r="L412" t="s">
        <v>690</v>
      </c>
      <c r="M412" t="s">
        <v>27</v>
      </c>
      <c r="N412" t="s">
        <v>387</v>
      </c>
      <c r="O412" t="s">
        <v>82</v>
      </c>
      <c r="P412">
        <v>32.805908199999998</v>
      </c>
      <c r="Q412">
        <v>36.406677250000001</v>
      </c>
    </row>
    <row r="413" spans="2:17" ht="15">
      <c r="B413" t="s">
        <v>928</v>
      </c>
      <c r="C413" t="s">
        <v>127</v>
      </c>
      <c r="D413" t="s">
        <v>27</v>
      </c>
      <c r="E413" t="s">
        <v>1002</v>
      </c>
      <c r="F413" t="s">
        <v>930</v>
      </c>
      <c r="G413" t="s">
        <v>1017</v>
      </c>
      <c r="H413" t="s">
        <v>422</v>
      </c>
      <c r="I413">
        <v>1</v>
      </c>
      <c r="J413" t="s">
        <v>108</v>
      </c>
      <c r="K413" t="s">
        <v>1018</v>
      </c>
      <c r="L413" t="s">
        <v>589</v>
      </c>
      <c r="M413" t="s">
        <v>27</v>
      </c>
      <c r="N413" t="s">
        <v>387</v>
      </c>
      <c r="O413" t="e">
        <f>_xlfn.XLOOKUP(E413,[1]syr_populatedplaces!$L:$L,[1]syr_populatedplaces!$M:$M)</f>
        <v>#N/A</v>
      </c>
      <c r="P413" s="4" t="e">
        <f>_xlfn.XLOOKUP(الجدول1[[#This Row],[القرية– البلدة]],[1]syr_populatedplaces!$L:$L,[1]syr_populatedplaces!$AD:$AD)</f>
        <v>#N/A</v>
      </c>
      <c r="Q413" s="4" t="e">
        <f>_xlfn.XLOOKUP(الجدول1[[#This Row],[القرية– البلدة]],[1]syr_populatedplaces!$L:$L,[1]syr_populatedplaces!$AC:$AC)</f>
        <v>#N/A</v>
      </c>
    </row>
    <row r="414" spans="2:17">
      <c r="B414" t="s">
        <v>614</v>
      </c>
      <c r="C414" t="s">
        <v>127</v>
      </c>
      <c r="D414" t="s">
        <v>128</v>
      </c>
      <c r="E414" t="s">
        <v>150</v>
      </c>
      <c r="F414" t="s">
        <v>346</v>
      </c>
      <c r="G414" t="s">
        <v>347</v>
      </c>
      <c r="H414" t="s">
        <v>124</v>
      </c>
      <c r="I414">
        <v>1</v>
      </c>
      <c r="J414" t="s">
        <v>108</v>
      </c>
      <c r="K414" t="s">
        <v>689</v>
      </c>
      <c r="L414" t="s">
        <v>690</v>
      </c>
      <c r="M414" t="s">
        <v>27</v>
      </c>
      <c r="N414" t="s">
        <v>387</v>
      </c>
      <c r="O414" t="s">
        <v>151</v>
      </c>
      <c r="P414">
        <v>35.812072749999999</v>
      </c>
      <c r="Q414">
        <v>36.197326660000002</v>
      </c>
    </row>
    <row r="415" spans="2:17" ht="15">
      <c r="B415" t="s">
        <v>928</v>
      </c>
      <c r="C415" t="s">
        <v>127</v>
      </c>
      <c r="D415" t="s">
        <v>27</v>
      </c>
      <c r="E415" t="s">
        <v>1003</v>
      </c>
      <c r="F415" t="s">
        <v>930</v>
      </c>
      <c r="G415" t="s">
        <v>1017</v>
      </c>
      <c r="H415" t="s">
        <v>422</v>
      </c>
      <c r="I415">
        <v>1</v>
      </c>
      <c r="J415" t="s">
        <v>108</v>
      </c>
      <c r="K415" t="s">
        <v>1018</v>
      </c>
      <c r="L415" t="s">
        <v>589</v>
      </c>
      <c r="M415" t="s">
        <v>27</v>
      </c>
      <c r="N415" t="s">
        <v>387</v>
      </c>
      <c r="O415" t="e">
        <f>_xlfn.XLOOKUP(E415,[1]syr_populatedplaces!$L:$L,[1]syr_populatedplaces!$M:$M)</f>
        <v>#N/A</v>
      </c>
      <c r="P415" s="4" t="e">
        <f>_xlfn.XLOOKUP(الجدول1[[#This Row],[القرية– البلدة]],[1]syr_populatedplaces!$L:$L,[1]syr_populatedplaces!$AD:$AD)</f>
        <v>#N/A</v>
      </c>
      <c r="Q415" s="4" t="e">
        <f>_xlfn.XLOOKUP(الجدول1[[#This Row],[القرية– البلدة]],[1]syr_populatedplaces!$L:$L,[1]syr_populatedplaces!$AC:$AC)</f>
        <v>#N/A</v>
      </c>
    </row>
    <row r="416" spans="2:17">
      <c r="B416" t="s">
        <v>614</v>
      </c>
      <c r="C416" t="s">
        <v>127</v>
      </c>
      <c r="D416" t="s">
        <v>128</v>
      </c>
      <c r="E416" t="s">
        <v>142</v>
      </c>
      <c r="F416" t="s">
        <v>346</v>
      </c>
      <c r="G416" t="s">
        <v>347</v>
      </c>
      <c r="H416" t="s">
        <v>124</v>
      </c>
      <c r="I416">
        <v>1</v>
      </c>
      <c r="J416" t="s">
        <v>108</v>
      </c>
      <c r="K416" t="s">
        <v>689</v>
      </c>
      <c r="L416" t="s">
        <v>690</v>
      </c>
      <c r="M416" t="s">
        <v>27</v>
      </c>
      <c r="N416" t="s">
        <v>387</v>
      </c>
      <c r="O416" t="str">
        <f>_xlfn.XLOOKUP(E416,[1]syr_populatedplaces!$L:$L,[1]syr_populatedplaces!$M:$M)</f>
        <v>C3866</v>
      </c>
      <c r="P416">
        <f>_xlfn.XLOOKUP(E416,[1]syr_populatedplaces!$L:$L,[1]syr_populatedplaces!$AD:$AD)</f>
        <v>35.885681150000003</v>
      </c>
      <c r="Q416">
        <f>_xlfn.XLOOKUP(E416,[1]syr_populatedplaces!$L:$L,[1]syr_populatedplaces!$AC:$AC)</f>
        <v>36.441894529999999</v>
      </c>
    </row>
    <row r="417" spans="2:17">
      <c r="B417" t="s">
        <v>614</v>
      </c>
      <c r="C417" t="s">
        <v>127</v>
      </c>
      <c r="D417" t="s">
        <v>128</v>
      </c>
      <c r="E417" t="s">
        <v>143</v>
      </c>
      <c r="F417" t="s">
        <v>346</v>
      </c>
      <c r="G417" t="s">
        <v>347</v>
      </c>
      <c r="H417" t="s">
        <v>124</v>
      </c>
      <c r="I417">
        <v>1</v>
      </c>
      <c r="J417" t="s">
        <v>108</v>
      </c>
      <c r="K417" t="s">
        <v>689</v>
      </c>
      <c r="L417" t="s">
        <v>690</v>
      </c>
      <c r="M417" t="s">
        <v>27</v>
      </c>
      <c r="N417" t="s">
        <v>387</v>
      </c>
      <c r="O417" t="str">
        <f>_xlfn.XLOOKUP(E417,[1]syr_populatedplaces!$L:$L,[1]syr_populatedplaces!$M:$M)</f>
        <v>C2902</v>
      </c>
      <c r="P417">
        <f>_xlfn.XLOOKUP(E417,[1]syr_populatedplaces!$L:$L,[1]syr_populatedplaces!$AD:$AD)</f>
        <v>34.82147217</v>
      </c>
      <c r="Q417">
        <f>_xlfn.XLOOKUP(E417,[1]syr_populatedplaces!$L:$L,[1]syr_populatedplaces!$AC:$AC)</f>
        <v>37.210876470000002</v>
      </c>
    </row>
    <row r="418" spans="2:17">
      <c r="B418" t="s">
        <v>614</v>
      </c>
      <c r="C418" t="s">
        <v>127</v>
      </c>
      <c r="D418" t="s">
        <v>128</v>
      </c>
      <c r="E418" t="s">
        <v>165</v>
      </c>
      <c r="F418" t="s">
        <v>346</v>
      </c>
      <c r="G418" t="s">
        <v>347</v>
      </c>
      <c r="H418" t="s">
        <v>124</v>
      </c>
      <c r="I418">
        <v>1</v>
      </c>
      <c r="J418" t="s">
        <v>108</v>
      </c>
      <c r="K418" t="s">
        <v>689</v>
      </c>
      <c r="L418" t="s">
        <v>690</v>
      </c>
      <c r="M418" t="s">
        <v>27</v>
      </c>
      <c r="N418" t="s">
        <v>387</v>
      </c>
      <c r="O418" t="s">
        <v>166</v>
      </c>
      <c r="P418">
        <v>36.186706540000003</v>
      </c>
      <c r="Q418">
        <v>36.723876949999998</v>
      </c>
    </row>
    <row r="419" spans="2:17">
      <c r="B419" t="s">
        <v>614</v>
      </c>
      <c r="C419" t="s">
        <v>127</v>
      </c>
      <c r="D419" t="s">
        <v>128</v>
      </c>
      <c r="E419" t="s">
        <v>425</v>
      </c>
      <c r="F419" t="s">
        <v>346</v>
      </c>
      <c r="G419" t="s">
        <v>347</v>
      </c>
      <c r="H419" t="s">
        <v>124</v>
      </c>
      <c r="I419">
        <v>1</v>
      </c>
      <c r="J419" t="s">
        <v>108</v>
      </c>
      <c r="K419" t="s">
        <v>689</v>
      </c>
      <c r="L419" t="s">
        <v>690</v>
      </c>
      <c r="M419" t="s">
        <v>27</v>
      </c>
      <c r="N419" t="s">
        <v>387</v>
      </c>
      <c r="O419" t="str">
        <f>_xlfn.XLOOKUP(E419,[1]syr_populatedplaces!$L:$L,[1]syr_populatedplaces!$M:$M)</f>
        <v>C3965</v>
      </c>
      <c r="P419">
        <f>_xlfn.XLOOKUP(E419,[1]syr_populatedplaces!$L:$L,[1]syr_populatedplaces!$AD:$AD)</f>
        <v>35.699890140000001</v>
      </c>
      <c r="Q419">
        <f>_xlfn.XLOOKUP(E419,[1]syr_populatedplaces!$L:$L,[1]syr_populatedplaces!$AC:$AC)</f>
        <v>36.688110350000002</v>
      </c>
    </row>
    <row r="420" spans="2:17">
      <c r="B420" t="s">
        <v>614</v>
      </c>
      <c r="C420" t="s">
        <v>127</v>
      </c>
      <c r="D420" t="s">
        <v>128</v>
      </c>
      <c r="E420" t="s">
        <v>697</v>
      </c>
      <c r="F420" t="s">
        <v>346</v>
      </c>
      <c r="G420" t="s">
        <v>347</v>
      </c>
      <c r="H420" t="s">
        <v>124</v>
      </c>
      <c r="I420">
        <v>1</v>
      </c>
      <c r="J420" t="s">
        <v>108</v>
      </c>
      <c r="K420" t="s">
        <v>689</v>
      </c>
      <c r="L420" t="s">
        <v>690</v>
      </c>
      <c r="M420" t="s">
        <v>27</v>
      </c>
      <c r="N420" t="s">
        <v>387</v>
      </c>
      <c r="O420" t="s">
        <v>698</v>
      </c>
      <c r="P420">
        <v>36.165283199999998</v>
      </c>
      <c r="Q420">
        <v>36.63647461</v>
      </c>
    </row>
    <row r="421" spans="2:17" ht="15">
      <c r="B421" t="s">
        <v>928</v>
      </c>
      <c r="C421" t="s">
        <v>127</v>
      </c>
      <c r="D421" t="s">
        <v>27</v>
      </c>
      <c r="E421" t="s">
        <v>1004</v>
      </c>
      <c r="F421" t="s">
        <v>930</v>
      </c>
      <c r="G421" t="s">
        <v>1017</v>
      </c>
      <c r="H421" t="s">
        <v>422</v>
      </c>
      <c r="I421">
        <v>1</v>
      </c>
      <c r="J421" t="s">
        <v>108</v>
      </c>
      <c r="K421" t="s">
        <v>1018</v>
      </c>
      <c r="L421" t="s">
        <v>589</v>
      </c>
      <c r="M421" t="s">
        <v>27</v>
      </c>
      <c r="N421" t="s">
        <v>387</v>
      </c>
      <c r="O421" t="e">
        <f>_xlfn.XLOOKUP(E421,[1]syr_populatedplaces!$L:$L,[1]syr_populatedplaces!$M:$M)</f>
        <v>#N/A</v>
      </c>
      <c r="P421" s="4" t="e">
        <f>_xlfn.XLOOKUP(الجدول1[[#This Row],[القرية– البلدة]],[1]syr_populatedplaces!$L:$L,[1]syr_populatedplaces!$AD:$AD)</f>
        <v>#N/A</v>
      </c>
      <c r="Q421" s="4" t="e">
        <f>_xlfn.XLOOKUP(الجدول1[[#This Row],[القرية– البلدة]],[1]syr_populatedplaces!$L:$L,[1]syr_populatedplaces!$AC:$AC)</f>
        <v>#N/A</v>
      </c>
    </row>
    <row r="422" spans="2:17">
      <c r="B422" t="s">
        <v>614</v>
      </c>
      <c r="C422" t="s">
        <v>127</v>
      </c>
      <c r="D422" t="s">
        <v>128</v>
      </c>
      <c r="E422" t="s">
        <v>700</v>
      </c>
      <c r="F422" t="s">
        <v>346</v>
      </c>
      <c r="G422" t="s">
        <v>347</v>
      </c>
      <c r="H422" t="s">
        <v>124</v>
      </c>
      <c r="I422">
        <v>1</v>
      </c>
      <c r="J422" t="s">
        <v>108</v>
      </c>
      <c r="K422" t="s">
        <v>689</v>
      </c>
      <c r="L422" t="s">
        <v>690</v>
      </c>
      <c r="M422" t="s">
        <v>27</v>
      </c>
      <c r="N422" t="s">
        <v>387</v>
      </c>
      <c r="O422" t="s">
        <v>701</v>
      </c>
      <c r="P422">
        <v>35.841125490000003</v>
      </c>
      <c r="Q422">
        <v>36.224914550000001</v>
      </c>
    </row>
    <row r="423" spans="2:17" ht="15">
      <c r="B423" t="s">
        <v>928</v>
      </c>
      <c r="C423" t="s">
        <v>127</v>
      </c>
      <c r="D423" t="s">
        <v>27</v>
      </c>
      <c r="E423" t="s">
        <v>1005</v>
      </c>
      <c r="F423" t="s">
        <v>930</v>
      </c>
      <c r="G423" t="s">
        <v>1017</v>
      </c>
      <c r="H423" t="s">
        <v>422</v>
      </c>
      <c r="I423">
        <v>1</v>
      </c>
      <c r="J423" t="s">
        <v>108</v>
      </c>
      <c r="K423" t="s">
        <v>1018</v>
      </c>
      <c r="L423" t="s">
        <v>589</v>
      </c>
      <c r="M423" t="s">
        <v>27</v>
      </c>
      <c r="N423" t="s">
        <v>387</v>
      </c>
      <c r="O423" t="e">
        <f>_xlfn.XLOOKUP(E423,[1]syr_populatedplaces!$L:$L,[1]syr_populatedplaces!$M:$M)</f>
        <v>#N/A</v>
      </c>
      <c r="P423" s="4" t="e">
        <f>_xlfn.XLOOKUP(الجدول1[[#This Row],[القرية– البلدة]],[1]syr_populatedplaces!$L:$L,[1]syr_populatedplaces!$AD:$AD)</f>
        <v>#N/A</v>
      </c>
      <c r="Q423" s="4" t="e">
        <f>_xlfn.XLOOKUP(الجدول1[[#This Row],[القرية– البلدة]],[1]syr_populatedplaces!$L:$L,[1]syr_populatedplaces!$AC:$AC)</f>
        <v>#N/A</v>
      </c>
    </row>
    <row r="424" spans="2:17">
      <c r="B424" t="s">
        <v>614</v>
      </c>
      <c r="C424" t="s">
        <v>127</v>
      </c>
      <c r="D424" t="s">
        <v>128</v>
      </c>
      <c r="E424" t="s">
        <v>158</v>
      </c>
      <c r="F424" t="s">
        <v>346</v>
      </c>
      <c r="G424" t="s">
        <v>702</v>
      </c>
      <c r="H424" t="s">
        <v>260</v>
      </c>
      <c r="I424">
        <v>1</v>
      </c>
      <c r="J424" t="s">
        <v>108</v>
      </c>
      <c r="K424" t="s">
        <v>703</v>
      </c>
      <c r="L424" t="s">
        <v>704</v>
      </c>
      <c r="M424" t="s">
        <v>27</v>
      </c>
      <c r="N424" t="s">
        <v>387</v>
      </c>
      <c r="O424" t="s">
        <v>159</v>
      </c>
      <c r="P424">
        <v>36.116516109999999</v>
      </c>
      <c r="Q424">
        <v>36.515502929999997</v>
      </c>
    </row>
    <row r="425" spans="2:17">
      <c r="B425" t="s">
        <v>614</v>
      </c>
      <c r="C425" t="s">
        <v>127</v>
      </c>
      <c r="D425" t="s">
        <v>128</v>
      </c>
      <c r="E425" t="s">
        <v>705</v>
      </c>
      <c r="F425" t="s">
        <v>346</v>
      </c>
      <c r="G425" t="s">
        <v>702</v>
      </c>
      <c r="H425" t="s">
        <v>260</v>
      </c>
      <c r="I425">
        <v>1</v>
      </c>
      <c r="J425" t="s">
        <v>108</v>
      </c>
      <c r="K425" t="s">
        <v>703</v>
      </c>
      <c r="L425" t="s">
        <v>704</v>
      </c>
      <c r="M425" t="s">
        <v>27</v>
      </c>
      <c r="N425" t="s">
        <v>387</v>
      </c>
      <c r="O425" t="s">
        <v>157</v>
      </c>
      <c r="P425">
        <v>36.308288570000002</v>
      </c>
      <c r="Q425">
        <v>36.757324220000001</v>
      </c>
    </row>
    <row r="426" spans="2:17" ht="15">
      <c r="B426" t="s">
        <v>928</v>
      </c>
      <c r="C426" t="s">
        <v>127</v>
      </c>
      <c r="D426" t="s">
        <v>27</v>
      </c>
      <c r="E426" t="s">
        <v>1006</v>
      </c>
      <c r="F426" t="s">
        <v>930</v>
      </c>
      <c r="G426" t="s">
        <v>1017</v>
      </c>
      <c r="H426" t="s">
        <v>422</v>
      </c>
      <c r="I426">
        <v>1</v>
      </c>
      <c r="J426" t="s">
        <v>108</v>
      </c>
      <c r="K426" t="s">
        <v>1018</v>
      </c>
      <c r="L426" t="s">
        <v>589</v>
      </c>
      <c r="M426" t="s">
        <v>27</v>
      </c>
      <c r="N426" t="s">
        <v>387</v>
      </c>
      <c r="O426" t="e">
        <f>_xlfn.XLOOKUP(E426,[1]syr_populatedplaces!$L:$L,[1]syr_populatedplaces!$M:$M)</f>
        <v>#N/A</v>
      </c>
      <c r="P426" s="4" t="e">
        <f>_xlfn.XLOOKUP(الجدول1[[#This Row],[القرية– البلدة]],[1]syr_populatedplaces!$L:$L,[1]syr_populatedplaces!$AD:$AD)</f>
        <v>#N/A</v>
      </c>
      <c r="Q426" s="4" t="e">
        <f>_xlfn.XLOOKUP(الجدول1[[#This Row],[القرية– البلدة]],[1]syr_populatedplaces!$L:$L,[1]syr_populatedplaces!$AC:$AC)</f>
        <v>#N/A</v>
      </c>
    </row>
    <row r="427" spans="2:17">
      <c r="B427" t="s">
        <v>614</v>
      </c>
      <c r="C427" t="s">
        <v>127</v>
      </c>
      <c r="D427" t="s">
        <v>128</v>
      </c>
      <c r="E427" t="s">
        <v>163</v>
      </c>
      <c r="F427" t="s">
        <v>346</v>
      </c>
      <c r="G427" t="s">
        <v>702</v>
      </c>
      <c r="H427" t="s">
        <v>260</v>
      </c>
      <c r="I427">
        <v>1</v>
      </c>
      <c r="J427" t="s">
        <v>108</v>
      </c>
      <c r="K427" t="s">
        <v>703</v>
      </c>
      <c r="L427" t="s">
        <v>704</v>
      </c>
      <c r="M427" t="s">
        <v>27</v>
      </c>
      <c r="N427" t="s">
        <v>387</v>
      </c>
      <c r="O427" t="s">
        <v>164</v>
      </c>
      <c r="P427">
        <v>36.212707520000002</v>
      </c>
      <c r="Q427">
        <v>36.520874020000001</v>
      </c>
    </row>
    <row r="428" spans="2:17">
      <c r="B428" t="s">
        <v>614</v>
      </c>
      <c r="C428" t="s">
        <v>127</v>
      </c>
      <c r="D428" t="s">
        <v>128</v>
      </c>
      <c r="E428" t="s">
        <v>425</v>
      </c>
      <c r="F428" t="s">
        <v>346</v>
      </c>
      <c r="G428" t="s">
        <v>702</v>
      </c>
      <c r="H428" t="s">
        <v>260</v>
      </c>
      <c r="I428">
        <v>1</v>
      </c>
      <c r="J428" t="s">
        <v>108</v>
      </c>
      <c r="K428" t="s">
        <v>703</v>
      </c>
      <c r="L428" t="s">
        <v>704</v>
      </c>
      <c r="M428" t="s">
        <v>27</v>
      </c>
      <c r="N428" t="s">
        <v>387</v>
      </c>
      <c r="O428" t="str">
        <f>_xlfn.XLOOKUP(E428,[1]syr_populatedplaces!$L:$L,[1]syr_populatedplaces!$M:$M)</f>
        <v>C3965</v>
      </c>
      <c r="P428">
        <f>_xlfn.XLOOKUP(E428,[1]syr_populatedplaces!$L:$L,[1]syr_populatedplaces!$AD:$AD)</f>
        <v>35.699890140000001</v>
      </c>
      <c r="Q428">
        <f>_xlfn.XLOOKUP(E428,[1]syr_populatedplaces!$L:$L,[1]syr_populatedplaces!$AC:$AC)</f>
        <v>36.688110350000002</v>
      </c>
    </row>
    <row r="429" spans="2:17">
      <c r="B429" t="s">
        <v>614</v>
      </c>
      <c r="C429" t="s">
        <v>127</v>
      </c>
      <c r="D429" t="s">
        <v>128</v>
      </c>
      <c r="E429" t="s">
        <v>129</v>
      </c>
      <c r="F429" t="s">
        <v>346</v>
      </c>
      <c r="G429" t="s">
        <v>702</v>
      </c>
      <c r="H429" t="s">
        <v>260</v>
      </c>
      <c r="I429">
        <v>1</v>
      </c>
      <c r="J429" t="s">
        <v>108</v>
      </c>
      <c r="K429" t="s">
        <v>703</v>
      </c>
      <c r="L429" t="s">
        <v>704</v>
      </c>
      <c r="M429" t="s">
        <v>27</v>
      </c>
      <c r="N429" t="s">
        <v>387</v>
      </c>
      <c r="O429" t="s">
        <v>133</v>
      </c>
      <c r="P429">
        <v>35.814270020000002</v>
      </c>
      <c r="Q429">
        <v>36.314880369999997</v>
      </c>
    </row>
    <row r="430" spans="2:17">
      <c r="B430" t="s">
        <v>614</v>
      </c>
      <c r="C430" t="s">
        <v>127</v>
      </c>
      <c r="D430" t="s">
        <v>128</v>
      </c>
      <c r="E430" t="s">
        <v>142</v>
      </c>
      <c r="F430" t="s">
        <v>346</v>
      </c>
      <c r="G430" t="s">
        <v>123</v>
      </c>
      <c r="H430" t="s">
        <v>124</v>
      </c>
      <c r="I430">
        <v>15</v>
      </c>
      <c r="J430" t="s">
        <v>108</v>
      </c>
      <c r="K430" t="s">
        <v>707</v>
      </c>
      <c r="L430" t="s">
        <v>708</v>
      </c>
      <c r="M430" t="s">
        <v>27</v>
      </c>
      <c r="N430" t="s">
        <v>108</v>
      </c>
      <c r="O430" t="str">
        <f>_xlfn.XLOOKUP(E430,[1]syr_populatedplaces!$L:$L,[1]syr_populatedplaces!$M:$M)</f>
        <v>C3866</v>
      </c>
      <c r="P430">
        <f>_xlfn.XLOOKUP(E430,[1]syr_populatedplaces!$L:$L,[1]syr_populatedplaces!$AD:$AD)</f>
        <v>35.885681150000003</v>
      </c>
      <c r="Q430">
        <f>_xlfn.XLOOKUP(E430,[1]syr_populatedplaces!$L:$L,[1]syr_populatedplaces!$AC:$AC)</f>
        <v>36.441894529999999</v>
      </c>
    </row>
    <row r="431" spans="2:17" ht="15">
      <c r="B431" t="s">
        <v>928</v>
      </c>
      <c r="C431" t="s">
        <v>127</v>
      </c>
      <c r="D431" t="s">
        <v>27</v>
      </c>
      <c r="E431" t="s">
        <v>1007</v>
      </c>
      <c r="F431" t="s">
        <v>930</v>
      </c>
      <c r="G431" t="s">
        <v>1017</v>
      </c>
      <c r="H431" t="s">
        <v>422</v>
      </c>
      <c r="I431">
        <v>1</v>
      </c>
      <c r="J431" t="s">
        <v>108</v>
      </c>
      <c r="K431" t="s">
        <v>1018</v>
      </c>
      <c r="L431" t="s">
        <v>589</v>
      </c>
      <c r="M431" t="s">
        <v>27</v>
      </c>
      <c r="N431" t="s">
        <v>387</v>
      </c>
      <c r="O431" t="e">
        <f>_xlfn.XLOOKUP(E431,[1]syr_populatedplaces!$L:$L,[1]syr_populatedplaces!$M:$M)</f>
        <v>#N/A</v>
      </c>
      <c r="P431" s="4" t="e">
        <f>_xlfn.XLOOKUP(الجدول1[[#This Row],[القرية– البلدة]],[1]syr_populatedplaces!$L:$L,[1]syr_populatedplaces!$AD:$AD)</f>
        <v>#N/A</v>
      </c>
      <c r="Q431" s="4" t="e">
        <f>_xlfn.XLOOKUP(الجدول1[[#This Row],[القرية– البلدة]],[1]syr_populatedplaces!$L:$L,[1]syr_populatedplaces!$AC:$AC)</f>
        <v>#N/A</v>
      </c>
    </row>
    <row r="432" spans="2:17">
      <c r="B432" t="s">
        <v>614</v>
      </c>
      <c r="C432" t="s">
        <v>127</v>
      </c>
      <c r="D432" t="s">
        <v>128</v>
      </c>
      <c r="E432" t="s">
        <v>465</v>
      </c>
      <c r="F432" t="s">
        <v>346</v>
      </c>
      <c r="G432" t="s">
        <v>123</v>
      </c>
      <c r="H432" t="s">
        <v>124</v>
      </c>
      <c r="I432">
        <v>15</v>
      </c>
      <c r="J432" t="s">
        <v>108</v>
      </c>
      <c r="K432" t="s">
        <v>707</v>
      </c>
      <c r="L432" t="s">
        <v>708</v>
      </c>
      <c r="M432" t="s">
        <v>27</v>
      </c>
      <c r="N432" t="s">
        <v>108</v>
      </c>
      <c r="O432" t="s">
        <v>466</v>
      </c>
      <c r="P432">
        <v>35.784118650000003</v>
      </c>
      <c r="Q432">
        <v>36.468872070000003</v>
      </c>
    </row>
    <row r="433" spans="2:17">
      <c r="B433" t="s">
        <v>614</v>
      </c>
      <c r="C433" t="s">
        <v>127</v>
      </c>
      <c r="D433" t="s">
        <v>128</v>
      </c>
      <c r="E433" t="s">
        <v>709</v>
      </c>
      <c r="F433" t="s">
        <v>346</v>
      </c>
      <c r="G433" t="s">
        <v>123</v>
      </c>
      <c r="H433" t="s">
        <v>124</v>
      </c>
      <c r="I433">
        <v>15</v>
      </c>
      <c r="J433" t="s">
        <v>108</v>
      </c>
      <c r="K433" t="s">
        <v>707</v>
      </c>
      <c r="L433" t="s">
        <v>708</v>
      </c>
      <c r="M433" t="s">
        <v>27</v>
      </c>
      <c r="N433" t="s">
        <v>108</v>
      </c>
      <c r="O433" t="s">
        <v>710</v>
      </c>
      <c r="P433">
        <v>36.089904789999999</v>
      </c>
      <c r="Q433">
        <v>36.71368408</v>
      </c>
    </row>
    <row r="434" spans="2:17" ht="15">
      <c r="B434" t="s">
        <v>928</v>
      </c>
      <c r="C434" t="s">
        <v>127</v>
      </c>
      <c r="D434" t="s">
        <v>27</v>
      </c>
      <c r="E434" t="s">
        <v>1008</v>
      </c>
      <c r="F434" t="s">
        <v>930</v>
      </c>
      <c r="G434" t="s">
        <v>1017</v>
      </c>
      <c r="H434" t="s">
        <v>422</v>
      </c>
      <c r="I434">
        <v>1</v>
      </c>
      <c r="J434" t="s">
        <v>108</v>
      </c>
      <c r="K434" t="s">
        <v>1018</v>
      </c>
      <c r="L434" t="s">
        <v>589</v>
      </c>
      <c r="M434" t="s">
        <v>27</v>
      </c>
      <c r="N434" t="s">
        <v>387</v>
      </c>
      <c r="O434" t="e">
        <f>_xlfn.XLOOKUP(E434,[1]syr_populatedplaces!$L:$L,[1]syr_populatedplaces!$M:$M)</f>
        <v>#N/A</v>
      </c>
      <c r="P434" s="4" t="e">
        <f>_xlfn.XLOOKUP(الجدول1[[#This Row],[القرية– البلدة]],[1]syr_populatedplaces!$L:$L,[1]syr_populatedplaces!$AD:$AD)</f>
        <v>#N/A</v>
      </c>
      <c r="Q434" s="4" t="e">
        <f>_xlfn.XLOOKUP(الجدول1[[#This Row],[القرية– البلدة]],[1]syr_populatedplaces!$L:$L,[1]syr_populatedplaces!$AC:$AC)</f>
        <v>#N/A</v>
      </c>
    </row>
    <row r="435" spans="2:17">
      <c r="B435" t="s">
        <v>614</v>
      </c>
      <c r="C435" t="s">
        <v>127</v>
      </c>
      <c r="D435" t="s">
        <v>128</v>
      </c>
      <c r="E435" t="s">
        <v>165</v>
      </c>
      <c r="F435" t="s">
        <v>346</v>
      </c>
      <c r="G435" t="s">
        <v>123</v>
      </c>
      <c r="H435" t="s">
        <v>124</v>
      </c>
      <c r="I435">
        <v>15</v>
      </c>
      <c r="J435" t="s">
        <v>108</v>
      </c>
      <c r="K435" t="s">
        <v>707</v>
      </c>
      <c r="L435" t="s">
        <v>708</v>
      </c>
      <c r="M435" t="s">
        <v>27</v>
      </c>
      <c r="N435" t="s">
        <v>108</v>
      </c>
      <c r="O435" t="s">
        <v>166</v>
      </c>
      <c r="P435">
        <v>36.186706540000003</v>
      </c>
      <c r="Q435">
        <v>36.723876949999998</v>
      </c>
    </row>
    <row r="436" spans="2:17">
      <c r="B436" t="s">
        <v>614</v>
      </c>
      <c r="C436" t="s">
        <v>127</v>
      </c>
      <c r="D436" t="s">
        <v>128</v>
      </c>
      <c r="E436" t="s">
        <v>425</v>
      </c>
      <c r="F436" t="s">
        <v>346</v>
      </c>
      <c r="G436" t="s">
        <v>123</v>
      </c>
      <c r="H436" t="s">
        <v>124</v>
      </c>
      <c r="I436">
        <v>15</v>
      </c>
      <c r="J436" t="s">
        <v>108</v>
      </c>
      <c r="K436" t="s">
        <v>707</v>
      </c>
      <c r="L436" t="s">
        <v>708</v>
      </c>
      <c r="M436" t="s">
        <v>27</v>
      </c>
      <c r="N436" t="s">
        <v>108</v>
      </c>
      <c r="O436" t="str">
        <f>_xlfn.XLOOKUP(E436,[1]syr_populatedplaces!$L:$L,[1]syr_populatedplaces!$M:$M)</f>
        <v>C3965</v>
      </c>
      <c r="P436">
        <f>_xlfn.XLOOKUP(E436,[1]syr_populatedplaces!$L:$L,[1]syr_populatedplaces!$AD:$AD)</f>
        <v>35.699890140000001</v>
      </c>
      <c r="Q436">
        <f>_xlfn.XLOOKUP(E436,[1]syr_populatedplaces!$L:$L,[1]syr_populatedplaces!$AC:$AC)</f>
        <v>36.688110350000002</v>
      </c>
    </row>
    <row r="437" spans="2:17">
      <c r="B437" t="s">
        <v>614</v>
      </c>
      <c r="C437" t="s">
        <v>127</v>
      </c>
      <c r="D437" t="s">
        <v>128</v>
      </c>
      <c r="E437" t="s">
        <v>442</v>
      </c>
      <c r="F437" t="s">
        <v>346</v>
      </c>
      <c r="G437" t="s">
        <v>123</v>
      </c>
      <c r="H437" t="s">
        <v>124</v>
      </c>
      <c r="I437">
        <v>15</v>
      </c>
      <c r="J437" t="s">
        <v>108</v>
      </c>
      <c r="K437" t="s">
        <v>707</v>
      </c>
      <c r="L437" t="s">
        <v>708</v>
      </c>
      <c r="M437" t="s">
        <v>27</v>
      </c>
      <c r="N437" t="s">
        <v>108</v>
      </c>
      <c r="O437" t="str">
        <f>_xlfn.XLOOKUP(E437,[1]syr_populatedplaces!$L:$L,[1]syr_populatedplaces!$M:$M)</f>
        <v>C8380</v>
      </c>
      <c r="P437">
        <f>_xlfn.XLOOKUP(E437,[1]syr_populatedplaces!$L:$L,[1]syr_populatedplaces!$AD:$AD)</f>
        <v>35.839904789999999</v>
      </c>
      <c r="Q437">
        <f>_xlfn.XLOOKUP(E437,[1]syr_populatedplaces!$L:$L,[1]syr_populatedplaces!$AC:$AC)</f>
        <v>36.500305179999998</v>
      </c>
    </row>
    <row r="438" spans="2:17">
      <c r="B438" t="s">
        <v>614</v>
      </c>
      <c r="C438" t="s">
        <v>127</v>
      </c>
      <c r="D438" t="s">
        <v>128</v>
      </c>
      <c r="E438" t="s">
        <v>163</v>
      </c>
      <c r="F438" t="s">
        <v>346</v>
      </c>
      <c r="G438" t="s">
        <v>123</v>
      </c>
      <c r="H438" t="s">
        <v>124</v>
      </c>
      <c r="I438">
        <v>15</v>
      </c>
      <c r="J438" t="s">
        <v>108</v>
      </c>
      <c r="K438" t="s">
        <v>707</v>
      </c>
      <c r="L438" t="s">
        <v>708</v>
      </c>
      <c r="M438" t="s">
        <v>27</v>
      </c>
      <c r="N438" t="s">
        <v>108</v>
      </c>
      <c r="O438" t="s">
        <v>164</v>
      </c>
      <c r="P438">
        <v>36.212707520000002</v>
      </c>
      <c r="Q438">
        <v>36.520874020000001</v>
      </c>
    </row>
    <row r="439" spans="2:17" ht="15">
      <c r="B439" t="s">
        <v>928</v>
      </c>
      <c r="C439" t="s">
        <v>127</v>
      </c>
      <c r="D439" t="s">
        <v>27</v>
      </c>
      <c r="E439" t="s">
        <v>1009</v>
      </c>
      <c r="F439" t="s">
        <v>930</v>
      </c>
      <c r="G439" t="s">
        <v>1017</v>
      </c>
      <c r="H439" t="s">
        <v>422</v>
      </c>
      <c r="I439">
        <v>1</v>
      </c>
      <c r="J439" t="s">
        <v>108</v>
      </c>
      <c r="K439" t="s">
        <v>1018</v>
      </c>
      <c r="L439" t="s">
        <v>589</v>
      </c>
      <c r="M439" t="s">
        <v>27</v>
      </c>
      <c r="N439" t="s">
        <v>387</v>
      </c>
      <c r="O439" t="e">
        <f>_xlfn.XLOOKUP(E439,[1]syr_populatedplaces!$L:$L,[1]syr_populatedplaces!$M:$M)</f>
        <v>#N/A</v>
      </c>
      <c r="P439" s="4" t="e">
        <f>_xlfn.XLOOKUP(الجدول1[[#This Row],[القرية– البلدة]],[1]syr_populatedplaces!$L:$L,[1]syr_populatedplaces!$AD:$AD)</f>
        <v>#N/A</v>
      </c>
      <c r="Q439" s="4" t="e">
        <f>_xlfn.XLOOKUP(الجدول1[[#This Row],[القرية– البلدة]],[1]syr_populatedplaces!$L:$L,[1]syr_populatedplaces!$AC:$AC)</f>
        <v>#N/A</v>
      </c>
    </row>
    <row r="440" spans="2:17">
      <c r="B440" t="s">
        <v>614</v>
      </c>
      <c r="C440" t="s">
        <v>127</v>
      </c>
      <c r="D440" t="s">
        <v>128</v>
      </c>
      <c r="E440" t="s">
        <v>129</v>
      </c>
      <c r="F440" t="s">
        <v>346</v>
      </c>
      <c r="G440" t="s">
        <v>712</v>
      </c>
      <c r="H440" t="s">
        <v>124</v>
      </c>
      <c r="I440">
        <v>28</v>
      </c>
      <c r="J440" t="s">
        <v>108</v>
      </c>
      <c r="K440" t="s">
        <v>713</v>
      </c>
      <c r="L440" t="s">
        <v>714</v>
      </c>
      <c r="M440" t="s">
        <v>27</v>
      </c>
      <c r="N440" t="s">
        <v>387</v>
      </c>
      <c r="O440" t="s">
        <v>133</v>
      </c>
      <c r="P440">
        <v>35.814270020000002</v>
      </c>
      <c r="Q440">
        <v>36.314880369999997</v>
      </c>
    </row>
    <row r="441" spans="2:17">
      <c r="B441" t="s">
        <v>614</v>
      </c>
      <c r="C441" t="s">
        <v>127</v>
      </c>
      <c r="D441" t="s">
        <v>128</v>
      </c>
      <c r="E441" t="s">
        <v>715</v>
      </c>
      <c r="F441" t="s">
        <v>346</v>
      </c>
      <c r="G441" t="s">
        <v>712</v>
      </c>
      <c r="H441" t="s">
        <v>124</v>
      </c>
      <c r="I441">
        <v>28</v>
      </c>
      <c r="J441" t="s">
        <v>108</v>
      </c>
      <c r="K441" t="s">
        <v>713</v>
      </c>
      <c r="L441" t="s">
        <v>714</v>
      </c>
      <c r="M441" t="s">
        <v>27</v>
      </c>
      <c r="N441" t="s">
        <v>387</v>
      </c>
      <c r="O441" t="s">
        <v>716</v>
      </c>
      <c r="P441">
        <v>35.783081060000001</v>
      </c>
      <c r="Q441">
        <v>36.591491699999999</v>
      </c>
    </row>
    <row r="442" spans="2:17">
      <c r="B442" t="s">
        <v>614</v>
      </c>
      <c r="C442" t="s">
        <v>127</v>
      </c>
      <c r="D442" t="s">
        <v>128</v>
      </c>
      <c r="E442" t="s">
        <v>142</v>
      </c>
      <c r="F442" t="s">
        <v>346</v>
      </c>
      <c r="G442" t="s">
        <v>712</v>
      </c>
      <c r="H442" t="s">
        <v>124</v>
      </c>
      <c r="I442">
        <v>28</v>
      </c>
      <c r="J442" t="s">
        <v>108</v>
      </c>
      <c r="K442" t="s">
        <v>713</v>
      </c>
      <c r="L442" t="s">
        <v>714</v>
      </c>
      <c r="M442" t="s">
        <v>27</v>
      </c>
      <c r="N442" t="s">
        <v>387</v>
      </c>
      <c r="O442" t="str">
        <f>_xlfn.XLOOKUP(E442,[1]syr_populatedplaces!$L:$L,[1]syr_populatedplaces!$M:$M)</f>
        <v>C3866</v>
      </c>
      <c r="P442">
        <f>_xlfn.XLOOKUP(E442,[1]syr_populatedplaces!$L:$L,[1]syr_populatedplaces!$AD:$AD)</f>
        <v>35.885681150000003</v>
      </c>
      <c r="Q442">
        <f>_xlfn.XLOOKUP(E442,[1]syr_populatedplaces!$L:$L,[1]syr_populatedplaces!$AC:$AC)</f>
        <v>36.441894529999999</v>
      </c>
    </row>
    <row r="443" spans="2:17">
      <c r="B443" t="s">
        <v>614</v>
      </c>
      <c r="C443" t="s">
        <v>127</v>
      </c>
      <c r="D443" t="s">
        <v>128</v>
      </c>
      <c r="E443" t="s">
        <v>717</v>
      </c>
      <c r="F443" t="s">
        <v>346</v>
      </c>
      <c r="G443" t="s">
        <v>712</v>
      </c>
      <c r="H443" t="s">
        <v>124</v>
      </c>
      <c r="I443">
        <v>28</v>
      </c>
      <c r="J443" t="s">
        <v>108</v>
      </c>
      <c r="K443" t="s">
        <v>713</v>
      </c>
      <c r="L443" t="s">
        <v>714</v>
      </c>
      <c r="M443" t="s">
        <v>27</v>
      </c>
      <c r="N443" t="s">
        <v>387</v>
      </c>
      <c r="O443" t="s">
        <v>718</v>
      </c>
      <c r="P443">
        <v>35.775878910000003</v>
      </c>
      <c r="Q443">
        <v>36.615112310000001</v>
      </c>
    </row>
    <row r="444" spans="2:17" ht="15">
      <c r="B444" t="s">
        <v>928</v>
      </c>
      <c r="C444" t="s">
        <v>127</v>
      </c>
      <c r="D444" t="s">
        <v>27</v>
      </c>
      <c r="E444" t="s">
        <v>1019</v>
      </c>
      <c r="F444" t="s">
        <v>930</v>
      </c>
      <c r="G444" t="s">
        <v>1017</v>
      </c>
      <c r="H444" t="s">
        <v>422</v>
      </c>
      <c r="I444">
        <v>1</v>
      </c>
      <c r="J444" t="s">
        <v>108</v>
      </c>
      <c r="K444" t="s">
        <v>1018</v>
      </c>
      <c r="L444" t="s">
        <v>589</v>
      </c>
      <c r="M444" t="s">
        <v>27</v>
      </c>
      <c r="N444" t="s">
        <v>387</v>
      </c>
      <c r="O444" t="e">
        <f>_xlfn.XLOOKUP(E444,[1]syr_populatedplaces!$L:$L,[1]syr_populatedplaces!$M:$M)</f>
        <v>#N/A</v>
      </c>
      <c r="P444" s="4" t="e">
        <f>_xlfn.XLOOKUP(الجدول1[[#This Row],[القرية– البلدة]],[1]syr_populatedplaces!$L:$L,[1]syr_populatedplaces!$AD:$AD)</f>
        <v>#N/A</v>
      </c>
      <c r="Q444" s="4" t="e">
        <f>_xlfn.XLOOKUP(الجدول1[[#This Row],[القرية– البلدة]],[1]syr_populatedplaces!$L:$L,[1]syr_populatedplaces!$AC:$AC)</f>
        <v>#N/A</v>
      </c>
    </row>
    <row r="445" spans="2:17">
      <c r="B445" t="s">
        <v>928</v>
      </c>
      <c r="C445" t="s">
        <v>127</v>
      </c>
      <c r="D445" t="s">
        <v>1020</v>
      </c>
      <c r="E445" t="s">
        <v>1806</v>
      </c>
      <c r="F445" t="s">
        <v>930</v>
      </c>
      <c r="G445" t="s">
        <v>1021</v>
      </c>
      <c r="H445" t="s">
        <v>260</v>
      </c>
      <c r="I445">
        <v>1</v>
      </c>
      <c r="J445" t="s">
        <v>108</v>
      </c>
      <c r="K445" t="s">
        <v>1022</v>
      </c>
      <c r="L445" t="s">
        <v>1023</v>
      </c>
      <c r="M445" t="s">
        <v>1024</v>
      </c>
      <c r="N445" t="s">
        <v>387</v>
      </c>
      <c r="O445" t="str">
        <f>_xlfn.XLOOKUP(E445,[1]syr_populatedplaces!$L:$L,[1]syr_populatedplaces!$M:$M)</f>
        <v>C3871</v>
      </c>
      <c r="P445">
        <f>_xlfn.XLOOKUP(E445,[1]syr_populatedplaces!$L:$L,[1]syr_populatedplaces!$AD:$AD)</f>
        <v>35.929077149999998</v>
      </c>
      <c r="Q445">
        <f>_xlfn.XLOOKUP(E445,[1]syr_populatedplaces!$L:$L,[1]syr_populatedplaces!$AC:$AC)</f>
        <v>36.635314940000001</v>
      </c>
    </row>
    <row r="446" spans="2:17">
      <c r="B446" t="s">
        <v>614</v>
      </c>
      <c r="C446" t="s">
        <v>127</v>
      </c>
      <c r="D446" t="s">
        <v>128</v>
      </c>
      <c r="E446" t="s">
        <v>719</v>
      </c>
      <c r="F446" t="s">
        <v>346</v>
      </c>
      <c r="G446" t="s">
        <v>712</v>
      </c>
      <c r="H446" t="s">
        <v>124</v>
      </c>
      <c r="I446">
        <v>28</v>
      </c>
      <c r="J446" t="s">
        <v>108</v>
      </c>
      <c r="K446" t="s">
        <v>713</v>
      </c>
      <c r="L446" t="s">
        <v>714</v>
      </c>
      <c r="M446" t="s">
        <v>27</v>
      </c>
      <c r="N446" t="s">
        <v>387</v>
      </c>
      <c r="O446" t="str">
        <f>_xlfn.XLOOKUP(E446,[1]syr_populatedplaces!$L:$L,[1]syr_populatedplaces!$M:$M)</f>
        <v>C3925</v>
      </c>
      <c r="P446">
        <f>_xlfn.XLOOKUP(E446,[1]syr_populatedplaces!$L:$L,[1]syr_populatedplaces!$AD:$AD)</f>
        <v>35.756713869999999</v>
      </c>
      <c r="Q446">
        <f>_xlfn.XLOOKUP(E446,[1]syr_populatedplaces!$L:$L,[1]syr_populatedplaces!$AC:$AC)</f>
        <v>36.755676270000002</v>
      </c>
    </row>
    <row r="447" spans="2:17">
      <c r="B447" t="s">
        <v>928</v>
      </c>
      <c r="C447" t="s">
        <v>127</v>
      </c>
      <c r="D447" t="s">
        <v>183</v>
      </c>
      <c r="E447" t="s">
        <v>183</v>
      </c>
      <c r="F447" t="s">
        <v>930</v>
      </c>
      <c r="G447" t="s">
        <v>1025</v>
      </c>
      <c r="H447" t="s">
        <v>1026</v>
      </c>
      <c r="I447">
        <v>1</v>
      </c>
      <c r="J447" t="s">
        <v>883</v>
      </c>
      <c r="K447" t="s">
        <v>1027</v>
      </c>
      <c r="L447" t="s">
        <v>1028</v>
      </c>
      <c r="M447" t="s">
        <v>27</v>
      </c>
      <c r="N447" t="s">
        <v>387</v>
      </c>
      <c r="O447" t="str">
        <f>_xlfn.XLOOKUP(E447,[1]syr_populatedplaces!$L:$L,[1]syr_populatedplaces!$M:$M)</f>
        <v>C4231</v>
      </c>
      <c r="P447">
        <f>_xlfn.XLOOKUP(E447,[1]syr_populatedplaces!$L:$L,[1]syr_populatedplaces!$AD:$AD)</f>
        <v>35.903076169999999</v>
      </c>
      <c r="Q447">
        <f>_xlfn.XLOOKUP(E447,[1]syr_populatedplaces!$L:$L,[1]syr_populatedplaces!$AC:$AC)</f>
        <v>36.191101070000002</v>
      </c>
    </row>
    <row r="448" spans="2:17">
      <c r="B448" t="s">
        <v>614</v>
      </c>
      <c r="C448" t="s">
        <v>127</v>
      </c>
      <c r="D448" t="s">
        <v>721</v>
      </c>
      <c r="E448" t="s">
        <v>721</v>
      </c>
      <c r="F448" t="s">
        <v>346</v>
      </c>
      <c r="G448" t="s">
        <v>722</v>
      </c>
      <c r="H448" t="s">
        <v>723</v>
      </c>
      <c r="I448">
        <v>1</v>
      </c>
      <c r="J448" t="s">
        <v>108</v>
      </c>
      <c r="K448" t="s">
        <v>724</v>
      </c>
      <c r="L448" t="s">
        <v>725</v>
      </c>
      <c r="M448" t="s">
        <v>27</v>
      </c>
      <c r="N448" t="s">
        <v>108</v>
      </c>
      <c r="O448" t="s">
        <v>726</v>
      </c>
      <c r="P448">
        <v>35.743286130000001</v>
      </c>
      <c r="Q448">
        <v>36.561523440000002</v>
      </c>
    </row>
    <row r="449" spans="2:17">
      <c r="B449" t="s">
        <v>928</v>
      </c>
      <c r="C449" t="s">
        <v>127</v>
      </c>
      <c r="D449" t="s">
        <v>183</v>
      </c>
      <c r="E449" t="s">
        <v>637</v>
      </c>
      <c r="F449" t="s">
        <v>930</v>
      </c>
      <c r="G449" t="s">
        <v>1029</v>
      </c>
      <c r="H449" t="s">
        <v>1026</v>
      </c>
      <c r="I449">
        <v>1</v>
      </c>
      <c r="J449" t="s">
        <v>108</v>
      </c>
      <c r="K449" t="s">
        <v>1030</v>
      </c>
      <c r="L449" t="s">
        <v>1031</v>
      </c>
      <c r="M449" t="s">
        <v>27</v>
      </c>
      <c r="N449" t="s">
        <v>108</v>
      </c>
      <c r="O449" t="str">
        <f>_xlfn.XLOOKUP(E449,[1]syr_populatedplaces!$L:$L,[1]syr_populatedplaces!$M:$M)</f>
        <v>C2233</v>
      </c>
      <c r="P449">
        <f>_xlfn.XLOOKUP(E449,[1]syr_populatedplaces!$L:$L,[1]syr_populatedplaces!$AD:$AD)</f>
        <v>36.244323729999998</v>
      </c>
      <c r="Q449">
        <f>_xlfn.XLOOKUP(E449,[1]syr_populatedplaces!$L:$L,[1]syr_populatedplaces!$AC:$AC)</f>
        <v>37.57928467</v>
      </c>
    </row>
    <row r="450" spans="2:17">
      <c r="B450" t="s">
        <v>928</v>
      </c>
      <c r="C450" t="s">
        <v>127</v>
      </c>
      <c r="D450" t="s">
        <v>183</v>
      </c>
      <c r="E450" t="s">
        <v>183</v>
      </c>
      <c r="F450" t="s">
        <v>930</v>
      </c>
      <c r="G450" t="s">
        <v>1032</v>
      </c>
      <c r="H450" t="s">
        <v>1033</v>
      </c>
      <c r="I450">
        <v>1</v>
      </c>
      <c r="J450" t="s">
        <v>883</v>
      </c>
      <c r="K450" t="s">
        <v>1034</v>
      </c>
      <c r="L450" t="s">
        <v>1035</v>
      </c>
      <c r="M450" t="s">
        <v>1036</v>
      </c>
      <c r="N450" t="s">
        <v>387</v>
      </c>
      <c r="O450" t="str">
        <f>_xlfn.XLOOKUP(E450,[1]syr_populatedplaces!$L:$L,[1]syr_populatedplaces!$M:$M)</f>
        <v>C4231</v>
      </c>
      <c r="P450">
        <f>_xlfn.XLOOKUP(E450,[1]syr_populatedplaces!$L:$L,[1]syr_populatedplaces!$AD:$AD)</f>
        <v>35.903076169999999</v>
      </c>
      <c r="Q450">
        <f>_xlfn.XLOOKUP(E450,[1]syr_populatedplaces!$L:$L,[1]syr_populatedplaces!$AC:$AC)</f>
        <v>36.191101070000002</v>
      </c>
    </row>
    <row r="451" spans="2:17">
      <c r="B451" t="s">
        <v>1074</v>
      </c>
      <c r="C451" t="s">
        <v>127</v>
      </c>
      <c r="D451" t="s">
        <v>129</v>
      </c>
      <c r="E451" t="s">
        <v>129</v>
      </c>
      <c r="F451" t="s">
        <v>1075</v>
      </c>
      <c r="G451" t="s">
        <v>1076</v>
      </c>
      <c r="H451" t="s">
        <v>260</v>
      </c>
      <c r="I451">
        <v>1</v>
      </c>
      <c r="J451" t="s">
        <v>108</v>
      </c>
      <c r="K451" t="s">
        <v>1077</v>
      </c>
      <c r="L451" t="s">
        <v>132</v>
      </c>
      <c r="M451" t="s">
        <v>1078</v>
      </c>
      <c r="N451" t="s">
        <v>108</v>
      </c>
      <c r="O451" t="str">
        <f>_xlfn.XLOOKUP(E451,[1]syr_populatedplaces!$L:$L,[1]syr_populatedplaces!$M:$M)</f>
        <v>C4199</v>
      </c>
      <c r="P451">
        <f>_xlfn.XLOOKUP(E451,[1]syr_populatedplaces!$L:$L,[1]syr_populatedplaces!$AD:$AD)</f>
        <v>35.814270020000002</v>
      </c>
      <c r="Q451">
        <f>_xlfn.XLOOKUP(E451,[1]syr_populatedplaces!$L:$L,[1]syr_populatedplaces!$AC:$AC)</f>
        <v>36.314880369999997</v>
      </c>
    </row>
    <row r="452" spans="2:17" ht="15">
      <c r="B452" t="s">
        <v>1074</v>
      </c>
      <c r="C452" t="s">
        <v>127</v>
      </c>
      <c r="D452" t="s">
        <v>1083</v>
      </c>
      <c r="E452" t="s">
        <v>1083</v>
      </c>
      <c r="F452" t="s">
        <v>1075</v>
      </c>
      <c r="G452" t="s">
        <v>1084</v>
      </c>
      <c r="H452" t="s">
        <v>1085</v>
      </c>
      <c r="I452">
        <v>1</v>
      </c>
      <c r="J452" t="s">
        <v>108</v>
      </c>
      <c r="K452" t="s">
        <v>1011</v>
      </c>
      <c r="L452" t="s">
        <v>1086</v>
      </c>
      <c r="M452" t="s">
        <v>27</v>
      </c>
      <c r="N452" t="s">
        <v>108</v>
      </c>
      <c r="O452" t="e">
        <f>_xlfn.XLOOKUP(E452,[1]syr_populatedplaces!$L:$L,[1]syr_populatedplaces!$M:$M)</f>
        <v>#N/A</v>
      </c>
      <c r="P452" s="4" t="e">
        <f>_xlfn.XLOOKUP(الجدول1[[#This Row],[القرية– البلدة]],[1]syr_populatedplaces!$L:$L,[1]syr_populatedplaces!$AD:$AD)</f>
        <v>#N/A</v>
      </c>
      <c r="Q452" s="4" t="e">
        <f>_xlfn.XLOOKUP(الجدول1[[#This Row],[القرية– البلدة]],[1]syr_populatedplaces!$L:$L,[1]syr_populatedplaces!$AC:$AC)</f>
        <v>#N/A</v>
      </c>
    </row>
    <row r="453" spans="2:17" ht="15">
      <c r="B453" t="s">
        <v>1074</v>
      </c>
      <c r="C453" t="s">
        <v>127</v>
      </c>
      <c r="D453" t="s">
        <v>183</v>
      </c>
      <c r="E453" t="s">
        <v>960</v>
      </c>
      <c r="F453" t="s">
        <v>1075</v>
      </c>
      <c r="G453" t="s">
        <v>1089</v>
      </c>
      <c r="H453" t="s">
        <v>587</v>
      </c>
      <c r="I453">
        <v>3</v>
      </c>
      <c r="J453" t="s">
        <v>883</v>
      </c>
      <c r="K453" t="s">
        <v>1090</v>
      </c>
      <c r="L453" t="s">
        <v>1091</v>
      </c>
      <c r="M453" t="s">
        <v>27</v>
      </c>
      <c r="N453" t="s">
        <v>387</v>
      </c>
      <c r="O453" t="e">
        <f>_xlfn.XLOOKUP(E453,[1]syr_populatedplaces!$L:$L,[1]syr_populatedplaces!$M:$M)</f>
        <v>#N/A</v>
      </c>
      <c r="P453" s="4" t="e">
        <f>_xlfn.XLOOKUP(الجدول1[[#This Row],[القرية– البلدة]],[1]syr_populatedplaces!$L:$L,[1]syr_populatedplaces!$AD:$AD)</f>
        <v>#N/A</v>
      </c>
      <c r="Q453" s="4" t="e">
        <f>_xlfn.XLOOKUP(الجدول1[[#This Row],[القرية– البلدة]],[1]syr_populatedplaces!$L:$L,[1]syr_populatedplaces!$AC:$AC)</f>
        <v>#N/A</v>
      </c>
    </row>
    <row r="454" spans="2:17" ht="15">
      <c r="B454" t="s">
        <v>1074</v>
      </c>
      <c r="C454" t="s">
        <v>127</v>
      </c>
      <c r="D454" t="s">
        <v>150</v>
      </c>
      <c r="E454" t="s">
        <v>877</v>
      </c>
      <c r="F454" t="s">
        <v>1075</v>
      </c>
      <c r="G454" t="s">
        <v>1089</v>
      </c>
      <c r="H454" t="s">
        <v>587</v>
      </c>
      <c r="I454">
        <v>2</v>
      </c>
      <c r="J454" t="s">
        <v>883</v>
      </c>
      <c r="K454" t="s">
        <v>1092</v>
      </c>
      <c r="L454" t="s">
        <v>1093</v>
      </c>
      <c r="M454" t="s">
        <v>27</v>
      </c>
      <c r="N454" t="s">
        <v>387</v>
      </c>
      <c r="O454" t="e">
        <f>_xlfn.XLOOKUP(E454,[1]syr_populatedplaces!$L:$L,[1]syr_populatedplaces!$M:$M)</f>
        <v>#N/A</v>
      </c>
      <c r="P454" s="4" t="e">
        <f>_xlfn.XLOOKUP(الجدول1[[#This Row],[القرية– البلدة]],[1]syr_populatedplaces!$L:$L,[1]syr_populatedplaces!$AD:$AD)</f>
        <v>#N/A</v>
      </c>
      <c r="Q454" s="4" t="e">
        <f>_xlfn.XLOOKUP(الجدول1[[#This Row],[القرية– البلدة]],[1]syr_populatedplaces!$L:$L,[1]syr_populatedplaces!$AC:$AC)</f>
        <v>#N/A</v>
      </c>
    </row>
    <row r="455" spans="2:17">
      <c r="B455" t="s">
        <v>1074</v>
      </c>
      <c r="C455" t="s">
        <v>127</v>
      </c>
      <c r="D455" t="s">
        <v>446</v>
      </c>
      <c r="E455" t="s">
        <v>446</v>
      </c>
      <c r="F455" t="s">
        <v>1075</v>
      </c>
      <c r="G455" t="s">
        <v>1094</v>
      </c>
      <c r="H455" t="s">
        <v>1095</v>
      </c>
      <c r="I455">
        <v>1</v>
      </c>
      <c r="J455" t="s">
        <v>108</v>
      </c>
      <c r="K455" t="s">
        <v>1011</v>
      </c>
      <c r="L455" t="s">
        <v>1096</v>
      </c>
      <c r="M455" t="s">
        <v>27</v>
      </c>
      <c r="N455" t="s">
        <v>108</v>
      </c>
      <c r="O455" t="str">
        <f>_xlfn.XLOOKUP(E455,[1]syr_populatedplaces!$L:$L,[1]syr_populatedplaces!$M:$M)</f>
        <v>C3985</v>
      </c>
      <c r="P455">
        <f>_xlfn.XLOOKUP(E455,[1]syr_populatedplaces!$L:$L,[1]syr_populatedplaces!$AD:$AD)</f>
        <v>35.647705080000001</v>
      </c>
      <c r="Q455">
        <f>_xlfn.XLOOKUP(E455,[1]syr_populatedplaces!$L:$L,[1]syr_populatedplaces!$AC:$AC)</f>
        <v>36.67669678</v>
      </c>
    </row>
    <row r="456" spans="2:17">
      <c r="B456" t="s">
        <v>1074</v>
      </c>
      <c r="C456" t="s">
        <v>127</v>
      </c>
      <c r="D456" t="s">
        <v>165</v>
      </c>
      <c r="E456" t="s">
        <v>165</v>
      </c>
      <c r="F456" t="s">
        <v>1075</v>
      </c>
      <c r="G456" t="s">
        <v>1094</v>
      </c>
      <c r="H456" t="s">
        <v>1095</v>
      </c>
      <c r="I456">
        <v>2</v>
      </c>
      <c r="J456" t="s">
        <v>108</v>
      </c>
      <c r="K456" t="s">
        <v>1011</v>
      </c>
      <c r="L456" t="s">
        <v>1096</v>
      </c>
      <c r="M456" t="s">
        <v>27</v>
      </c>
      <c r="N456" t="s">
        <v>387</v>
      </c>
      <c r="O456" t="str">
        <f>_xlfn.XLOOKUP(E456,[1]syr_populatedplaces!$L:$L,[1]syr_populatedplaces!$M:$M)</f>
        <v>C4121</v>
      </c>
      <c r="P456">
        <f>_xlfn.XLOOKUP(E456,[1]syr_populatedplaces!$L:$L,[1]syr_populatedplaces!$AD:$AD)</f>
        <v>36.186706540000003</v>
      </c>
      <c r="Q456">
        <f>_xlfn.XLOOKUP(E456,[1]syr_populatedplaces!$L:$L,[1]syr_populatedplaces!$AC:$AC)</f>
        <v>36.723876949999998</v>
      </c>
    </row>
    <row r="457" spans="2:17">
      <c r="B457" t="s">
        <v>1074</v>
      </c>
      <c r="C457" t="s">
        <v>127</v>
      </c>
      <c r="D457" t="s">
        <v>129</v>
      </c>
      <c r="E457" t="s">
        <v>700</v>
      </c>
      <c r="F457" t="s">
        <v>1075</v>
      </c>
      <c r="G457" t="s">
        <v>1097</v>
      </c>
      <c r="H457" t="s">
        <v>124</v>
      </c>
      <c r="I457">
        <v>1</v>
      </c>
      <c r="J457" t="s">
        <v>108</v>
      </c>
      <c r="K457" t="s">
        <v>1098</v>
      </c>
      <c r="L457" t="s">
        <v>1099</v>
      </c>
      <c r="M457" t="s">
        <v>27</v>
      </c>
      <c r="N457" t="s">
        <v>108</v>
      </c>
      <c r="O457" t="str">
        <f>_xlfn.XLOOKUP(E457,[1]syr_populatedplaces!$L:$L,[1]syr_populatedplaces!$M:$M)</f>
        <v>C6698</v>
      </c>
      <c r="P457">
        <f>_xlfn.XLOOKUP(E457,[1]syr_populatedplaces!$L:$L,[1]syr_populatedplaces!$AD:$AD)</f>
        <v>35.841125490000003</v>
      </c>
      <c r="Q457">
        <f>_xlfn.XLOOKUP(E457,[1]syr_populatedplaces!$L:$L,[1]syr_populatedplaces!$AC:$AC)</f>
        <v>36.224914550000001</v>
      </c>
    </row>
    <row r="458" spans="2:17" ht="15">
      <c r="B458" t="s">
        <v>1074</v>
      </c>
      <c r="C458" t="s">
        <v>127</v>
      </c>
      <c r="D458" t="s">
        <v>163</v>
      </c>
      <c r="E458" t="s">
        <v>1100</v>
      </c>
      <c r="F458" t="s">
        <v>1075</v>
      </c>
      <c r="G458" t="s">
        <v>1101</v>
      </c>
      <c r="H458" t="s">
        <v>587</v>
      </c>
      <c r="I458">
        <v>1</v>
      </c>
      <c r="J458" t="s">
        <v>883</v>
      </c>
      <c r="K458" t="s">
        <v>1102</v>
      </c>
      <c r="L458" t="s">
        <v>1103</v>
      </c>
      <c r="M458" t="s">
        <v>1104</v>
      </c>
      <c r="N458" t="s">
        <v>387</v>
      </c>
      <c r="O458" t="e">
        <f>_xlfn.XLOOKUP(E458,[1]syr_populatedplaces!$L:$L,[1]syr_populatedplaces!$M:$M)</f>
        <v>#N/A</v>
      </c>
      <c r="P458" s="4" t="e">
        <f>_xlfn.XLOOKUP(الجدول1[[#This Row],[القرية– البلدة]],[1]syr_populatedplaces!$L:$L,[1]syr_populatedplaces!$AD:$AD)</f>
        <v>#N/A</v>
      </c>
      <c r="Q458" s="4" t="e">
        <f>_xlfn.XLOOKUP(الجدول1[[#This Row],[القرية– البلدة]],[1]syr_populatedplaces!$L:$L,[1]syr_populatedplaces!$AC:$AC)</f>
        <v>#N/A</v>
      </c>
    </row>
    <row r="459" spans="2:17">
      <c r="B459" t="s">
        <v>1074</v>
      </c>
      <c r="C459" t="s">
        <v>127</v>
      </c>
      <c r="D459" t="s">
        <v>163</v>
      </c>
      <c r="E459" t="s">
        <v>163</v>
      </c>
      <c r="F459" t="s">
        <v>1075</v>
      </c>
      <c r="G459" t="s">
        <v>1105</v>
      </c>
      <c r="H459" t="s">
        <v>474</v>
      </c>
      <c r="I459">
        <v>1</v>
      </c>
      <c r="J459" t="s">
        <v>108</v>
      </c>
      <c r="K459" t="s">
        <v>1106</v>
      </c>
      <c r="L459" t="s">
        <v>1107</v>
      </c>
      <c r="M459" t="s">
        <v>27</v>
      </c>
      <c r="N459" t="s">
        <v>108</v>
      </c>
      <c r="O459" t="str">
        <f>_xlfn.XLOOKUP(E459,[1]syr_populatedplaces!$L:$L,[1]syr_populatedplaces!$M:$M)</f>
        <v>C4115</v>
      </c>
      <c r="P459">
        <f>_xlfn.XLOOKUP(E459,[1]syr_populatedplaces!$L:$L,[1]syr_populatedplaces!$AD:$AD)</f>
        <v>36.212707520000002</v>
      </c>
      <c r="Q459">
        <f>_xlfn.XLOOKUP(E459,[1]syr_populatedplaces!$L:$L,[1]syr_populatedplaces!$AC:$AC)</f>
        <v>36.520874020000001</v>
      </c>
    </row>
    <row r="460" spans="2:17">
      <c r="B460" t="s">
        <v>1074</v>
      </c>
      <c r="C460" t="s">
        <v>127</v>
      </c>
      <c r="D460" t="s">
        <v>129</v>
      </c>
      <c r="E460" t="s">
        <v>129</v>
      </c>
      <c r="F460" t="s">
        <v>1075</v>
      </c>
      <c r="G460" t="s">
        <v>191</v>
      </c>
      <c r="H460" t="s">
        <v>477</v>
      </c>
      <c r="I460">
        <v>1</v>
      </c>
      <c r="J460" t="s">
        <v>883</v>
      </c>
      <c r="K460" t="s">
        <v>1108</v>
      </c>
      <c r="L460" t="s">
        <v>679</v>
      </c>
      <c r="M460" t="s">
        <v>27</v>
      </c>
      <c r="N460" t="s">
        <v>387</v>
      </c>
      <c r="O460" t="str">
        <f>_xlfn.XLOOKUP(E460,[1]syr_populatedplaces!$L:$L,[1]syr_populatedplaces!$M:$M)</f>
        <v>C4199</v>
      </c>
      <c r="P460">
        <f>_xlfn.XLOOKUP(E460,[1]syr_populatedplaces!$L:$L,[1]syr_populatedplaces!$AD:$AD)</f>
        <v>35.814270020000002</v>
      </c>
      <c r="Q460">
        <f>_xlfn.XLOOKUP(E460,[1]syr_populatedplaces!$L:$L,[1]syr_populatedplaces!$AC:$AC)</f>
        <v>36.314880369999997</v>
      </c>
    </row>
    <row r="461" spans="2:17" ht="15">
      <c r="B461" t="s">
        <v>1074</v>
      </c>
      <c r="C461" t="s">
        <v>127</v>
      </c>
      <c r="D461" t="s">
        <v>27</v>
      </c>
      <c r="E461" t="s">
        <v>1109</v>
      </c>
      <c r="F461" t="s">
        <v>1075</v>
      </c>
      <c r="G461" t="s">
        <v>1110</v>
      </c>
      <c r="H461" t="s">
        <v>422</v>
      </c>
      <c r="I461">
        <v>1</v>
      </c>
      <c r="J461" t="s">
        <v>108</v>
      </c>
      <c r="K461" t="s">
        <v>1111</v>
      </c>
      <c r="L461" t="s">
        <v>1112</v>
      </c>
      <c r="M461" t="s">
        <v>27</v>
      </c>
      <c r="N461" t="s">
        <v>387</v>
      </c>
      <c r="O461" t="e">
        <f>_xlfn.XLOOKUP(E461,[1]syr_populatedplaces!$L:$L,[1]syr_populatedplaces!$M:$M)</f>
        <v>#N/A</v>
      </c>
      <c r="P461" s="4" t="e">
        <f>_xlfn.XLOOKUP(الجدول1[[#This Row],[القرية– البلدة]],[1]syr_populatedplaces!$L:$L,[1]syr_populatedplaces!$AD:$AD)</f>
        <v>#N/A</v>
      </c>
      <c r="Q461" s="4" t="e">
        <f>_xlfn.XLOOKUP(الجدول1[[#This Row],[القرية– البلدة]],[1]syr_populatedplaces!$L:$L,[1]syr_populatedplaces!$AC:$AC)</f>
        <v>#N/A</v>
      </c>
    </row>
    <row r="462" spans="2:17" ht="15">
      <c r="B462" t="s">
        <v>1074</v>
      </c>
      <c r="C462" t="s">
        <v>127</v>
      </c>
      <c r="D462" t="s">
        <v>27</v>
      </c>
      <c r="E462" t="s">
        <v>1113</v>
      </c>
      <c r="F462" t="s">
        <v>1075</v>
      </c>
      <c r="G462" t="s">
        <v>1110</v>
      </c>
      <c r="H462" t="s">
        <v>422</v>
      </c>
      <c r="I462">
        <v>1</v>
      </c>
      <c r="J462" t="s">
        <v>108</v>
      </c>
      <c r="K462" t="s">
        <v>1111</v>
      </c>
      <c r="L462" t="s">
        <v>1112</v>
      </c>
      <c r="M462" t="s">
        <v>27</v>
      </c>
      <c r="N462" t="s">
        <v>387</v>
      </c>
      <c r="O462" t="e">
        <f>_xlfn.XLOOKUP(E462,[1]syr_populatedplaces!$L:$L,[1]syr_populatedplaces!$M:$M)</f>
        <v>#N/A</v>
      </c>
      <c r="P462" s="4" t="e">
        <f>_xlfn.XLOOKUP(الجدول1[[#This Row],[القرية– البلدة]],[1]syr_populatedplaces!$L:$L,[1]syr_populatedplaces!$AD:$AD)</f>
        <v>#N/A</v>
      </c>
      <c r="Q462" s="4" t="e">
        <f>_xlfn.XLOOKUP(الجدول1[[#This Row],[القرية– البلدة]],[1]syr_populatedplaces!$L:$L,[1]syr_populatedplaces!$AC:$AC)</f>
        <v>#N/A</v>
      </c>
    </row>
    <row r="463" spans="2:17" ht="15">
      <c r="B463" t="s">
        <v>1074</v>
      </c>
      <c r="C463" t="s">
        <v>127</v>
      </c>
      <c r="D463" t="s">
        <v>27</v>
      </c>
      <c r="E463" t="s">
        <v>1116</v>
      </c>
      <c r="F463" t="s">
        <v>1075</v>
      </c>
      <c r="G463" t="s">
        <v>1110</v>
      </c>
      <c r="H463" t="s">
        <v>422</v>
      </c>
      <c r="I463">
        <v>1</v>
      </c>
      <c r="J463" t="s">
        <v>108</v>
      </c>
      <c r="K463" t="s">
        <v>1111</v>
      </c>
      <c r="L463" t="s">
        <v>1112</v>
      </c>
      <c r="M463" t="s">
        <v>27</v>
      </c>
      <c r="N463" t="s">
        <v>387</v>
      </c>
      <c r="O463" t="e">
        <f>_xlfn.XLOOKUP(E463,[1]syr_populatedplaces!$L:$L,[1]syr_populatedplaces!$M:$M)</f>
        <v>#N/A</v>
      </c>
      <c r="P463" s="4" t="e">
        <f>_xlfn.XLOOKUP(الجدول1[[#This Row],[القرية– البلدة]],[1]syr_populatedplaces!$L:$L,[1]syr_populatedplaces!$AD:$AD)</f>
        <v>#N/A</v>
      </c>
      <c r="Q463" s="4" t="e">
        <f>_xlfn.XLOOKUP(الجدول1[[#This Row],[القرية– البلدة]],[1]syr_populatedplaces!$L:$L,[1]syr_populatedplaces!$AC:$AC)</f>
        <v>#N/A</v>
      </c>
    </row>
    <row r="464" spans="2:17" ht="15">
      <c r="B464" t="s">
        <v>1074</v>
      </c>
      <c r="C464" t="s">
        <v>127</v>
      </c>
      <c r="D464" t="s">
        <v>27</v>
      </c>
      <c r="E464" t="s">
        <v>1117</v>
      </c>
      <c r="F464" t="s">
        <v>1075</v>
      </c>
      <c r="G464" t="s">
        <v>1110</v>
      </c>
      <c r="H464" t="s">
        <v>422</v>
      </c>
      <c r="I464">
        <v>1</v>
      </c>
      <c r="J464" t="s">
        <v>108</v>
      </c>
      <c r="K464" t="s">
        <v>1111</v>
      </c>
      <c r="L464" t="s">
        <v>1112</v>
      </c>
      <c r="M464" t="s">
        <v>27</v>
      </c>
      <c r="N464" t="s">
        <v>387</v>
      </c>
      <c r="O464" t="e">
        <f>_xlfn.XLOOKUP(E464,[1]syr_populatedplaces!$L:$L,[1]syr_populatedplaces!$M:$M)</f>
        <v>#N/A</v>
      </c>
      <c r="P464" s="4" t="e">
        <f>_xlfn.XLOOKUP(الجدول1[[#This Row],[القرية– البلدة]],[1]syr_populatedplaces!$L:$L,[1]syr_populatedplaces!$AD:$AD)</f>
        <v>#N/A</v>
      </c>
      <c r="Q464" s="4" t="e">
        <f>_xlfn.XLOOKUP(الجدول1[[#This Row],[القرية– البلدة]],[1]syr_populatedplaces!$L:$L,[1]syr_populatedplaces!$AC:$AC)</f>
        <v>#N/A</v>
      </c>
    </row>
    <row r="465" spans="2:17" ht="15">
      <c r="B465" t="s">
        <v>1074</v>
      </c>
      <c r="C465" t="s">
        <v>127</v>
      </c>
      <c r="D465" t="s">
        <v>27</v>
      </c>
      <c r="E465" t="s">
        <v>1118</v>
      </c>
      <c r="F465" t="s">
        <v>1075</v>
      </c>
      <c r="G465" t="s">
        <v>1110</v>
      </c>
      <c r="H465" t="s">
        <v>422</v>
      </c>
      <c r="I465">
        <v>1</v>
      </c>
      <c r="J465" t="s">
        <v>108</v>
      </c>
      <c r="K465" t="s">
        <v>1111</v>
      </c>
      <c r="L465" t="s">
        <v>1112</v>
      </c>
      <c r="M465" t="s">
        <v>27</v>
      </c>
      <c r="N465" t="s">
        <v>387</v>
      </c>
      <c r="O465" t="e">
        <f>_xlfn.XLOOKUP(E465,[1]syr_populatedplaces!$L:$L,[1]syr_populatedplaces!$M:$M)</f>
        <v>#N/A</v>
      </c>
      <c r="P465" s="4" t="e">
        <f>_xlfn.XLOOKUP(الجدول1[[#This Row],[القرية– البلدة]],[1]syr_populatedplaces!$L:$L,[1]syr_populatedplaces!$AD:$AD)</f>
        <v>#N/A</v>
      </c>
      <c r="Q465" s="4" t="e">
        <f>_xlfn.XLOOKUP(الجدول1[[#This Row],[القرية– البلدة]],[1]syr_populatedplaces!$L:$L,[1]syr_populatedplaces!$AC:$AC)</f>
        <v>#N/A</v>
      </c>
    </row>
    <row r="466" spans="2:17" ht="15">
      <c r="B466" t="s">
        <v>1074</v>
      </c>
      <c r="C466" t="s">
        <v>127</v>
      </c>
      <c r="D466" t="s">
        <v>27</v>
      </c>
      <c r="E466" t="s">
        <v>1119</v>
      </c>
      <c r="F466" t="s">
        <v>1075</v>
      </c>
      <c r="G466" t="s">
        <v>1110</v>
      </c>
      <c r="H466" t="s">
        <v>422</v>
      </c>
      <c r="I466">
        <v>1</v>
      </c>
      <c r="J466" t="s">
        <v>108</v>
      </c>
      <c r="K466" t="s">
        <v>1111</v>
      </c>
      <c r="L466" t="s">
        <v>1112</v>
      </c>
      <c r="M466" t="s">
        <v>27</v>
      </c>
      <c r="N466" t="s">
        <v>387</v>
      </c>
      <c r="O466" t="e">
        <f>_xlfn.XLOOKUP(E466,[1]syr_populatedplaces!$L:$L,[1]syr_populatedplaces!$M:$M)</f>
        <v>#N/A</v>
      </c>
      <c r="P466" s="4" t="e">
        <f>_xlfn.XLOOKUP(الجدول1[[#This Row],[القرية– البلدة]],[1]syr_populatedplaces!$L:$L,[1]syr_populatedplaces!$AD:$AD)</f>
        <v>#N/A</v>
      </c>
      <c r="Q466" s="4" t="e">
        <f>_xlfn.XLOOKUP(الجدول1[[#This Row],[القرية– البلدة]],[1]syr_populatedplaces!$L:$L,[1]syr_populatedplaces!$AC:$AC)</f>
        <v>#N/A</v>
      </c>
    </row>
    <row r="467" spans="2:17" ht="15">
      <c r="B467" t="s">
        <v>1074</v>
      </c>
      <c r="C467" t="s">
        <v>127</v>
      </c>
      <c r="D467" t="s">
        <v>27</v>
      </c>
      <c r="E467" t="s">
        <v>1120</v>
      </c>
      <c r="F467" t="s">
        <v>1075</v>
      </c>
      <c r="G467" t="s">
        <v>1110</v>
      </c>
      <c r="H467" t="s">
        <v>422</v>
      </c>
      <c r="I467">
        <v>1</v>
      </c>
      <c r="J467" t="s">
        <v>108</v>
      </c>
      <c r="K467" t="s">
        <v>1111</v>
      </c>
      <c r="L467" t="s">
        <v>1112</v>
      </c>
      <c r="M467" t="s">
        <v>27</v>
      </c>
      <c r="N467" t="s">
        <v>387</v>
      </c>
      <c r="O467" t="e">
        <f>_xlfn.XLOOKUP(E467,[1]syr_populatedplaces!$L:$L,[1]syr_populatedplaces!$M:$M)</f>
        <v>#N/A</v>
      </c>
      <c r="P467" s="4" t="e">
        <f>_xlfn.XLOOKUP(الجدول1[[#This Row],[القرية– البلدة]],[1]syr_populatedplaces!$L:$L,[1]syr_populatedplaces!$AD:$AD)</f>
        <v>#N/A</v>
      </c>
      <c r="Q467" s="4" t="e">
        <f>_xlfn.XLOOKUP(الجدول1[[#This Row],[القرية– البلدة]],[1]syr_populatedplaces!$L:$L,[1]syr_populatedplaces!$AC:$AC)</f>
        <v>#N/A</v>
      </c>
    </row>
    <row r="468" spans="2:17" ht="15">
      <c r="B468" t="s">
        <v>1074</v>
      </c>
      <c r="C468" t="s">
        <v>127</v>
      </c>
      <c r="D468" t="s">
        <v>27</v>
      </c>
      <c r="E468" t="s">
        <v>1121</v>
      </c>
      <c r="F468" t="s">
        <v>1075</v>
      </c>
      <c r="G468" t="s">
        <v>1110</v>
      </c>
      <c r="H468" t="s">
        <v>422</v>
      </c>
      <c r="I468">
        <v>1</v>
      </c>
      <c r="J468" t="s">
        <v>108</v>
      </c>
      <c r="K468" t="s">
        <v>1111</v>
      </c>
      <c r="L468" t="s">
        <v>1112</v>
      </c>
      <c r="M468" t="s">
        <v>27</v>
      </c>
      <c r="N468" t="s">
        <v>387</v>
      </c>
      <c r="O468" t="e">
        <f>_xlfn.XLOOKUP(E468,[1]syr_populatedplaces!$L:$L,[1]syr_populatedplaces!$M:$M)</f>
        <v>#N/A</v>
      </c>
      <c r="P468" s="4" t="e">
        <f>_xlfn.XLOOKUP(الجدول1[[#This Row],[القرية– البلدة]],[1]syr_populatedplaces!$L:$L,[1]syr_populatedplaces!$AD:$AD)</f>
        <v>#N/A</v>
      </c>
      <c r="Q468" s="4" t="e">
        <f>_xlfn.XLOOKUP(الجدول1[[#This Row],[القرية– البلدة]],[1]syr_populatedplaces!$L:$L,[1]syr_populatedplaces!$AC:$AC)</f>
        <v>#N/A</v>
      </c>
    </row>
    <row r="469" spans="2:17" ht="15">
      <c r="B469" t="s">
        <v>1074</v>
      </c>
      <c r="C469" t="s">
        <v>127</v>
      </c>
      <c r="D469" t="s">
        <v>27</v>
      </c>
      <c r="E469" t="s">
        <v>1122</v>
      </c>
      <c r="F469" t="s">
        <v>1075</v>
      </c>
      <c r="G469" t="s">
        <v>1110</v>
      </c>
      <c r="H469" t="s">
        <v>422</v>
      </c>
      <c r="I469">
        <v>1</v>
      </c>
      <c r="J469" t="s">
        <v>108</v>
      </c>
      <c r="K469" t="s">
        <v>1111</v>
      </c>
      <c r="L469" t="s">
        <v>1112</v>
      </c>
      <c r="M469" t="s">
        <v>27</v>
      </c>
      <c r="N469" t="s">
        <v>387</v>
      </c>
      <c r="O469" t="e">
        <f>_xlfn.XLOOKUP(E469,[1]syr_populatedplaces!$L:$L,[1]syr_populatedplaces!$M:$M)</f>
        <v>#N/A</v>
      </c>
      <c r="P469" s="4" t="e">
        <f>_xlfn.XLOOKUP(الجدول1[[#This Row],[القرية– البلدة]],[1]syr_populatedplaces!$L:$L,[1]syr_populatedplaces!$AD:$AD)</f>
        <v>#N/A</v>
      </c>
      <c r="Q469" s="4" t="e">
        <f>_xlfn.XLOOKUP(الجدول1[[#This Row],[القرية– البلدة]],[1]syr_populatedplaces!$L:$L,[1]syr_populatedplaces!$AC:$AC)</f>
        <v>#N/A</v>
      </c>
    </row>
    <row r="470" spans="2:17" ht="15">
      <c r="B470" t="s">
        <v>1074</v>
      </c>
      <c r="C470" t="s">
        <v>127</v>
      </c>
      <c r="D470" t="s">
        <v>27</v>
      </c>
      <c r="E470" t="s">
        <v>1123</v>
      </c>
      <c r="F470" t="s">
        <v>1075</v>
      </c>
      <c r="G470" t="s">
        <v>1110</v>
      </c>
      <c r="H470" t="s">
        <v>422</v>
      </c>
      <c r="I470">
        <v>1</v>
      </c>
      <c r="J470" t="s">
        <v>108</v>
      </c>
      <c r="K470" t="s">
        <v>1111</v>
      </c>
      <c r="L470" t="s">
        <v>1112</v>
      </c>
      <c r="M470" t="s">
        <v>27</v>
      </c>
      <c r="N470" t="s">
        <v>387</v>
      </c>
      <c r="O470" t="e">
        <f>_xlfn.XLOOKUP(E470,[1]syr_populatedplaces!$L:$L,[1]syr_populatedplaces!$M:$M)</f>
        <v>#N/A</v>
      </c>
      <c r="P470" s="4" t="e">
        <f>_xlfn.XLOOKUP(الجدول1[[#This Row],[القرية– البلدة]],[1]syr_populatedplaces!$L:$L,[1]syr_populatedplaces!$AD:$AD)</f>
        <v>#N/A</v>
      </c>
      <c r="Q470" s="4" t="e">
        <f>_xlfn.XLOOKUP(الجدول1[[#This Row],[القرية– البلدة]],[1]syr_populatedplaces!$L:$L,[1]syr_populatedplaces!$AC:$AC)</f>
        <v>#N/A</v>
      </c>
    </row>
    <row r="471" spans="2:17" ht="15">
      <c r="B471" t="s">
        <v>1074</v>
      </c>
      <c r="C471" t="s">
        <v>127</v>
      </c>
      <c r="D471" t="s">
        <v>27</v>
      </c>
      <c r="E471" t="s">
        <v>1124</v>
      </c>
      <c r="F471" t="s">
        <v>1075</v>
      </c>
      <c r="G471" t="s">
        <v>1110</v>
      </c>
      <c r="H471" t="s">
        <v>422</v>
      </c>
      <c r="I471">
        <v>1</v>
      </c>
      <c r="J471" t="s">
        <v>108</v>
      </c>
      <c r="K471" t="s">
        <v>1111</v>
      </c>
      <c r="L471" t="s">
        <v>1112</v>
      </c>
      <c r="M471" t="s">
        <v>27</v>
      </c>
      <c r="N471" t="s">
        <v>387</v>
      </c>
      <c r="O471" t="e">
        <f>_xlfn.XLOOKUP(E471,[1]syr_populatedplaces!$L:$L,[1]syr_populatedplaces!$M:$M)</f>
        <v>#N/A</v>
      </c>
      <c r="P471" s="4" t="e">
        <f>_xlfn.XLOOKUP(الجدول1[[#This Row],[القرية– البلدة]],[1]syr_populatedplaces!$L:$L,[1]syr_populatedplaces!$AD:$AD)</f>
        <v>#N/A</v>
      </c>
      <c r="Q471" s="4" t="e">
        <f>_xlfn.XLOOKUP(الجدول1[[#This Row],[القرية– البلدة]],[1]syr_populatedplaces!$L:$L,[1]syr_populatedplaces!$AC:$AC)</f>
        <v>#N/A</v>
      </c>
    </row>
    <row r="472" spans="2:17" ht="15">
      <c r="B472" t="s">
        <v>1074</v>
      </c>
      <c r="C472" t="s">
        <v>127</v>
      </c>
      <c r="D472" t="s">
        <v>27</v>
      </c>
      <c r="E472" t="s">
        <v>877</v>
      </c>
      <c r="F472" t="s">
        <v>1075</v>
      </c>
      <c r="G472" t="s">
        <v>1110</v>
      </c>
      <c r="H472" t="s">
        <v>422</v>
      </c>
      <c r="I472">
        <v>1</v>
      </c>
      <c r="J472" t="s">
        <v>108</v>
      </c>
      <c r="K472" t="s">
        <v>1111</v>
      </c>
      <c r="L472" t="s">
        <v>1112</v>
      </c>
      <c r="M472" t="s">
        <v>27</v>
      </c>
      <c r="N472" t="s">
        <v>387</v>
      </c>
      <c r="O472" t="e">
        <f>_xlfn.XLOOKUP(E472,[1]syr_populatedplaces!$L:$L,[1]syr_populatedplaces!$M:$M)</f>
        <v>#N/A</v>
      </c>
      <c r="P472" s="4" t="e">
        <f>_xlfn.XLOOKUP(الجدول1[[#This Row],[القرية– البلدة]],[1]syr_populatedplaces!$L:$L,[1]syr_populatedplaces!$AD:$AD)</f>
        <v>#N/A</v>
      </c>
      <c r="Q472" s="4" t="e">
        <f>_xlfn.XLOOKUP(الجدول1[[#This Row],[القرية– البلدة]],[1]syr_populatedplaces!$L:$L,[1]syr_populatedplaces!$AC:$AC)</f>
        <v>#N/A</v>
      </c>
    </row>
    <row r="473" spans="2:17" ht="15">
      <c r="B473" t="s">
        <v>1074</v>
      </c>
      <c r="C473" t="s">
        <v>127</v>
      </c>
      <c r="D473" t="s">
        <v>27</v>
      </c>
      <c r="E473" t="s">
        <v>1125</v>
      </c>
      <c r="F473" t="s">
        <v>1075</v>
      </c>
      <c r="G473" t="s">
        <v>1110</v>
      </c>
      <c r="H473" t="s">
        <v>422</v>
      </c>
      <c r="I473">
        <v>1</v>
      </c>
      <c r="J473" t="s">
        <v>108</v>
      </c>
      <c r="K473" t="s">
        <v>1111</v>
      </c>
      <c r="L473" t="s">
        <v>1112</v>
      </c>
      <c r="M473" t="s">
        <v>27</v>
      </c>
      <c r="N473" t="s">
        <v>387</v>
      </c>
      <c r="O473" t="e">
        <f>_xlfn.XLOOKUP(E473,[1]syr_populatedplaces!$L:$L,[1]syr_populatedplaces!$M:$M)</f>
        <v>#N/A</v>
      </c>
      <c r="P473" s="4" t="e">
        <f>_xlfn.XLOOKUP(الجدول1[[#This Row],[القرية– البلدة]],[1]syr_populatedplaces!$L:$L,[1]syr_populatedplaces!$AD:$AD)</f>
        <v>#N/A</v>
      </c>
      <c r="Q473" s="4" t="e">
        <f>_xlfn.XLOOKUP(الجدول1[[#This Row],[القرية– البلدة]],[1]syr_populatedplaces!$L:$L,[1]syr_populatedplaces!$AC:$AC)</f>
        <v>#N/A</v>
      </c>
    </row>
    <row r="474" spans="2:17">
      <c r="B474" t="s">
        <v>1074</v>
      </c>
      <c r="C474" t="s">
        <v>127</v>
      </c>
      <c r="D474" t="s">
        <v>949</v>
      </c>
      <c r="E474" t="s">
        <v>1806</v>
      </c>
      <c r="F474" t="s">
        <v>1075</v>
      </c>
      <c r="G474" t="s">
        <v>1126</v>
      </c>
      <c r="H474" t="s">
        <v>382</v>
      </c>
      <c r="I474">
        <v>1</v>
      </c>
      <c r="J474" t="s">
        <v>108</v>
      </c>
      <c r="K474" t="s">
        <v>1127</v>
      </c>
      <c r="L474" t="s">
        <v>1128</v>
      </c>
      <c r="M474" t="s">
        <v>1129</v>
      </c>
      <c r="N474" t="s">
        <v>108</v>
      </c>
      <c r="O474" t="str">
        <f>_xlfn.XLOOKUP(E474,[1]syr_populatedplaces!$L:$L,[1]syr_populatedplaces!$M:$M)</f>
        <v>C3871</v>
      </c>
      <c r="P474">
        <f>_xlfn.XLOOKUP(E474,[1]syr_populatedplaces!$L:$L,[1]syr_populatedplaces!$AD:$AD)</f>
        <v>35.929077149999998</v>
      </c>
      <c r="Q474">
        <f>_xlfn.XLOOKUP(E474,[1]syr_populatedplaces!$L:$L,[1]syr_populatedplaces!$AC:$AC)</f>
        <v>36.635314940000001</v>
      </c>
    </row>
    <row r="475" spans="2:17">
      <c r="B475" t="s">
        <v>1074</v>
      </c>
      <c r="C475" t="s">
        <v>127</v>
      </c>
      <c r="D475" t="s">
        <v>949</v>
      </c>
      <c r="E475" t="s">
        <v>1806</v>
      </c>
      <c r="F475" t="s">
        <v>1075</v>
      </c>
      <c r="G475" t="s">
        <v>278</v>
      </c>
      <c r="H475" t="s">
        <v>814</v>
      </c>
      <c r="I475">
        <v>1</v>
      </c>
      <c r="J475" t="s">
        <v>108</v>
      </c>
      <c r="K475" t="s">
        <v>1011</v>
      </c>
      <c r="L475" t="s">
        <v>1130</v>
      </c>
      <c r="M475" t="s">
        <v>1131</v>
      </c>
      <c r="N475" t="s">
        <v>108</v>
      </c>
      <c r="O475" t="str">
        <f>_xlfn.XLOOKUP(E475,[1]syr_populatedplaces!$L:$L,[1]syr_populatedplaces!$M:$M)</f>
        <v>C3871</v>
      </c>
      <c r="P475">
        <f>_xlfn.XLOOKUP(E475,[1]syr_populatedplaces!$L:$L,[1]syr_populatedplaces!$AD:$AD)</f>
        <v>35.929077149999998</v>
      </c>
      <c r="Q475">
        <f>_xlfn.XLOOKUP(E475,[1]syr_populatedplaces!$L:$L,[1]syr_populatedplaces!$AC:$AC)</f>
        <v>36.635314940000001</v>
      </c>
    </row>
    <row r="476" spans="2:17" ht="15">
      <c r="B476" t="s">
        <v>1074</v>
      </c>
      <c r="C476" t="s">
        <v>127</v>
      </c>
      <c r="D476" t="s">
        <v>949</v>
      </c>
      <c r="E476" t="s">
        <v>1132</v>
      </c>
      <c r="F476" t="s">
        <v>1075</v>
      </c>
      <c r="G476" t="s">
        <v>1133</v>
      </c>
      <c r="H476" t="s">
        <v>587</v>
      </c>
      <c r="I476">
        <v>1</v>
      </c>
      <c r="J476" t="s">
        <v>883</v>
      </c>
      <c r="K476" t="s">
        <v>1134</v>
      </c>
      <c r="L476" t="s">
        <v>1135</v>
      </c>
      <c r="M476" t="s">
        <v>1136</v>
      </c>
      <c r="N476" t="s">
        <v>387</v>
      </c>
      <c r="O476" t="e">
        <f>_xlfn.XLOOKUP(E476,[1]syr_populatedplaces!$L:$L,[1]syr_populatedplaces!$M:$M)</f>
        <v>#N/A</v>
      </c>
      <c r="P476" s="4" t="e">
        <f>_xlfn.XLOOKUP(الجدول1[[#This Row],[القرية– البلدة]],[1]syr_populatedplaces!$L:$L,[1]syr_populatedplaces!$AD:$AD)</f>
        <v>#N/A</v>
      </c>
      <c r="Q476" s="4" t="e">
        <f>_xlfn.XLOOKUP(الجدول1[[#This Row],[القرية– البلدة]],[1]syr_populatedplaces!$L:$L,[1]syr_populatedplaces!$AC:$AC)</f>
        <v>#N/A</v>
      </c>
    </row>
    <row r="477" spans="2:17" ht="15">
      <c r="B477" t="s">
        <v>1215</v>
      </c>
      <c r="C477" t="s">
        <v>127</v>
      </c>
      <c r="D477" t="s">
        <v>163</v>
      </c>
      <c r="E477" t="s">
        <v>1100</v>
      </c>
      <c r="F477" t="s">
        <v>1216</v>
      </c>
      <c r="G477" t="s">
        <v>1217</v>
      </c>
      <c r="H477" t="s">
        <v>587</v>
      </c>
      <c r="I477">
        <v>2</v>
      </c>
      <c r="J477" t="s">
        <v>883</v>
      </c>
      <c r="K477" t="s">
        <v>1218</v>
      </c>
      <c r="L477" t="s">
        <v>1103</v>
      </c>
      <c r="M477" t="s">
        <v>1104</v>
      </c>
      <c r="N477" t="s">
        <v>387</v>
      </c>
      <c r="O477" t="e">
        <f>_xlfn.XLOOKUP(E477,[1]syr_populatedplaces!$L:$L,[1]syr_populatedplaces!$M:$M)</f>
        <v>#N/A</v>
      </c>
      <c r="P477" s="4" t="e">
        <f>_xlfn.XLOOKUP(الجدول1[[#This Row],[القرية– البلدة]],[1]syr_populatedplaces!$L:$L,[1]syr_populatedplaces!$AD:$AD)</f>
        <v>#N/A</v>
      </c>
      <c r="Q477" s="4" t="e">
        <f>_xlfn.XLOOKUP(الجدول1[[#This Row],[القرية– البلدة]],[1]syr_populatedplaces!$L:$L,[1]syr_populatedplaces!$AC:$AC)</f>
        <v>#N/A</v>
      </c>
    </row>
    <row r="478" spans="2:17">
      <c r="B478" t="s">
        <v>1215</v>
      </c>
      <c r="C478" t="s">
        <v>127</v>
      </c>
      <c r="D478" t="s">
        <v>1020</v>
      </c>
      <c r="E478" t="s">
        <v>1806</v>
      </c>
      <c r="F478" t="s">
        <v>1216</v>
      </c>
      <c r="G478" t="s">
        <v>851</v>
      </c>
      <c r="H478" t="s">
        <v>260</v>
      </c>
      <c r="I478">
        <v>2</v>
      </c>
      <c r="J478" t="s">
        <v>108</v>
      </c>
      <c r="K478" t="s">
        <v>1223</v>
      </c>
      <c r="L478" t="s">
        <v>1224</v>
      </c>
      <c r="M478" t="s">
        <v>1225</v>
      </c>
      <c r="N478" t="s">
        <v>387</v>
      </c>
      <c r="O478" t="str">
        <f>_xlfn.XLOOKUP(E478,[1]syr_populatedplaces!$L:$L,[1]syr_populatedplaces!$M:$M)</f>
        <v>C3871</v>
      </c>
      <c r="P478">
        <f>_xlfn.XLOOKUP(E478,[1]syr_populatedplaces!$L:$L,[1]syr_populatedplaces!$AD:$AD)</f>
        <v>35.929077149999998</v>
      </c>
      <c r="Q478">
        <f>_xlfn.XLOOKUP(E478,[1]syr_populatedplaces!$L:$L,[1]syr_populatedplaces!$AC:$AC)</f>
        <v>36.635314940000001</v>
      </c>
    </row>
    <row r="479" spans="2:17" ht="15">
      <c r="B479" t="s">
        <v>1215</v>
      </c>
      <c r="C479" t="s">
        <v>127</v>
      </c>
      <c r="D479" t="s">
        <v>1020</v>
      </c>
      <c r="E479" t="s">
        <v>814</v>
      </c>
      <c r="F479" t="s">
        <v>1216</v>
      </c>
      <c r="G479" t="s">
        <v>243</v>
      </c>
      <c r="H479" t="s">
        <v>814</v>
      </c>
      <c r="I479">
        <v>2</v>
      </c>
      <c r="J479" t="s">
        <v>108</v>
      </c>
      <c r="K479" t="s">
        <v>815</v>
      </c>
      <c r="L479" t="s">
        <v>1226</v>
      </c>
      <c r="M479" t="s">
        <v>1227</v>
      </c>
      <c r="N479" t="s">
        <v>387</v>
      </c>
      <c r="O479" t="e">
        <f>_xlfn.XLOOKUP(E479,[1]syr_populatedplaces!$L:$L,[1]syr_populatedplaces!$M:$M)</f>
        <v>#N/A</v>
      </c>
      <c r="P479" s="4" t="e">
        <f>_xlfn.XLOOKUP(الجدول1[[#This Row],[القرية– البلدة]],[1]syr_populatedplaces!$L:$L,[1]syr_populatedplaces!$AD:$AD)</f>
        <v>#N/A</v>
      </c>
      <c r="Q479" s="4" t="e">
        <f>_xlfn.XLOOKUP(الجدول1[[#This Row],[القرية– البلدة]],[1]syr_populatedplaces!$L:$L,[1]syr_populatedplaces!$AC:$AC)</f>
        <v>#N/A</v>
      </c>
    </row>
    <row r="480" spans="2:17" ht="15">
      <c r="B480" t="s">
        <v>1215</v>
      </c>
      <c r="C480" t="s">
        <v>127</v>
      </c>
      <c r="D480" t="s">
        <v>1020</v>
      </c>
      <c r="E480" t="s">
        <v>1228</v>
      </c>
      <c r="F480" t="s">
        <v>1216</v>
      </c>
      <c r="G480" t="s">
        <v>318</v>
      </c>
      <c r="H480" t="s">
        <v>411</v>
      </c>
      <c r="I480">
        <v>2</v>
      </c>
      <c r="J480" t="s">
        <v>108</v>
      </c>
      <c r="K480" t="s">
        <v>1229</v>
      </c>
      <c r="L480" t="s">
        <v>1230</v>
      </c>
      <c r="M480" t="s">
        <v>1231</v>
      </c>
      <c r="N480" t="s">
        <v>387</v>
      </c>
      <c r="O480" t="e">
        <f>_xlfn.XLOOKUP(E480,[1]syr_populatedplaces!$L:$L,[1]syr_populatedplaces!$M:$M)</f>
        <v>#N/A</v>
      </c>
      <c r="P480" s="4" t="e">
        <f>_xlfn.XLOOKUP(الجدول1[[#This Row],[القرية– البلدة]],[1]syr_populatedplaces!$L:$L,[1]syr_populatedplaces!$AD:$AD)</f>
        <v>#N/A</v>
      </c>
      <c r="Q480" s="4" t="e">
        <f>_xlfn.XLOOKUP(الجدول1[[#This Row],[القرية– البلدة]],[1]syr_populatedplaces!$L:$L,[1]syr_populatedplaces!$AC:$AC)</f>
        <v>#N/A</v>
      </c>
    </row>
    <row r="481" spans="2:17" ht="15">
      <c r="B481" t="s">
        <v>1215</v>
      </c>
      <c r="C481" t="s">
        <v>127</v>
      </c>
      <c r="D481" t="s">
        <v>1020</v>
      </c>
      <c r="E481" t="s">
        <v>411</v>
      </c>
      <c r="F481" t="s">
        <v>1216</v>
      </c>
      <c r="G481" t="s">
        <v>1232</v>
      </c>
      <c r="H481" t="s">
        <v>411</v>
      </c>
      <c r="I481">
        <v>1</v>
      </c>
      <c r="J481" t="s">
        <v>883</v>
      </c>
      <c r="K481" t="s">
        <v>1233</v>
      </c>
      <c r="L481" t="s">
        <v>1234</v>
      </c>
      <c r="M481" t="s">
        <v>1235</v>
      </c>
      <c r="N481" t="s">
        <v>387</v>
      </c>
      <c r="O481" t="e">
        <f>_xlfn.XLOOKUP(E481,[1]syr_populatedplaces!$L:$L,[1]syr_populatedplaces!$M:$M)</f>
        <v>#N/A</v>
      </c>
      <c r="P481" s="4" t="e">
        <f>_xlfn.XLOOKUP(الجدول1[[#This Row],[القرية– البلدة]],[1]syr_populatedplaces!$L:$L,[1]syr_populatedplaces!$AD:$AD)</f>
        <v>#N/A</v>
      </c>
      <c r="Q481" s="4" t="e">
        <f>_xlfn.XLOOKUP(الجدول1[[#This Row],[القرية– البلدة]],[1]syr_populatedplaces!$L:$L,[1]syr_populatedplaces!$AC:$AC)</f>
        <v>#N/A</v>
      </c>
    </row>
    <row r="482" spans="2:17" ht="15">
      <c r="B482" t="s">
        <v>1215</v>
      </c>
      <c r="C482" t="s">
        <v>127</v>
      </c>
      <c r="D482" t="s">
        <v>1020</v>
      </c>
      <c r="E482" t="s">
        <v>1236</v>
      </c>
      <c r="F482" t="s">
        <v>1216</v>
      </c>
      <c r="G482" t="s">
        <v>1237</v>
      </c>
      <c r="H482" t="s">
        <v>840</v>
      </c>
      <c r="I482">
        <v>2</v>
      </c>
      <c r="J482" t="s">
        <v>108</v>
      </c>
      <c r="K482" t="s">
        <v>518</v>
      </c>
      <c r="L482" t="s">
        <v>519</v>
      </c>
      <c r="M482" t="s">
        <v>841</v>
      </c>
      <c r="N482" t="s">
        <v>387</v>
      </c>
      <c r="O482" t="e">
        <f>_xlfn.XLOOKUP(E482,[1]syr_populatedplaces!$L:$L,[1]syr_populatedplaces!$M:$M)</f>
        <v>#N/A</v>
      </c>
      <c r="P482" s="4" t="e">
        <f>_xlfn.XLOOKUP(الجدول1[[#This Row],[القرية– البلدة]],[1]syr_populatedplaces!$L:$L,[1]syr_populatedplaces!$AD:$AD)</f>
        <v>#N/A</v>
      </c>
      <c r="Q482" s="4" t="e">
        <f>_xlfn.XLOOKUP(الجدول1[[#This Row],[القرية– البلدة]],[1]syr_populatedplaces!$L:$L,[1]syr_populatedplaces!$AC:$AC)</f>
        <v>#N/A</v>
      </c>
    </row>
    <row r="483" spans="2:17" ht="15">
      <c r="B483" t="s">
        <v>1215</v>
      </c>
      <c r="C483" t="s">
        <v>127</v>
      </c>
      <c r="D483" t="s">
        <v>1020</v>
      </c>
      <c r="E483" t="s">
        <v>1247</v>
      </c>
      <c r="F483" t="s">
        <v>1216</v>
      </c>
      <c r="G483" t="s">
        <v>1248</v>
      </c>
      <c r="H483" t="s">
        <v>1249</v>
      </c>
      <c r="I483">
        <v>2</v>
      </c>
      <c r="J483" t="s">
        <v>108</v>
      </c>
      <c r="K483" t="s">
        <v>1250</v>
      </c>
      <c r="L483" t="s">
        <v>1251</v>
      </c>
      <c r="M483" t="s">
        <v>27</v>
      </c>
      <c r="N483" t="s">
        <v>387</v>
      </c>
      <c r="O483" t="e">
        <f>_xlfn.XLOOKUP(E483,[1]syr_populatedplaces!$L:$L,[1]syr_populatedplaces!$M:$M)</f>
        <v>#N/A</v>
      </c>
      <c r="P483" s="4" t="e">
        <f>_xlfn.XLOOKUP(الجدول1[[#This Row],[القرية– البلدة]],[1]syr_populatedplaces!$L:$L,[1]syr_populatedplaces!$AD:$AD)</f>
        <v>#N/A</v>
      </c>
      <c r="Q483" s="4" t="e">
        <f>_xlfn.XLOOKUP(الجدول1[[#This Row],[القرية– البلدة]],[1]syr_populatedplaces!$L:$L,[1]syr_populatedplaces!$AC:$AC)</f>
        <v>#N/A</v>
      </c>
    </row>
    <row r="484" spans="2:17" ht="15">
      <c r="B484" t="s">
        <v>1215</v>
      </c>
      <c r="C484" t="s">
        <v>127</v>
      </c>
      <c r="D484" t="s">
        <v>1020</v>
      </c>
      <c r="E484" t="s">
        <v>1252</v>
      </c>
      <c r="F484" t="s">
        <v>1216</v>
      </c>
      <c r="G484" t="s">
        <v>1253</v>
      </c>
      <c r="H484" t="s">
        <v>260</v>
      </c>
      <c r="I484">
        <v>1</v>
      </c>
      <c r="J484" t="s">
        <v>108</v>
      </c>
      <c r="K484" t="s">
        <v>1254</v>
      </c>
      <c r="L484" t="s">
        <v>1255</v>
      </c>
      <c r="M484" t="s">
        <v>27</v>
      </c>
      <c r="N484" t="s">
        <v>108</v>
      </c>
      <c r="O484" t="e">
        <f>_xlfn.XLOOKUP(E484,[1]syr_populatedplaces!$L:$L,[1]syr_populatedplaces!$M:$M)</f>
        <v>#N/A</v>
      </c>
      <c r="P484" s="4" t="e">
        <f>_xlfn.XLOOKUP(الجدول1[[#This Row],[القرية– البلدة]],[1]syr_populatedplaces!$L:$L,[1]syr_populatedplaces!$AD:$AD)</f>
        <v>#N/A</v>
      </c>
      <c r="Q484" s="4" t="e">
        <f>_xlfn.XLOOKUP(الجدول1[[#This Row],[القرية– البلدة]],[1]syr_populatedplaces!$L:$L,[1]syr_populatedplaces!$AC:$AC)</f>
        <v>#N/A</v>
      </c>
    </row>
    <row r="485" spans="2:17" ht="15">
      <c r="B485" t="s">
        <v>1215</v>
      </c>
      <c r="C485" t="s">
        <v>127</v>
      </c>
      <c r="D485" t="s">
        <v>1256</v>
      </c>
      <c r="E485" t="s">
        <v>1256</v>
      </c>
      <c r="F485" t="s">
        <v>1216</v>
      </c>
      <c r="G485" t="s">
        <v>1257</v>
      </c>
      <c r="H485" t="s">
        <v>260</v>
      </c>
      <c r="I485">
        <v>1</v>
      </c>
      <c r="J485" t="s">
        <v>108</v>
      </c>
      <c r="K485" t="s">
        <v>1258</v>
      </c>
      <c r="L485" t="s">
        <v>505</v>
      </c>
      <c r="M485" t="s">
        <v>27</v>
      </c>
      <c r="N485" t="s">
        <v>108</v>
      </c>
      <c r="O485" t="e">
        <f>_xlfn.XLOOKUP(E485,[1]syr_populatedplaces!$L:$L,[1]syr_populatedplaces!$M:$M)</f>
        <v>#N/A</v>
      </c>
      <c r="P485" s="4" t="e">
        <f>_xlfn.XLOOKUP(الجدول1[[#This Row],[القرية– البلدة]],[1]syr_populatedplaces!$L:$L,[1]syr_populatedplaces!$AD:$AD)</f>
        <v>#N/A</v>
      </c>
      <c r="Q485" s="4" t="e">
        <f>_xlfn.XLOOKUP(الجدول1[[#This Row],[القرية– البلدة]],[1]syr_populatedplaces!$L:$L,[1]syr_populatedplaces!$AC:$AC)</f>
        <v>#N/A</v>
      </c>
    </row>
    <row r="486" spans="2:17" ht="15">
      <c r="B486" t="s">
        <v>1215</v>
      </c>
      <c r="C486" t="s">
        <v>127</v>
      </c>
      <c r="D486" t="s">
        <v>949</v>
      </c>
      <c r="E486" t="s">
        <v>1020</v>
      </c>
      <c r="F486" t="s">
        <v>1216</v>
      </c>
      <c r="G486" t="s">
        <v>1278</v>
      </c>
      <c r="H486" t="s">
        <v>1279</v>
      </c>
      <c r="I486">
        <v>1</v>
      </c>
      <c r="J486" t="s">
        <v>108</v>
      </c>
      <c r="K486" t="s">
        <v>1280</v>
      </c>
      <c r="L486" t="s">
        <v>1281</v>
      </c>
      <c r="M486" t="s">
        <v>1282</v>
      </c>
      <c r="N486" t="s">
        <v>387</v>
      </c>
      <c r="O486" t="e">
        <f>_xlfn.XLOOKUP(E486,[1]syr_populatedplaces!$L:$L,[1]syr_populatedplaces!$M:$M)</f>
        <v>#N/A</v>
      </c>
      <c r="P486" s="4" t="e">
        <f>_xlfn.XLOOKUP(الجدول1[[#This Row],[القرية– البلدة]],[1]syr_populatedplaces!$L:$L,[1]syr_populatedplaces!$AD:$AD)</f>
        <v>#N/A</v>
      </c>
      <c r="Q486" s="4" t="e">
        <f>_xlfn.XLOOKUP(الجدول1[[#This Row],[القرية– البلدة]],[1]syr_populatedplaces!$L:$L,[1]syr_populatedplaces!$AC:$AC)</f>
        <v>#N/A</v>
      </c>
    </row>
    <row r="487" spans="2:17" ht="15">
      <c r="B487" t="s">
        <v>1309</v>
      </c>
      <c r="C487" t="s">
        <v>127</v>
      </c>
      <c r="D487" t="s">
        <v>1361</v>
      </c>
      <c r="E487" t="s">
        <v>1362</v>
      </c>
      <c r="F487" t="s">
        <v>812</v>
      </c>
      <c r="G487" t="s">
        <v>1363</v>
      </c>
      <c r="H487" t="s">
        <v>1364</v>
      </c>
      <c r="I487">
        <v>22</v>
      </c>
      <c r="J487" t="s">
        <v>108</v>
      </c>
      <c r="K487" t="s">
        <v>1365</v>
      </c>
      <c r="L487" t="s">
        <v>1366</v>
      </c>
      <c r="M487" t="s">
        <v>1314</v>
      </c>
      <c r="N487" t="s">
        <v>108</v>
      </c>
      <c r="O487" t="e">
        <f>_xlfn.XLOOKUP(E487,[1]syr_populatedplaces!$L:$L,[1]syr_populatedplaces!$M:$M)</f>
        <v>#N/A</v>
      </c>
      <c r="P487" s="4" t="e">
        <f>_xlfn.XLOOKUP(الجدول1[[#This Row],[القرية– البلدة]],[1]syr_populatedplaces!$L:$L,[1]syr_populatedplaces!$AD:$AD)</f>
        <v>#N/A</v>
      </c>
      <c r="Q487" s="4" t="e">
        <f>_xlfn.XLOOKUP(الجدول1[[#This Row],[القرية– البلدة]],[1]syr_populatedplaces!$L:$L,[1]syr_populatedplaces!$AC:$AC)</f>
        <v>#N/A</v>
      </c>
    </row>
    <row r="488" spans="2:17" ht="15">
      <c r="B488" t="s">
        <v>1309</v>
      </c>
      <c r="C488" t="s">
        <v>127</v>
      </c>
      <c r="D488" t="s">
        <v>1361</v>
      </c>
      <c r="E488" t="s">
        <v>1362</v>
      </c>
      <c r="F488" t="s">
        <v>812</v>
      </c>
      <c r="G488" t="s">
        <v>1367</v>
      </c>
      <c r="H488" t="s">
        <v>358</v>
      </c>
      <c r="I488">
        <v>18</v>
      </c>
      <c r="J488" t="s">
        <v>108</v>
      </c>
      <c r="K488" t="s">
        <v>1368</v>
      </c>
      <c r="L488" t="s">
        <v>360</v>
      </c>
      <c r="M488" t="s">
        <v>1314</v>
      </c>
      <c r="N488" t="s">
        <v>108</v>
      </c>
      <c r="O488" t="e">
        <f>_xlfn.XLOOKUP(E488,[1]syr_populatedplaces!$L:$L,[1]syr_populatedplaces!$M:$M)</f>
        <v>#N/A</v>
      </c>
      <c r="P488" s="4" t="e">
        <f>_xlfn.XLOOKUP(الجدول1[[#This Row],[القرية– البلدة]],[1]syr_populatedplaces!$L:$L,[1]syr_populatedplaces!$AD:$AD)</f>
        <v>#N/A</v>
      </c>
      <c r="Q488" s="4" t="e">
        <f>_xlfn.XLOOKUP(الجدول1[[#This Row],[القرية– البلدة]],[1]syr_populatedplaces!$L:$L,[1]syr_populatedplaces!$AC:$AC)</f>
        <v>#N/A</v>
      </c>
    </row>
    <row r="489" spans="2:17" ht="15">
      <c r="B489" t="s">
        <v>1309</v>
      </c>
      <c r="C489" t="s">
        <v>127</v>
      </c>
      <c r="D489" t="s">
        <v>1361</v>
      </c>
      <c r="E489" t="s">
        <v>1369</v>
      </c>
      <c r="F489" t="s">
        <v>812</v>
      </c>
      <c r="G489" t="s">
        <v>1370</v>
      </c>
      <c r="H489" t="s">
        <v>260</v>
      </c>
      <c r="I489">
        <v>8</v>
      </c>
      <c r="J489" t="s">
        <v>99</v>
      </c>
      <c r="K489" t="s">
        <v>1371</v>
      </c>
      <c r="L489" t="s">
        <v>1372</v>
      </c>
      <c r="M489" t="s">
        <v>1314</v>
      </c>
      <c r="N489" t="s">
        <v>99</v>
      </c>
      <c r="O489" t="e">
        <f>_xlfn.XLOOKUP(E489,[1]syr_populatedplaces!$L:$L,[1]syr_populatedplaces!$M:$M)</f>
        <v>#N/A</v>
      </c>
      <c r="P489" s="4" t="e">
        <f>_xlfn.XLOOKUP(الجدول1[[#This Row],[القرية– البلدة]],[1]syr_populatedplaces!$L:$L,[1]syr_populatedplaces!$AD:$AD)</f>
        <v>#N/A</v>
      </c>
      <c r="Q489" s="4" t="e">
        <f>_xlfn.XLOOKUP(الجدول1[[#This Row],[القرية– البلدة]],[1]syr_populatedplaces!$L:$L,[1]syr_populatedplaces!$AC:$AC)</f>
        <v>#N/A</v>
      </c>
    </row>
    <row r="490" spans="2:17">
      <c r="B490" t="s">
        <v>809</v>
      </c>
      <c r="C490" t="s">
        <v>127</v>
      </c>
      <c r="D490" t="s">
        <v>129</v>
      </c>
      <c r="E490" t="s">
        <v>129</v>
      </c>
      <c r="F490" t="s">
        <v>812</v>
      </c>
      <c r="G490" t="s">
        <v>851</v>
      </c>
      <c r="H490" t="s">
        <v>260</v>
      </c>
      <c r="I490">
        <v>1</v>
      </c>
      <c r="J490" t="s">
        <v>108</v>
      </c>
      <c r="K490" t="s">
        <v>486</v>
      </c>
      <c r="L490" t="s">
        <v>852</v>
      </c>
      <c r="M490" t="s">
        <v>27</v>
      </c>
      <c r="N490" t="s">
        <v>108</v>
      </c>
      <c r="O490" t="s">
        <v>133</v>
      </c>
      <c r="P490">
        <v>35.814270020000002</v>
      </c>
      <c r="Q490">
        <v>36.314880369999997</v>
      </c>
    </row>
    <row r="491" spans="2:17">
      <c r="B491" t="s">
        <v>809</v>
      </c>
      <c r="C491" t="s">
        <v>127</v>
      </c>
      <c r="D491" t="s">
        <v>129</v>
      </c>
      <c r="E491" t="s">
        <v>853</v>
      </c>
      <c r="F491" t="s">
        <v>812</v>
      </c>
      <c r="G491" t="s">
        <v>849</v>
      </c>
      <c r="H491" t="s">
        <v>124</v>
      </c>
      <c r="I491">
        <v>1</v>
      </c>
      <c r="J491" t="s">
        <v>108</v>
      </c>
      <c r="K491" t="s">
        <v>850</v>
      </c>
      <c r="L491" t="s">
        <v>550</v>
      </c>
      <c r="M491" t="s">
        <v>27</v>
      </c>
      <c r="N491" t="s">
        <v>108</v>
      </c>
      <c r="O491" t="s">
        <v>854</v>
      </c>
      <c r="P491">
        <v>35.791687009999997</v>
      </c>
      <c r="Q491">
        <v>36.295104979999998</v>
      </c>
    </row>
    <row r="492" spans="2:17">
      <c r="B492" t="s">
        <v>809</v>
      </c>
      <c r="C492" t="s">
        <v>127</v>
      </c>
      <c r="D492" t="s">
        <v>150</v>
      </c>
      <c r="E492" t="s">
        <v>150</v>
      </c>
      <c r="F492" t="s">
        <v>812</v>
      </c>
      <c r="G492" t="s">
        <v>855</v>
      </c>
      <c r="H492" t="s">
        <v>260</v>
      </c>
      <c r="I492">
        <v>1</v>
      </c>
      <c r="J492" t="s">
        <v>108</v>
      </c>
      <c r="K492" t="s">
        <v>856</v>
      </c>
      <c r="L492" t="s">
        <v>852</v>
      </c>
      <c r="M492" t="s">
        <v>27</v>
      </c>
      <c r="N492" t="s">
        <v>108</v>
      </c>
      <c r="O492" t="s">
        <v>151</v>
      </c>
      <c r="P492">
        <v>35.812072749999999</v>
      </c>
      <c r="Q492">
        <v>36.197326660000002</v>
      </c>
    </row>
    <row r="493" spans="2:17" ht="15">
      <c r="B493" t="s">
        <v>1530</v>
      </c>
      <c r="C493" t="s">
        <v>127</v>
      </c>
      <c r="D493" t="s">
        <v>1543</v>
      </c>
      <c r="E493" t="s">
        <v>1544</v>
      </c>
      <c r="F493" t="s">
        <v>812</v>
      </c>
      <c r="G493" t="s">
        <v>224</v>
      </c>
      <c r="H493" t="s">
        <v>1545</v>
      </c>
      <c r="I493">
        <v>1</v>
      </c>
      <c r="J493" t="s">
        <v>108</v>
      </c>
      <c r="K493" t="s">
        <v>1546</v>
      </c>
      <c r="L493" t="s">
        <v>1547</v>
      </c>
      <c r="M493" t="s">
        <v>27</v>
      </c>
      <c r="N493" t="s">
        <v>108</v>
      </c>
      <c r="O493" t="e">
        <f>_xlfn.XLOOKUP(E493,[1]syr_populatedplaces!$L:$L,[1]syr_populatedplaces!$M:$M)</f>
        <v>#N/A</v>
      </c>
      <c r="P493" s="4" t="e">
        <f>_xlfn.XLOOKUP(الجدول1[[#This Row],[القرية– البلدة]],[1]syr_populatedplaces!$L:$L,[1]syr_populatedplaces!$AD:$AD)</f>
        <v>#N/A</v>
      </c>
      <c r="Q493" s="4" t="e">
        <f>_xlfn.XLOOKUP(الجدول1[[#This Row],[القرية– البلدة]],[1]syr_populatedplaces!$L:$L,[1]syr_populatedplaces!$AC:$AC)</f>
        <v>#N/A</v>
      </c>
    </row>
    <row r="494" spans="2:17">
      <c r="B494" t="s">
        <v>1530</v>
      </c>
      <c r="C494" t="s">
        <v>127</v>
      </c>
      <c r="D494" t="s">
        <v>425</v>
      </c>
      <c r="E494" t="s">
        <v>425</v>
      </c>
      <c r="F494" t="s">
        <v>812</v>
      </c>
      <c r="G494" t="s">
        <v>224</v>
      </c>
      <c r="H494" t="s">
        <v>1548</v>
      </c>
      <c r="I494">
        <v>1</v>
      </c>
      <c r="J494" t="s">
        <v>108</v>
      </c>
      <c r="K494" t="s">
        <v>1549</v>
      </c>
      <c r="L494" t="s">
        <v>1547</v>
      </c>
      <c r="M494" t="s">
        <v>27</v>
      </c>
      <c r="N494" t="s">
        <v>108</v>
      </c>
      <c r="O494" t="str">
        <f>_xlfn.XLOOKUP(E494,[1]syr_populatedplaces!$L:$L,[1]syr_populatedplaces!$M:$M)</f>
        <v>C3965</v>
      </c>
      <c r="P494">
        <f>_xlfn.XLOOKUP(E494,[1]syr_populatedplaces!$L:$L,[1]syr_populatedplaces!$AD:$AD)</f>
        <v>35.699890140000001</v>
      </c>
      <c r="Q494">
        <f>_xlfn.XLOOKUP(E494,[1]syr_populatedplaces!$L:$L,[1]syr_populatedplaces!$AC:$AC)</f>
        <v>36.688110350000002</v>
      </c>
    </row>
    <row r="495" spans="2:17">
      <c r="B495" t="s">
        <v>1530</v>
      </c>
      <c r="C495" t="s">
        <v>127</v>
      </c>
      <c r="D495" t="s">
        <v>425</v>
      </c>
      <c r="E495" t="s">
        <v>425</v>
      </c>
      <c r="F495" t="s">
        <v>812</v>
      </c>
      <c r="G495" t="s">
        <v>1550</v>
      </c>
      <c r="H495" t="s">
        <v>1551</v>
      </c>
      <c r="I495">
        <v>1</v>
      </c>
      <c r="J495" t="s">
        <v>99</v>
      </c>
      <c r="K495" t="s">
        <v>1552</v>
      </c>
      <c r="L495" t="s">
        <v>1547</v>
      </c>
      <c r="M495" t="s">
        <v>27</v>
      </c>
      <c r="N495" t="s">
        <v>99</v>
      </c>
      <c r="O495" t="str">
        <f>_xlfn.XLOOKUP(E495,[1]syr_populatedplaces!$L:$L,[1]syr_populatedplaces!$M:$M)</f>
        <v>C3965</v>
      </c>
      <c r="P495">
        <f>_xlfn.XLOOKUP(E495,[1]syr_populatedplaces!$L:$L,[1]syr_populatedplaces!$AD:$AD)</f>
        <v>35.699890140000001</v>
      </c>
      <c r="Q495">
        <f>_xlfn.XLOOKUP(E495,[1]syr_populatedplaces!$L:$L,[1]syr_populatedplaces!$AC:$AC)</f>
        <v>36.688110350000002</v>
      </c>
    </row>
    <row r="496" spans="2:17">
      <c r="B496" t="s">
        <v>809</v>
      </c>
      <c r="C496" t="s">
        <v>127</v>
      </c>
      <c r="D496" t="s">
        <v>150</v>
      </c>
      <c r="E496" t="s">
        <v>862</v>
      </c>
      <c r="F496" t="s">
        <v>812</v>
      </c>
      <c r="G496" t="s">
        <v>849</v>
      </c>
      <c r="H496" t="s">
        <v>124</v>
      </c>
      <c r="I496">
        <v>1</v>
      </c>
      <c r="J496" t="s">
        <v>108</v>
      </c>
      <c r="K496" t="s">
        <v>850</v>
      </c>
      <c r="L496" t="s">
        <v>550</v>
      </c>
      <c r="M496" t="s">
        <v>27</v>
      </c>
      <c r="N496" t="s">
        <v>108</v>
      </c>
      <c r="O496" t="str">
        <f>_xlfn.XLOOKUP(E496,[1]syr_populatedplaces!$L:$L,[1]syr_populatedplaces!$M:$M)</f>
        <v>C4233</v>
      </c>
      <c r="P496">
        <f>_xlfn.XLOOKUP(E496,[1]syr_populatedplaces!$L:$L,[1]syr_populatedplaces!$AD:$AD)</f>
        <v>35.791503910000003</v>
      </c>
      <c r="Q496">
        <f>_xlfn.XLOOKUP(E496,[1]syr_populatedplaces!$L:$L,[1]syr_populatedplaces!$AC:$AC)</f>
        <v>36.214294430000002</v>
      </c>
    </row>
    <row r="497" spans="2:17">
      <c r="B497" t="s">
        <v>809</v>
      </c>
      <c r="C497" t="s">
        <v>127</v>
      </c>
      <c r="D497" t="s">
        <v>150</v>
      </c>
      <c r="E497" t="s">
        <v>150</v>
      </c>
      <c r="F497" t="s">
        <v>812</v>
      </c>
      <c r="G497" t="s">
        <v>849</v>
      </c>
      <c r="H497" t="s">
        <v>124</v>
      </c>
      <c r="I497">
        <v>1</v>
      </c>
      <c r="J497" t="s">
        <v>108</v>
      </c>
      <c r="K497" t="s">
        <v>850</v>
      </c>
      <c r="L497" t="s">
        <v>550</v>
      </c>
      <c r="M497" t="s">
        <v>27</v>
      </c>
      <c r="N497" t="s">
        <v>108</v>
      </c>
      <c r="O497" t="s">
        <v>151</v>
      </c>
      <c r="P497">
        <v>35.812072749999999</v>
      </c>
      <c r="Q497">
        <v>36.197326660000002</v>
      </c>
    </row>
    <row r="498" spans="2:17">
      <c r="B498" t="s">
        <v>1530</v>
      </c>
      <c r="C498" t="s">
        <v>127</v>
      </c>
      <c r="D498" t="s">
        <v>127</v>
      </c>
      <c r="E498" t="s">
        <v>1806</v>
      </c>
      <c r="F498" t="s">
        <v>812</v>
      </c>
      <c r="G498" t="s">
        <v>1553</v>
      </c>
      <c r="H498" t="s">
        <v>1554</v>
      </c>
      <c r="I498">
        <v>1</v>
      </c>
      <c r="J498" t="s">
        <v>99</v>
      </c>
      <c r="K498" t="s">
        <v>1555</v>
      </c>
      <c r="L498" t="s">
        <v>1556</v>
      </c>
      <c r="M498" t="s">
        <v>27</v>
      </c>
      <c r="N498" t="s">
        <v>108</v>
      </c>
      <c r="O498" t="str">
        <f>_xlfn.XLOOKUP(E498,[1]syr_populatedplaces!$L:$L,[1]syr_populatedplaces!$M:$M)</f>
        <v>C3871</v>
      </c>
      <c r="P498">
        <f>_xlfn.XLOOKUP(E498,[1]syr_populatedplaces!$L:$L,[1]syr_populatedplaces!$AD:$AD)</f>
        <v>35.929077149999998</v>
      </c>
      <c r="Q498">
        <f>_xlfn.XLOOKUP(E498,[1]syr_populatedplaces!$L:$L,[1]syr_populatedplaces!$AC:$AC)</f>
        <v>36.635314940000001</v>
      </c>
    </row>
    <row r="499" spans="2:17">
      <c r="B499" t="s">
        <v>809</v>
      </c>
      <c r="C499" t="s">
        <v>127</v>
      </c>
      <c r="D499" t="s">
        <v>135</v>
      </c>
      <c r="E499" t="s">
        <v>135</v>
      </c>
      <c r="F499" t="s">
        <v>812</v>
      </c>
      <c r="G499" t="s">
        <v>863</v>
      </c>
      <c r="H499" t="s">
        <v>124</v>
      </c>
      <c r="I499">
        <v>1</v>
      </c>
      <c r="J499" t="s">
        <v>108</v>
      </c>
      <c r="K499" t="s">
        <v>864</v>
      </c>
      <c r="L499" t="s">
        <v>865</v>
      </c>
      <c r="M499" t="s">
        <v>27</v>
      </c>
      <c r="N499" t="s">
        <v>108</v>
      </c>
      <c r="O499" t="s">
        <v>136</v>
      </c>
      <c r="P499">
        <v>35.992492679999998</v>
      </c>
      <c r="Q499">
        <v>36.393493650000003</v>
      </c>
    </row>
    <row r="500" spans="2:17">
      <c r="B500" t="s">
        <v>809</v>
      </c>
      <c r="C500" t="s">
        <v>127</v>
      </c>
      <c r="D500" t="s">
        <v>862</v>
      </c>
      <c r="E500" t="s">
        <v>862</v>
      </c>
      <c r="F500" t="s">
        <v>812</v>
      </c>
      <c r="G500" t="s">
        <v>866</v>
      </c>
      <c r="H500" t="s">
        <v>124</v>
      </c>
      <c r="I500">
        <v>1</v>
      </c>
      <c r="J500" t="s">
        <v>108</v>
      </c>
      <c r="K500" t="s">
        <v>867</v>
      </c>
      <c r="L500" t="s">
        <v>868</v>
      </c>
      <c r="M500" t="s">
        <v>27</v>
      </c>
      <c r="N500" t="s">
        <v>108</v>
      </c>
      <c r="O500" t="str">
        <f>_xlfn.XLOOKUP(E500,[1]syr_populatedplaces!$L:$L,[1]syr_populatedplaces!$M:$M)</f>
        <v>C4233</v>
      </c>
      <c r="P500">
        <f>_xlfn.XLOOKUP(E500,[1]syr_populatedplaces!$L:$L,[1]syr_populatedplaces!$AD:$AD)</f>
        <v>35.791503910000003</v>
      </c>
      <c r="Q500">
        <f>_xlfn.XLOOKUP(E500,[1]syr_populatedplaces!$L:$L,[1]syr_populatedplaces!$AC:$AC)</f>
        <v>36.214294430000002</v>
      </c>
    </row>
    <row r="501" spans="2:17" ht="15">
      <c r="B501" t="s">
        <v>1530</v>
      </c>
      <c r="C501" t="s">
        <v>127</v>
      </c>
      <c r="E501" t="s">
        <v>1557</v>
      </c>
      <c r="F501" t="s">
        <v>812</v>
      </c>
      <c r="G501" t="s">
        <v>496</v>
      </c>
      <c r="H501" t="s">
        <v>1554</v>
      </c>
      <c r="I501">
        <v>1</v>
      </c>
      <c r="J501" t="s">
        <v>108</v>
      </c>
      <c r="K501" t="s">
        <v>1558</v>
      </c>
      <c r="L501" t="s">
        <v>1559</v>
      </c>
      <c r="M501" t="s">
        <v>27</v>
      </c>
      <c r="N501" t="s">
        <v>108</v>
      </c>
      <c r="O501" t="e">
        <f>_xlfn.XLOOKUP(E501,[1]syr_populatedplaces!$L:$L,[1]syr_populatedplaces!$M:$M)</f>
        <v>#N/A</v>
      </c>
      <c r="P501" s="4" t="e">
        <f>_xlfn.XLOOKUP(الجدول1[[#This Row],[القرية– البلدة]],[1]syr_populatedplaces!$L:$L,[1]syr_populatedplaces!$AD:$AD)</f>
        <v>#N/A</v>
      </c>
      <c r="Q501" s="4" t="e">
        <f>_xlfn.XLOOKUP(الجدول1[[#This Row],[القرية– البلدة]],[1]syr_populatedplaces!$L:$L,[1]syr_populatedplaces!$AC:$AC)</f>
        <v>#N/A</v>
      </c>
    </row>
    <row r="502" spans="2:17">
      <c r="B502" t="s">
        <v>809</v>
      </c>
      <c r="C502" t="s">
        <v>127</v>
      </c>
      <c r="D502" t="s">
        <v>439</v>
      </c>
      <c r="E502" t="s">
        <v>439</v>
      </c>
      <c r="F502" t="s">
        <v>812</v>
      </c>
      <c r="G502" t="s">
        <v>869</v>
      </c>
      <c r="H502" t="s">
        <v>124</v>
      </c>
      <c r="I502">
        <v>1</v>
      </c>
      <c r="J502" t="s">
        <v>108</v>
      </c>
      <c r="K502" t="s">
        <v>870</v>
      </c>
      <c r="L502" t="s">
        <v>868</v>
      </c>
      <c r="M502" t="s">
        <v>27</v>
      </c>
      <c r="N502" t="s">
        <v>108</v>
      </c>
      <c r="O502" t="str">
        <f>_xlfn.XLOOKUP(E502,[1]syr_populatedplaces!$L:$L,[1]syr_populatedplaces!$M:$M)</f>
        <v>C4278</v>
      </c>
      <c r="P502">
        <f>_xlfn.XLOOKUP(E502,[1]syr_populatedplaces!$L:$L,[1]syr_populatedplaces!$AD:$AD)</f>
        <v>35.81408691</v>
      </c>
      <c r="Q502">
        <f>_xlfn.XLOOKUP(E502,[1]syr_populatedplaces!$L:$L,[1]syr_populatedplaces!$AC:$AC)</f>
        <v>36.61029053</v>
      </c>
    </row>
    <row r="503" spans="2:17">
      <c r="B503" t="s">
        <v>809</v>
      </c>
      <c r="C503" t="s">
        <v>127</v>
      </c>
      <c r="D503" t="s">
        <v>439</v>
      </c>
      <c r="E503" t="s">
        <v>871</v>
      </c>
      <c r="F503" t="s">
        <v>812</v>
      </c>
      <c r="G503" t="s">
        <v>869</v>
      </c>
      <c r="H503" t="s">
        <v>124</v>
      </c>
      <c r="I503">
        <v>1</v>
      </c>
      <c r="J503" t="s">
        <v>108</v>
      </c>
      <c r="K503" t="s">
        <v>870</v>
      </c>
      <c r="L503" t="s">
        <v>868</v>
      </c>
      <c r="M503" t="s">
        <v>27</v>
      </c>
      <c r="N503" t="s">
        <v>108</v>
      </c>
      <c r="O503" t="s">
        <v>872</v>
      </c>
      <c r="P503">
        <v>35.823486330000001</v>
      </c>
      <c r="Q503">
        <v>36.58868408</v>
      </c>
    </row>
    <row r="504" spans="2:17" ht="15">
      <c r="B504" t="s">
        <v>1530</v>
      </c>
      <c r="C504" t="s">
        <v>127</v>
      </c>
      <c r="E504" t="s">
        <v>1560</v>
      </c>
      <c r="F504" t="s">
        <v>812</v>
      </c>
      <c r="G504" t="s">
        <v>496</v>
      </c>
      <c r="H504" t="s">
        <v>1554</v>
      </c>
      <c r="I504">
        <v>1</v>
      </c>
      <c r="J504" t="s">
        <v>108</v>
      </c>
      <c r="K504" t="s">
        <v>1561</v>
      </c>
      <c r="L504" t="s">
        <v>1559</v>
      </c>
      <c r="M504" t="s">
        <v>27</v>
      </c>
      <c r="N504" t="s">
        <v>108</v>
      </c>
      <c r="O504" t="e">
        <f>_xlfn.XLOOKUP(E504,[1]syr_populatedplaces!$L:$L,[1]syr_populatedplaces!$M:$M)</f>
        <v>#N/A</v>
      </c>
      <c r="P504" s="4" t="e">
        <f>_xlfn.XLOOKUP(الجدول1[[#This Row],[القرية– البلدة]],[1]syr_populatedplaces!$L:$L,[1]syr_populatedplaces!$AD:$AD)</f>
        <v>#N/A</v>
      </c>
      <c r="Q504" s="4" t="e">
        <f>_xlfn.XLOOKUP(الجدول1[[#This Row],[القرية– البلدة]],[1]syr_populatedplaces!$L:$L,[1]syr_populatedplaces!$AC:$AC)</f>
        <v>#N/A</v>
      </c>
    </row>
    <row r="505" spans="2:17" ht="15">
      <c r="B505" t="s">
        <v>1530</v>
      </c>
      <c r="C505" t="s">
        <v>127</v>
      </c>
      <c r="E505" t="s">
        <v>1562</v>
      </c>
      <c r="F505" t="s">
        <v>812</v>
      </c>
      <c r="G505" t="s">
        <v>1563</v>
      </c>
      <c r="H505" t="s">
        <v>1356</v>
      </c>
      <c r="I505">
        <v>1</v>
      </c>
      <c r="J505" t="s">
        <v>108</v>
      </c>
      <c r="K505" t="s">
        <v>1564</v>
      </c>
      <c r="L505" t="s">
        <v>1565</v>
      </c>
      <c r="M505" t="s">
        <v>27</v>
      </c>
      <c r="N505" t="s">
        <v>99</v>
      </c>
      <c r="O505" t="e">
        <f>_xlfn.XLOOKUP(E505,[1]syr_populatedplaces!$L:$L,[1]syr_populatedplaces!$M:$M)</f>
        <v>#N/A</v>
      </c>
      <c r="P505" s="4" t="e">
        <f>_xlfn.XLOOKUP(الجدول1[[#This Row],[القرية– البلدة]],[1]syr_populatedplaces!$L:$L,[1]syr_populatedplaces!$AD:$AD)</f>
        <v>#N/A</v>
      </c>
      <c r="Q505" s="4" t="e">
        <f>_xlfn.XLOOKUP(الجدول1[[#This Row],[القرية– البلدة]],[1]syr_populatedplaces!$L:$L,[1]syr_populatedplaces!$AC:$AC)</f>
        <v>#N/A</v>
      </c>
    </row>
    <row r="506" spans="2:17">
      <c r="B506" t="s">
        <v>809</v>
      </c>
      <c r="C506" t="s">
        <v>127</v>
      </c>
      <c r="D506" t="s">
        <v>27</v>
      </c>
      <c r="E506" t="s">
        <v>127</v>
      </c>
      <c r="F506" t="s">
        <v>812</v>
      </c>
      <c r="G506" t="s">
        <v>873</v>
      </c>
      <c r="H506" t="s">
        <v>874</v>
      </c>
      <c r="I506">
        <v>1</v>
      </c>
      <c r="J506" t="s">
        <v>99</v>
      </c>
      <c r="K506" t="s">
        <v>875</v>
      </c>
      <c r="L506" t="s">
        <v>876</v>
      </c>
      <c r="M506" t="s">
        <v>27</v>
      </c>
      <c r="N506" t="s">
        <v>99</v>
      </c>
      <c r="O506" t="s">
        <v>137</v>
      </c>
      <c r="P506">
        <v>35.929077149999998</v>
      </c>
      <c r="Q506">
        <v>36.635314940000001</v>
      </c>
    </row>
    <row r="507" spans="2:17" ht="15">
      <c r="B507" t="s">
        <v>1530</v>
      </c>
      <c r="C507" t="s">
        <v>127</v>
      </c>
      <c r="E507" t="s">
        <v>1566</v>
      </c>
      <c r="F507" t="s">
        <v>812</v>
      </c>
      <c r="G507" t="s">
        <v>496</v>
      </c>
      <c r="H507" t="s">
        <v>1554</v>
      </c>
      <c r="I507">
        <v>1</v>
      </c>
      <c r="J507" t="s">
        <v>108</v>
      </c>
      <c r="K507" t="s">
        <v>1567</v>
      </c>
      <c r="L507" t="s">
        <v>1559</v>
      </c>
      <c r="M507" t="s">
        <v>27</v>
      </c>
      <c r="N507" t="s">
        <v>108</v>
      </c>
      <c r="O507" t="e">
        <f>_xlfn.XLOOKUP(E507,[1]syr_populatedplaces!$L:$L,[1]syr_populatedplaces!$M:$M)</f>
        <v>#N/A</v>
      </c>
      <c r="P507" s="4" t="e">
        <f>_xlfn.XLOOKUP(الجدول1[[#This Row],[القرية– البلدة]],[1]syr_populatedplaces!$L:$L,[1]syr_populatedplaces!$AD:$AD)</f>
        <v>#N/A</v>
      </c>
      <c r="Q507" s="4" t="e">
        <f>_xlfn.XLOOKUP(الجدول1[[#This Row],[القرية– البلدة]],[1]syr_populatedplaces!$L:$L,[1]syr_populatedplaces!$AC:$AC)</f>
        <v>#N/A</v>
      </c>
    </row>
    <row r="508" spans="2:17">
      <c r="B508" t="s">
        <v>809</v>
      </c>
      <c r="C508" t="s">
        <v>127</v>
      </c>
      <c r="D508" t="s">
        <v>27</v>
      </c>
      <c r="E508" t="s">
        <v>154</v>
      </c>
      <c r="F508" t="s">
        <v>812</v>
      </c>
      <c r="G508" t="s">
        <v>873</v>
      </c>
      <c r="H508" t="s">
        <v>874</v>
      </c>
      <c r="I508">
        <v>1</v>
      </c>
      <c r="J508" t="s">
        <v>99</v>
      </c>
      <c r="K508" t="s">
        <v>875</v>
      </c>
      <c r="L508" t="s">
        <v>876</v>
      </c>
      <c r="M508" t="s">
        <v>27</v>
      </c>
      <c r="N508" t="s">
        <v>99</v>
      </c>
      <c r="O508" t="s">
        <v>155</v>
      </c>
      <c r="P508">
        <v>35.539123539999999</v>
      </c>
      <c r="Q508">
        <v>35.789672850000002</v>
      </c>
    </row>
    <row r="509" spans="2:17" ht="15">
      <c r="B509" t="s">
        <v>1530</v>
      </c>
      <c r="C509" t="s">
        <v>127</v>
      </c>
      <c r="E509" t="s">
        <v>1568</v>
      </c>
      <c r="F509" t="s">
        <v>812</v>
      </c>
      <c r="G509" t="s">
        <v>1569</v>
      </c>
      <c r="H509" t="s">
        <v>1351</v>
      </c>
      <c r="I509">
        <v>1</v>
      </c>
      <c r="J509" t="s">
        <v>108</v>
      </c>
      <c r="K509" t="s">
        <v>1570</v>
      </c>
      <c r="L509" t="s">
        <v>1571</v>
      </c>
      <c r="M509" t="s">
        <v>27</v>
      </c>
      <c r="N509" t="s">
        <v>108</v>
      </c>
      <c r="O509" t="e">
        <f>_xlfn.XLOOKUP(E509,[1]syr_populatedplaces!$L:$L,[1]syr_populatedplaces!$M:$M)</f>
        <v>#N/A</v>
      </c>
      <c r="P509" s="4" t="e">
        <f>_xlfn.XLOOKUP(الجدول1[[#This Row],[القرية– البلدة]],[1]syr_populatedplaces!$L:$L,[1]syr_populatedplaces!$AD:$AD)</f>
        <v>#N/A</v>
      </c>
      <c r="Q509" s="4" t="e">
        <f>_xlfn.XLOOKUP(الجدول1[[#This Row],[القرية– البلدة]],[1]syr_populatedplaces!$L:$L,[1]syr_populatedplaces!$AC:$AC)</f>
        <v>#N/A</v>
      </c>
    </row>
    <row r="510" spans="2:17">
      <c r="B510" t="s">
        <v>809</v>
      </c>
      <c r="C510" t="s">
        <v>127</v>
      </c>
      <c r="D510" t="s">
        <v>27</v>
      </c>
      <c r="E510" t="s">
        <v>140</v>
      </c>
      <c r="F510" t="s">
        <v>812</v>
      </c>
      <c r="G510" t="s">
        <v>873</v>
      </c>
      <c r="H510" t="s">
        <v>874</v>
      </c>
      <c r="I510">
        <v>1</v>
      </c>
      <c r="J510" t="s">
        <v>99</v>
      </c>
      <c r="K510" t="s">
        <v>875</v>
      </c>
      <c r="L510" t="s">
        <v>876</v>
      </c>
      <c r="M510" t="s">
        <v>27</v>
      </c>
      <c r="N510" t="s">
        <v>99</v>
      </c>
      <c r="O510" t="s">
        <v>141</v>
      </c>
      <c r="P510">
        <v>36.309875490000003</v>
      </c>
      <c r="Q510">
        <v>36.689880369999997</v>
      </c>
    </row>
    <row r="511" spans="2:17">
      <c r="B511" t="s">
        <v>809</v>
      </c>
      <c r="C511" t="s">
        <v>127</v>
      </c>
      <c r="D511" t="s">
        <v>27</v>
      </c>
      <c r="E511" t="s">
        <v>398</v>
      </c>
      <c r="F511" t="s">
        <v>812</v>
      </c>
      <c r="G511" t="s">
        <v>243</v>
      </c>
      <c r="H511" t="s">
        <v>814</v>
      </c>
      <c r="I511">
        <v>1</v>
      </c>
      <c r="J511" t="s">
        <v>108</v>
      </c>
      <c r="K511" t="s">
        <v>878</v>
      </c>
      <c r="L511" t="s">
        <v>278</v>
      </c>
      <c r="M511" t="s">
        <v>27</v>
      </c>
      <c r="N511" t="s">
        <v>108</v>
      </c>
      <c r="O511" t="s">
        <v>399</v>
      </c>
      <c r="P511">
        <v>36.194274900000003</v>
      </c>
      <c r="Q511">
        <v>36.80950928</v>
      </c>
    </row>
    <row r="512" spans="2:17">
      <c r="B512" t="s">
        <v>809</v>
      </c>
      <c r="C512" t="s">
        <v>127</v>
      </c>
      <c r="D512" t="s">
        <v>27</v>
      </c>
      <c r="E512" t="s">
        <v>163</v>
      </c>
      <c r="F512" t="s">
        <v>812</v>
      </c>
      <c r="G512" t="s">
        <v>243</v>
      </c>
      <c r="H512" t="s">
        <v>814</v>
      </c>
      <c r="I512">
        <v>1</v>
      </c>
      <c r="J512" t="s">
        <v>108</v>
      </c>
      <c r="K512" t="s">
        <v>878</v>
      </c>
      <c r="L512" t="s">
        <v>278</v>
      </c>
      <c r="M512" t="s">
        <v>27</v>
      </c>
      <c r="N512" t="s">
        <v>108</v>
      </c>
      <c r="O512" t="s">
        <v>164</v>
      </c>
      <c r="P512">
        <v>36.212707520000002</v>
      </c>
      <c r="Q512">
        <v>36.520874020000001</v>
      </c>
    </row>
    <row r="513" spans="2:17">
      <c r="B513" t="s">
        <v>809</v>
      </c>
      <c r="C513" t="s">
        <v>127</v>
      </c>
      <c r="D513" t="s">
        <v>27</v>
      </c>
      <c r="E513" t="s">
        <v>150</v>
      </c>
      <c r="F513" t="s">
        <v>812</v>
      </c>
      <c r="G513" t="s">
        <v>243</v>
      </c>
      <c r="H513" t="s">
        <v>814</v>
      </c>
      <c r="I513">
        <v>1</v>
      </c>
      <c r="J513" t="s">
        <v>108</v>
      </c>
      <c r="K513" t="s">
        <v>878</v>
      </c>
      <c r="L513" t="s">
        <v>278</v>
      </c>
      <c r="M513" t="s">
        <v>27</v>
      </c>
      <c r="N513" t="s">
        <v>108</v>
      </c>
      <c r="O513" t="s">
        <v>151</v>
      </c>
      <c r="P513">
        <v>35.812072749999999</v>
      </c>
      <c r="Q513">
        <v>36.197326660000002</v>
      </c>
    </row>
    <row r="514" spans="2:17">
      <c r="B514" t="s">
        <v>809</v>
      </c>
      <c r="C514" t="s">
        <v>127</v>
      </c>
      <c r="D514" t="s">
        <v>27</v>
      </c>
      <c r="E514" t="s">
        <v>129</v>
      </c>
      <c r="F514" t="s">
        <v>812</v>
      </c>
      <c r="G514" t="s">
        <v>243</v>
      </c>
      <c r="H514" t="s">
        <v>814</v>
      </c>
      <c r="I514">
        <v>1</v>
      </c>
      <c r="J514" t="s">
        <v>108</v>
      </c>
      <c r="K514" t="s">
        <v>878</v>
      </c>
      <c r="L514" t="s">
        <v>278</v>
      </c>
      <c r="M514" t="s">
        <v>27</v>
      </c>
      <c r="N514" t="s">
        <v>108</v>
      </c>
      <c r="O514" t="s">
        <v>133</v>
      </c>
      <c r="P514">
        <v>35.814270020000002</v>
      </c>
      <c r="Q514">
        <v>36.314880369999997</v>
      </c>
    </row>
    <row r="515" spans="2:17">
      <c r="B515" t="s">
        <v>809</v>
      </c>
      <c r="C515" t="s">
        <v>127</v>
      </c>
      <c r="D515" t="s">
        <v>27</v>
      </c>
      <c r="E515" t="s">
        <v>425</v>
      </c>
      <c r="F515" t="s">
        <v>812</v>
      </c>
      <c r="G515" t="s">
        <v>243</v>
      </c>
      <c r="H515" t="s">
        <v>814</v>
      </c>
      <c r="I515">
        <v>1</v>
      </c>
      <c r="J515" t="s">
        <v>108</v>
      </c>
      <c r="K515" t="s">
        <v>878</v>
      </c>
      <c r="L515" t="s">
        <v>278</v>
      </c>
      <c r="M515" t="s">
        <v>27</v>
      </c>
      <c r="N515" t="s">
        <v>108</v>
      </c>
      <c r="O515" t="str">
        <f>_xlfn.XLOOKUP(E515,[1]syr_populatedplaces!$L:$L,[1]syr_populatedplaces!$M:$M)</f>
        <v>C3965</v>
      </c>
      <c r="P515">
        <f>_xlfn.XLOOKUP(E515,[1]syr_populatedplaces!$L:$L,[1]syr_populatedplaces!$AD:$AD)</f>
        <v>35.699890140000001</v>
      </c>
      <c r="Q515">
        <f>_xlfn.XLOOKUP(E515,[1]syr_populatedplaces!$L:$L,[1]syr_populatedplaces!$AC:$AC)</f>
        <v>36.688110350000002</v>
      </c>
    </row>
    <row r="516" spans="2:17" ht="15">
      <c r="B516" t="s">
        <v>1530</v>
      </c>
      <c r="C516" t="s">
        <v>127</v>
      </c>
      <c r="E516" t="s">
        <v>1142</v>
      </c>
      <c r="F516" t="s">
        <v>812</v>
      </c>
      <c r="G516" t="s">
        <v>1572</v>
      </c>
      <c r="H516" t="s">
        <v>1573</v>
      </c>
      <c r="J516" t="s">
        <v>99</v>
      </c>
      <c r="K516" t="s">
        <v>1574</v>
      </c>
      <c r="L516" t="s">
        <v>1575</v>
      </c>
      <c r="M516" t="s">
        <v>27</v>
      </c>
      <c r="N516" t="s">
        <v>108</v>
      </c>
      <c r="O516" t="e">
        <f>_xlfn.XLOOKUP(E516,[1]syr_populatedplaces!$L:$L,[1]syr_populatedplaces!$M:$M)</f>
        <v>#N/A</v>
      </c>
      <c r="P516" s="4" t="e">
        <f>_xlfn.XLOOKUP(الجدول1[[#This Row],[القرية– البلدة]],[1]syr_populatedplaces!$L:$L,[1]syr_populatedplaces!$AD:$AD)</f>
        <v>#N/A</v>
      </c>
      <c r="Q516" s="4" t="e">
        <f>_xlfn.XLOOKUP(الجدول1[[#This Row],[القرية– البلدة]],[1]syr_populatedplaces!$L:$L,[1]syr_populatedplaces!$AC:$AC)</f>
        <v>#N/A</v>
      </c>
    </row>
    <row r="517" spans="2:17" ht="15">
      <c r="B517" t="s">
        <v>1530</v>
      </c>
      <c r="C517" t="s">
        <v>127</v>
      </c>
      <c r="E517" t="s">
        <v>1576</v>
      </c>
      <c r="F517" t="s">
        <v>812</v>
      </c>
      <c r="G517" t="s">
        <v>896</v>
      </c>
      <c r="H517" t="s">
        <v>1576</v>
      </c>
      <c r="I517">
        <v>1</v>
      </c>
      <c r="J517" t="s">
        <v>99</v>
      </c>
      <c r="K517" t="s">
        <v>1577</v>
      </c>
      <c r="L517" t="s">
        <v>1578</v>
      </c>
      <c r="M517" t="s">
        <v>27</v>
      </c>
      <c r="N517" t="s">
        <v>99</v>
      </c>
      <c r="O517" t="e">
        <f>_xlfn.XLOOKUP(E517,[1]syr_populatedplaces!$L:$L,[1]syr_populatedplaces!$M:$M)</f>
        <v>#N/A</v>
      </c>
      <c r="P517" s="4" t="e">
        <f>_xlfn.XLOOKUP(الجدول1[[#This Row],[القرية– البلدة]],[1]syr_populatedplaces!$L:$L,[1]syr_populatedplaces!$AD:$AD)</f>
        <v>#N/A</v>
      </c>
      <c r="Q517" s="4" t="e">
        <f>_xlfn.XLOOKUP(الجدول1[[#This Row],[القرية– البلدة]],[1]syr_populatedplaces!$L:$L,[1]syr_populatedplaces!$AC:$AC)</f>
        <v>#N/A</v>
      </c>
    </row>
    <row r="518" spans="2:17" ht="15">
      <c r="B518" t="s">
        <v>1530</v>
      </c>
      <c r="C518" t="s">
        <v>127</v>
      </c>
      <c r="E518" t="s">
        <v>1576</v>
      </c>
      <c r="F518" t="s">
        <v>812</v>
      </c>
      <c r="G518" t="s">
        <v>1579</v>
      </c>
      <c r="H518" t="s">
        <v>1576</v>
      </c>
      <c r="I518">
        <v>1</v>
      </c>
      <c r="J518" t="s">
        <v>99</v>
      </c>
      <c r="K518" t="s">
        <v>1580</v>
      </c>
      <c r="L518" t="s">
        <v>1581</v>
      </c>
      <c r="M518" t="s">
        <v>27</v>
      </c>
      <c r="N518" t="s">
        <v>99</v>
      </c>
      <c r="O518" t="e">
        <f>_xlfn.XLOOKUP(E518,[1]syr_populatedplaces!$L:$L,[1]syr_populatedplaces!$M:$M)</f>
        <v>#N/A</v>
      </c>
      <c r="P518" s="4" t="e">
        <f>_xlfn.XLOOKUP(الجدول1[[#This Row],[القرية– البلدة]],[1]syr_populatedplaces!$L:$L,[1]syr_populatedplaces!$AD:$AD)</f>
        <v>#N/A</v>
      </c>
      <c r="Q518" s="4" t="e">
        <f>_xlfn.XLOOKUP(الجدول1[[#This Row],[القرية– البلدة]],[1]syr_populatedplaces!$L:$L,[1]syr_populatedplaces!$AC:$AC)</f>
        <v>#N/A</v>
      </c>
    </row>
    <row r="519" spans="2:17">
      <c r="B519" t="s">
        <v>809</v>
      </c>
      <c r="C519" t="s">
        <v>127</v>
      </c>
      <c r="D519" t="s">
        <v>150</v>
      </c>
      <c r="E519" t="s">
        <v>150</v>
      </c>
      <c r="F519" t="s">
        <v>812</v>
      </c>
      <c r="G519" t="s">
        <v>882</v>
      </c>
      <c r="H519" t="s">
        <v>477</v>
      </c>
      <c r="I519">
        <v>1</v>
      </c>
      <c r="J519" t="s">
        <v>883</v>
      </c>
      <c r="K519" t="s">
        <v>884</v>
      </c>
      <c r="L519" t="s">
        <v>885</v>
      </c>
      <c r="M519" t="s">
        <v>886</v>
      </c>
      <c r="N519" t="s">
        <v>387</v>
      </c>
      <c r="O519" t="s">
        <v>151</v>
      </c>
      <c r="P519">
        <v>35.812072749999999</v>
      </c>
      <c r="Q519">
        <v>36.197326660000002</v>
      </c>
    </row>
    <row r="520" spans="2:17" ht="15">
      <c r="B520" t="s">
        <v>1582</v>
      </c>
      <c r="C520" t="s">
        <v>127</v>
      </c>
      <c r="E520" t="s">
        <v>671</v>
      </c>
      <c r="F520" t="s">
        <v>1583</v>
      </c>
      <c r="G520" t="s">
        <v>1363</v>
      </c>
      <c r="H520" t="s">
        <v>1618</v>
      </c>
      <c r="J520" t="s">
        <v>108</v>
      </c>
      <c r="K520" t="s">
        <v>1619</v>
      </c>
      <c r="L520" t="s">
        <v>1620</v>
      </c>
      <c r="M520" t="s">
        <v>27</v>
      </c>
      <c r="N520" t="s">
        <v>108</v>
      </c>
      <c r="O520" t="e">
        <f>_xlfn.XLOOKUP(E520,[1]syr_populatedplaces!$L:$L,[1]syr_populatedplaces!$M:$M)</f>
        <v>#N/A</v>
      </c>
      <c r="P520" s="4" t="e">
        <f>_xlfn.XLOOKUP(الجدول1[[#This Row],[القرية– البلدة]],[1]syr_populatedplaces!$L:$L,[1]syr_populatedplaces!$AD:$AD)</f>
        <v>#N/A</v>
      </c>
      <c r="Q520" s="4" t="e">
        <f>_xlfn.XLOOKUP(الجدول1[[#This Row],[القرية– البلدة]],[1]syr_populatedplaces!$L:$L,[1]syr_populatedplaces!$AC:$AC)</f>
        <v>#N/A</v>
      </c>
    </row>
    <row r="521" spans="2:17">
      <c r="B521" t="s">
        <v>1582</v>
      </c>
      <c r="C521" t="s">
        <v>127</v>
      </c>
      <c r="D521" t="s">
        <v>1324</v>
      </c>
      <c r="E521" t="s">
        <v>1324</v>
      </c>
      <c r="F521" t="s">
        <v>1583</v>
      </c>
      <c r="G521" t="s">
        <v>1621</v>
      </c>
      <c r="H521" t="s">
        <v>1622</v>
      </c>
      <c r="I521">
        <v>1</v>
      </c>
      <c r="J521" t="s">
        <v>883</v>
      </c>
      <c r="K521" t="s">
        <v>1623</v>
      </c>
      <c r="L521" t="s">
        <v>1624</v>
      </c>
      <c r="M521" t="s">
        <v>27</v>
      </c>
      <c r="N521" t="s">
        <v>108</v>
      </c>
      <c r="O521" t="str">
        <f>_xlfn.XLOOKUP(E521,[1]syr_populatedplaces!$L:$L,[1]syr_populatedplaces!$M:$M)</f>
        <v>C6738</v>
      </c>
      <c r="P521">
        <f>_xlfn.XLOOKUP(E521,[1]syr_populatedplaces!$L:$L,[1]syr_populatedplaces!$AD:$AD)</f>
        <v>36.020507809999998</v>
      </c>
      <c r="Q521">
        <f>_xlfn.XLOOKUP(E521,[1]syr_populatedplaces!$L:$L,[1]syr_populatedplaces!$AC:$AC)</f>
        <v>40.911926270000002</v>
      </c>
    </row>
    <row r="522" spans="2:17">
      <c r="B522" t="s">
        <v>1582</v>
      </c>
      <c r="C522" t="s">
        <v>127</v>
      </c>
      <c r="D522" t="s">
        <v>1324</v>
      </c>
      <c r="E522" t="s">
        <v>1324</v>
      </c>
      <c r="F522" t="s">
        <v>1583</v>
      </c>
      <c r="G522" t="s">
        <v>1625</v>
      </c>
      <c r="H522" t="s">
        <v>1626</v>
      </c>
      <c r="I522">
        <v>1</v>
      </c>
      <c r="J522" t="s">
        <v>883</v>
      </c>
      <c r="K522" t="s">
        <v>1627</v>
      </c>
      <c r="L522" t="s">
        <v>1628</v>
      </c>
      <c r="M522" t="s">
        <v>27</v>
      </c>
      <c r="N522" t="s">
        <v>108</v>
      </c>
      <c r="O522" t="str">
        <f>_xlfn.XLOOKUP(E522,[1]syr_populatedplaces!$L:$L,[1]syr_populatedplaces!$M:$M)</f>
        <v>C6738</v>
      </c>
      <c r="P522">
        <f>_xlfn.XLOOKUP(E522,[1]syr_populatedplaces!$L:$L,[1]syr_populatedplaces!$AD:$AD)</f>
        <v>36.020507809999998</v>
      </c>
      <c r="Q522">
        <f>_xlfn.XLOOKUP(E522,[1]syr_populatedplaces!$L:$L,[1]syr_populatedplaces!$AC:$AC)</f>
        <v>40.911926270000002</v>
      </c>
    </row>
    <row r="523" spans="2:17">
      <c r="B523" t="s">
        <v>1582</v>
      </c>
      <c r="C523" t="s">
        <v>127</v>
      </c>
      <c r="D523" t="s">
        <v>1629</v>
      </c>
      <c r="E523" t="s">
        <v>1808</v>
      </c>
      <c r="F523" t="s">
        <v>1583</v>
      </c>
      <c r="G523" t="s">
        <v>1631</v>
      </c>
      <c r="H523" t="s">
        <v>1630</v>
      </c>
      <c r="I523">
        <v>1</v>
      </c>
      <c r="J523" t="s">
        <v>883</v>
      </c>
      <c r="K523" t="s">
        <v>1632</v>
      </c>
      <c r="L523" t="s">
        <v>1633</v>
      </c>
      <c r="M523" t="s">
        <v>27</v>
      </c>
      <c r="N523" t="s">
        <v>108</v>
      </c>
      <c r="O523" t="str">
        <f>_xlfn.XLOOKUP(E523,[1]syr_populatedplaces!$L:$L,[1]syr_populatedplaces!$M:$M)</f>
        <v>C6627</v>
      </c>
      <c r="P523">
        <f>_xlfn.XLOOKUP(E523,[1]syr_populatedplaces!$L:$L,[1]syr_populatedplaces!$AD:$AD)</f>
        <v>35.793273929999998</v>
      </c>
      <c r="Q523">
        <f>_xlfn.XLOOKUP(E523,[1]syr_populatedplaces!$L:$L,[1]syr_populatedplaces!$AC:$AC)</f>
        <v>37.061889649999998</v>
      </c>
    </row>
    <row r="524" spans="2:17" ht="15">
      <c r="B524" t="s">
        <v>1582</v>
      </c>
      <c r="C524" t="s">
        <v>127</v>
      </c>
      <c r="E524" t="s">
        <v>1634</v>
      </c>
      <c r="F524" t="s">
        <v>1583</v>
      </c>
      <c r="G524" t="s">
        <v>1339</v>
      </c>
      <c r="H524" t="s">
        <v>1635</v>
      </c>
      <c r="J524" t="s">
        <v>108</v>
      </c>
      <c r="K524" t="s">
        <v>1636</v>
      </c>
      <c r="L524" t="s">
        <v>1637</v>
      </c>
      <c r="M524" t="s">
        <v>27</v>
      </c>
      <c r="N524" t="s">
        <v>99</v>
      </c>
      <c r="O524" t="e">
        <f>_xlfn.XLOOKUP(E524,[1]syr_populatedplaces!$L:$L,[1]syr_populatedplaces!$M:$M)</f>
        <v>#N/A</v>
      </c>
      <c r="P524" s="4" t="e">
        <f>_xlfn.XLOOKUP(الجدول1[[#This Row],[القرية– البلدة]],[1]syr_populatedplaces!$L:$L,[1]syr_populatedplaces!$AD:$AD)</f>
        <v>#N/A</v>
      </c>
      <c r="Q524" s="4" t="e">
        <f>_xlfn.XLOOKUP(الجدول1[[#This Row],[القرية– البلدة]],[1]syr_populatedplaces!$L:$L,[1]syr_populatedplaces!$AC:$AC)</f>
        <v>#N/A</v>
      </c>
    </row>
    <row r="525" spans="2:17" ht="15">
      <c r="B525" t="s">
        <v>1582</v>
      </c>
      <c r="C525" t="s">
        <v>127</v>
      </c>
      <c r="E525" t="s">
        <v>800</v>
      </c>
      <c r="F525" t="s">
        <v>1583</v>
      </c>
      <c r="G525" t="s">
        <v>1597</v>
      </c>
      <c r="H525" t="s">
        <v>1638</v>
      </c>
      <c r="J525" t="s">
        <v>99</v>
      </c>
      <c r="K525" t="s">
        <v>1639</v>
      </c>
      <c r="L525" t="s">
        <v>1640</v>
      </c>
      <c r="M525" t="s">
        <v>27</v>
      </c>
      <c r="N525" t="s">
        <v>99</v>
      </c>
      <c r="O525" t="e">
        <f>_xlfn.XLOOKUP(E525,[1]syr_populatedplaces!$L:$L,[1]syr_populatedplaces!$M:$M)</f>
        <v>#N/A</v>
      </c>
      <c r="P525" s="4" t="e">
        <f>_xlfn.XLOOKUP(الجدول1[[#This Row],[القرية– البلدة]],[1]syr_populatedplaces!$L:$L,[1]syr_populatedplaces!$AD:$AD)</f>
        <v>#N/A</v>
      </c>
      <c r="Q525" s="4" t="e">
        <f>_xlfn.XLOOKUP(الجدول1[[#This Row],[القرية– البلدة]],[1]syr_populatedplaces!$L:$L,[1]syr_populatedplaces!$AC:$AC)</f>
        <v>#N/A</v>
      </c>
    </row>
    <row r="526" spans="2:17" ht="15">
      <c r="B526" t="s">
        <v>1582</v>
      </c>
      <c r="C526" t="s">
        <v>127</v>
      </c>
      <c r="E526" t="s">
        <v>1641</v>
      </c>
      <c r="F526" t="s">
        <v>1583</v>
      </c>
      <c r="G526" t="s">
        <v>1642</v>
      </c>
      <c r="H526" t="s">
        <v>1643</v>
      </c>
      <c r="I526">
        <v>1</v>
      </c>
      <c r="J526" t="s">
        <v>99</v>
      </c>
      <c r="K526" t="s">
        <v>1644</v>
      </c>
      <c r="L526" t="s">
        <v>1645</v>
      </c>
      <c r="M526" t="s">
        <v>27</v>
      </c>
      <c r="N526" t="s">
        <v>99</v>
      </c>
      <c r="O526" t="e">
        <f>_xlfn.XLOOKUP(E526,[1]syr_populatedplaces!$L:$L,[1]syr_populatedplaces!$M:$M)</f>
        <v>#N/A</v>
      </c>
      <c r="P526" s="4" t="e">
        <f>_xlfn.XLOOKUP(الجدول1[[#This Row],[القرية– البلدة]],[1]syr_populatedplaces!$L:$L,[1]syr_populatedplaces!$AD:$AD)</f>
        <v>#N/A</v>
      </c>
      <c r="Q526" s="4" t="e">
        <f>_xlfn.XLOOKUP(الجدول1[[#This Row],[القرية– البلدة]],[1]syr_populatedplaces!$L:$L,[1]syr_populatedplaces!$AC:$AC)</f>
        <v>#N/A</v>
      </c>
    </row>
    <row r="527" spans="2:17" ht="15">
      <c r="B527" t="s">
        <v>1582</v>
      </c>
      <c r="C527" t="s">
        <v>127</v>
      </c>
      <c r="E527" t="s">
        <v>1646</v>
      </c>
      <c r="F527" t="s">
        <v>1583</v>
      </c>
      <c r="G527" t="s">
        <v>1647</v>
      </c>
      <c r="H527" t="s">
        <v>1648</v>
      </c>
      <c r="I527">
        <v>1</v>
      </c>
      <c r="J527" t="s">
        <v>99</v>
      </c>
      <c r="K527" t="s">
        <v>1649</v>
      </c>
      <c r="L527" t="s">
        <v>1650</v>
      </c>
      <c r="M527" t="s">
        <v>27</v>
      </c>
      <c r="N527" t="s">
        <v>99</v>
      </c>
      <c r="O527" t="e">
        <f>_xlfn.XLOOKUP(E527,[1]syr_populatedplaces!$L:$L,[1]syr_populatedplaces!$M:$M)</f>
        <v>#N/A</v>
      </c>
      <c r="P527" s="4" t="e">
        <f>_xlfn.XLOOKUP(الجدول1[[#This Row],[القرية– البلدة]],[1]syr_populatedplaces!$L:$L,[1]syr_populatedplaces!$AD:$AD)</f>
        <v>#N/A</v>
      </c>
      <c r="Q527" s="4" t="e">
        <f>_xlfn.XLOOKUP(الجدول1[[#This Row],[القرية– البلدة]],[1]syr_populatedplaces!$L:$L,[1]syr_populatedplaces!$AC:$AC)</f>
        <v>#N/A</v>
      </c>
    </row>
    <row r="528" spans="2:17">
      <c r="B528" t="s">
        <v>809</v>
      </c>
      <c r="C528" t="s">
        <v>127</v>
      </c>
      <c r="D528" t="s">
        <v>27</v>
      </c>
      <c r="E528" t="s">
        <v>895</v>
      </c>
      <c r="F528" t="s">
        <v>812</v>
      </c>
      <c r="G528" t="s">
        <v>896</v>
      </c>
      <c r="H528" t="s">
        <v>840</v>
      </c>
      <c r="I528">
        <v>1</v>
      </c>
      <c r="J528" t="s">
        <v>108</v>
      </c>
      <c r="K528" t="s">
        <v>897</v>
      </c>
      <c r="L528" t="s">
        <v>576</v>
      </c>
      <c r="M528" t="s">
        <v>841</v>
      </c>
      <c r="N528" t="s">
        <v>108</v>
      </c>
      <c r="O528" t="str">
        <f>_xlfn.XLOOKUP(E528,[1]syr_populatedplaces!$L:$L,[1]syr_populatedplaces!$M:$M)</f>
        <v>C2276</v>
      </c>
      <c r="P528">
        <f>_xlfn.XLOOKUP(E528,[1]syr_populatedplaces!$L:$L,[1]syr_populatedplaces!$AD:$AD)</f>
        <v>33.309326169999999</v>
      </c>
      <c r="Q528">
        <f>_xlfn.XLOOKUP(E528,[1]syr_populatedplaces!$L:$L,[1]syr_populatedplaces!$AC:$AC)</f>
        <v>36.224487310000001</v>
      </c>
    </row>
    <row r="529" spans="2:17">
      <c r="B529" t="s">
        <v>809</v>
      </c>
      <c r="C529" t="s">
        <v>127</v>
      </c>
      <c r="D529" t="s">
        <v>27</v>
      </c>
      <c r="E529" t="s">
        <v>425</v>
      </c>
      <c r="F529" t="s">
        <v>812</v>
      </c>
      <c r="G529" t="s">
        <v>896</v>
      </c>
      <c r="H529" t="s">
        <v>840</v>
      </c>
      <c r="I529">
        <v>1</v>
      </c>
      <c r="J529" t="s">
        <v>108</v>
      </c>
      <c r="K529" t="s">
        <v>897</v>
      </c>
      <c r="L529" t="s">
        <v>576</v>
      </c>
      <c r="M529" t="s">
        <v>841</v>
      </c>
      <c r="N529" t="s">
        <v>108</v>
      </c>
      <c r="O529" t="str">
        <f>_xlfn.XLOOKUP(E529,[1]syr_populatedplaces!$L:$L,[1]syr_populatedplaces!$M:$M)</f>
        <v>C3965</v>
      </c>
      <c r="P529">
        <f>_xlfn.XLOOKUP(E529,[1]syr_populatedplaces!$L:$L,[1]syr_populatedplaces!$AD:$AD)</f>
        <v>35.699890140000001</v>
      </c>
      <c r="Q529">
        <f>_xlfn.XLOOKUP(E529,[1]syr_populatedplaces!$L:$L,[1]syr_populatedplaces!$AC:$AC)</f>
        <v>36.688110350000002</v>
      </c>
    </row>
    <row r="530" spans="2:17">
      <c r="B530" t="s">
        <v>809</v>
      </c>
      <c r="C530" t="s">
        <v>127</v>
      </c>
      <c r="D530" t="s">
        <v>27</v>
      </c>
      <c r="E530" t="s">
        <v>452</v>
      </c>
      <c r="F530" t="s">
        <v>812</v>
      </c>
      <c r="G530" t="s">
        <v>896</v>
      </c>
      <c r="H530" t="s">
        <v>840</v>
      </c>
      <c r="I530">
        <v>1</v>
      </c>
      <c r="J530" t="s">
        <v>108</v>
      </c>
      <c r="K530" t="s">
        <v>897</v>
      </c>
      <c r="L530" t="s">
        <v>576</v>
      </c>
      <c r="M530" t="s">
        <v>841</v>
      </c>
      <c r="N530" t="s">
        <v>108</v>
      </c>
      <c r="O530" t="str">
        <f>_xlfn.XLOOKUP(E530,[1]syr_populatedplaces!$L:$L,[1]syr_populatedplaces!$M:$M)</f>
        <v>C3943</v>
      </c>
      <c r="P530">
        <f>_xlfn.XLOOKUP(E530,[1]syr_populatedplaces!$L:$L,[1]syr_populatedplaces!$AD:$AD)</f>
        <v>36.074279789999999</v>
      </c>
      <c r="Q530">
        <f>_xlfn.XLOOKUP(E530,[1]syr_populatedplaces!$L:$L,[1]syr_populatedplaces!$AC:$AC)</f>
        <v>36.638916020000003</v>
      </c>
    </row>
    <row r="531" spans="2:17" ht="15">
      <c r="B531" t="s">
        <v>1582</v>
      </c>
      <c r="C531" t="s">
        <v>127</v>
      </c>
      <c r="E531" t="s">
        <v>671</v>
      </c>
      <c r="F531" t="s">
        <v>1583</v>
      </c>
      <c r="G531" t="s">
        <v>592</v>
      </c>
      <c r="H531" t="s">
        <v>1651</v>
      </c>
      <c r="J531" t="s">
        <v>99</v>
      </c>
      <c r="K531" t="s">
        <v>1652</v>
      </c>
      <c r="L531" t="s">
        <v>1653</v>
      </c>
      <c r="M531" t="s">
        <v>27</v>
      </c>
      <c r="N531" t="s">
        <v>108</v>
      </c>
      <c r="O531" t="e">
        <f>_xlfn.XLOOKUP(E531,[1]syr_populatedplaces!$L:$L,[1]syr_populatedplaces!$M:$M)</f>
        <v>#N/A</v>
      </c>
      <c r="P531" s="4" t="e">
        <f>_xlfn.XLOOKUP(الجدول1[[#This Row],[القرية– البلدة]],[1]syr_populatedplaces!$L:$L,[1]syr_populatedplaces!$AD:$AD)</f>
        <v>#N/A</v>
      </c>
      <c r="Q531" s="4" t="e">
        <f>_xlfn.XLOOKUP(الجدول1[[#This Row],[القرية– البلدة]],[1]syr_populatedplaces!$L:$L,[1]syr_populatedplaces!$AC:$AC)</f>
        <v>#N/A</v>
      </c>
    </row>
    <row r="532" spans="2:17">
      <c r="B532" t="s">
        <v>809</v>
      </c>
      <c r="C532" t="s">
        <v>127</v>
      </c>
      <c r="D532" t="s">
        <v>27</v>
      </c>
      <c r="E532" t="s">
        <v>898</v>
      </c>
      <c r="F532" t="s">
        <v>812</v>
      </c>
      <c r="G532" t="s">
        <v>896</v>
      </c>
      <c r="H532" t="s">
        <v>840</v>
      </c>
      <c r="I532">
        <v>1</v>
      </c>
      <c r="J532" t="s">
        <v>108</v>
      </c>
      <c r="K532" t="s">
        <v>897</v>
      </c>
      <c r="L532" t="s">
        <v>576</v>
      </c>
      <c r="M532" t="s">
        <v>841</v>
      </c>
      <c r="N532" t="s">
        <v>108</v>
      </c>
      <c r="O532" t="s">
        <v>899</v>
      </c>
      <c r="P532">
        <v>35.628295899999998</v>
      </c>
      <c r="Q532">
        <v>36.457519529999999</v>
      </c>
    </row>
    <row r="533" spans="2:17">
      <c r="B533" t="s">
        <v>809</v>
      </c>
      <c r="C533" t="s">
        <v>127</v>
      </c>
      <c r="D533" t="s">
        <v>27</v>
      </c>
      <c r="E533" t="s">
        <v>900</v>
      </c>
      <c r="F533" t="s">
        <v>812</v>
      </c>
      <c r="G533" t="s">
        <v>896</v>
      </c>
      <c r="H533" t="s">
        <v>840</v>
      </c>
      <c r="I533">
        <v>1</v>
      </c>
      <c r="J533" t="s">
        <v>108</v>
      </c>
      <c r="K533" t="s">
        <v>897</v>
      </c>
      <c r="L533" t="s">
        <v>576</v>
      </c>
      <c r="M533" t="s">
        <v>841</v>
      </c>
      <c r="N533" t="s">
        <v>108</v>
      </c>
      <c r="O533" t="s">
        <v>901</v>
      </c>
      <c r="P533">
        <v>35.806701660000002</v>
      </c>
      <c r="Q533">
        <v>36.496704100000002</v>
      </c>
    </row>
    <row r="534" spans="2:17">
      <c r="B534" t="s">
        <v>809</v>
      </c>
      <c r="C534" t="s">
        <v>127</v>
      </c>
      <c r="D534" t="s">
        <v>27</v>
      </c>
      <c r="E534" t="s">
        <v>127</v>
      </c>
      <c r="F534" t="s">
        <v>812</v>
      </c>
      <c r="G534" t="s">
        <v>896</v>
      </c>
      <c r="H534" t="s">
        <v>840</v>
      </c>
      <c r="I534">
        <v>1</v>
      </c>
      <c r="J534" t="s">
        <v>108</v>
      </c>
      <c r="K534" t="s">
        <v>897</v>
      </c>
      <c r="L534" t="s">
        <v>576</v>
      </c>
      <c r="M534" t="s">
        <v>841</v>
      </c>
      <c r="N534" t="s">
        <v>108</v>
      </c>
      <c r="O534" t="s">
        <v>137</v>
      </c>
      <c r="P534">
        <v>35.929077149999998</v>
      </c>
      <c r="Q534">
        <v>36.635314940000001</v>
      </c>
    </row>
    <row r="535" spans="2:17">
      <c r="B535" t="s">
        <v>809</v>
      </c>
      <c r="C535" t="s">
        <v>127</v>
      </c>
      <c r="D535" t="s">
        <v>27</v>
      </c>
      <c r="E535" t="s">
        <v>127</v>
      </c>
      <c r="F535" t="s">
        <v>812</v>
      </c>
      <c r="G535" t="s">
        <v>896</v>
      </c>
      <c r="H535" t="s">
        <v>840</v>
      </c>
      <c r="I535">
        <v>1</v>
      </c>
      <c r="J535" t="s">
        <v>108</v>
      </c>
      <c r="K535" t="s">
        <v>897</v>
      </c>
      <c r="L535" t="s">
        <v>576</v>
      </c>
      <c r="M535" t="s">
        <v>841</v>
      </c>
      <c r="N535" t="s">
        <v>108</v>
      </c>
      <c r="O535" t="s">
        <v>137</v>
      </c>
      <c r="P535">
        <v>35.929077149999998</v>
      </c>
      <c r="Q535">
        <v>36.635314940000001</v>
      </c>
    </row>
    <row r="536" spans="2:17">
      <c r="B536" t="s">
        <v>809</v>
      </c>
      <c r="C536" t="s">
        <v>127</v>
      </c>
      <c r="D536" t="s">
        <v>27</v>
      </c>
      <c r="E536" t="s">
        <v>158</v>
      </c>
      <c r="F536" t="s">
        <v>812</v>
      </c>
      <c r="G536" t="s">
        <v>896</v>
      </c>
      <c r="H536" t="s">
        <v>840</v>
      </c>
      <c r="I536">
        <v>1</v>
      </c>
      <c r="J536" t="s">
        <v>108</v>
      </c>
      <c r="K536" t="s">
        <v>897</v>
      </c>
      <c r="L536" t="s">
        <v>576</v>
      </c>
      <c r="M536" t="s">
        <v>841</v>
      </c>
      <c r="N536" t="s">
        <v>108</v>
      </c>
      <c r="O536" t="s">
        <v>159</v>
      </c>
      <c r="P536">
        <v>36.116516109999999</v>
      </c>
      <c r="Q536">
        <v>36.515502929999997</v>
      </c>
    </row>
    <row r="537" spans="2:17">
      <c r="B537" t="s">
        <v>809</v>
      </c>
      <c r="C537" t="s">
        <v>127</v>
      </c>
      <c r="D537" t="s">
        <v>27</v>
      </c>
      <c r="E537" t="s">
        <v>140</v>
      </c>
      <c r="F537" t="s">
        <v>812</v>
      </c>
      <c r="G537" t="s">
        <v>896</v>
      </c>
      <c r="H537" t="s">
        <v>840</v>
      </c>
      <c r="I537">
        <v>1</v>
      </c>
      <c r="J537" t="s">
        <v>108</v>
      </c>
      <c r="K537" t="s">
        <v>897</v>
      </c>
      <c r="L537" t="s">
        <v>576</v>
      </c>
      <c r="M537" t="s">
        <v>841</v>
      </c>
      <c r="N537" t="s">
        <v>108</v>
      </c>
      <c r="O537" t="s">
        <v>141</v>
      </c>
      <c r="P537">
        <v>36.309875490000003</v>
      </c>
      <c r="Q537">
        <v>36.689880369999997</v>
      </c>
    </row>
    <row r="538" spans="2:17" ht="15">
      <c r="B538" t="s">
        <v>1582</v>
      </c>
      <c r="C538" t="s">
        <v>127</v>
      </c>
      <c r="E538" t="s">
        <v>587</v>
      </c>
      <c r="F538" t="s">
        <v>1583</v>
      </c>
      <c r="G538" t="s">
        <v>1625</v>
      </c>
      <c r="H538" t="s">
        <v>1654</v>
      </c>
      <c r="J538" t="s">
        <v>108</v>
      </c>
      <c r="K538" t="s">
        <v>1655</v>
      </c>
      <c r="L538" t="s">
        <v>1656</v>
      </c>
      <c r="M538" t="s">
        <v>27</v>
      </c>
      <c r="N538" t="s">
        <v>108</v>
      </c>
      <c r="O538" t="e">
        <f>_xlfn.XLOOKUP(E538,[1]syr_populatedplaces!$L:$L,[1]syr_populatedplaces!$M:$M)</f>
        <v>#N/A</v>
      </c>
      <c r="P538" s="4" t="e">
        <f>_xlfn.XLOOKUP(الجدول1[[#This Row],[القرية– البلدة]],[1]syr_populatedplaces!$L:$L,[1]syr_populatedplaces!$AD:$AD)</f>
        <v>#N/A</v>
      </c>
      <c r="Q538" s="4" t="e">
        <f>_xlfn.XLOOKUP(الجدول1[[#This Row],[القرية– البلدة]],[1]syr_populatedplaces!$L:$L,[1]syr_populatedplaces!$AC:$AC)</f>
        <v>#N/A</v>
      </c>
    </row>
    <row r="539" spans="2:17" ht="15">
      <c r="B539" t="s">
        <v>1657</v>
      </c>
      <c r="C539" t="s">
        <v>127</v>
      </c>
      <c r="E539" t="s">
        <v>1660</v>
      </c>
      <c r="F539" t="s">
        <v>812</v>
      </c>
      <c r="G539" t="s">
        <v>1661</v>
      </c>
      <c r="H539" t="s">
        <v>1662</v>
      </c>
      <c r="J539" t="s">
        <v>108</v>
      </c>
      <c r="K539" t="s">
        <v>1663</v>
      </c>
      <c r="L539" t="s">
        <v>1664</v>
      </c>
      <c r="M539" t="s">
        <v>27</v>
      </c>
      <c r="N539" t="s">
        <v>108</v>
      </c>
      <c r="O539" t="e">
        <f>_xlfn.XLOOKUP(E539,[1]syr_populatedplaces!$L:$L,[1]syr_populatedplaces!$M:$M)</f>
        <v>#N/A</v>
      </c>
      <c r="P539" s="4" t="e">
        <f>_xlfn.XLOOKUP(الجدول1[[#This Row],[القرية– البلدة]],[1]syr_populatedplaces!$L:$L,[1]syr_populatedplaces!$AD:$AD)</f>
        <v>#N/A</v>
      </c>
      <c r="Q539" s="4" t="e">
        <f>_xlfn.XLOOKUP(الجدول1[[#This Row],[القرية– البلدة]],[1]syr_populatedplaces!$L:$L,[1]syr_populatedplaces!$AC:$AC)</f>
        <v>#N/A</v>
      </c>
    </row>
    <row r="540" spans="2:17">
      <c r="B540" t="s">
        <v>809</v>
      </c>
      <c r="C540" t="s">
        <v>127</v>
      </c>
      <c r="D540" t="s">
        <v>27</v>
      </c>
      <c r="E540" t="s">
        <v>906</v>
      </c>
      <c r="F540" t="s">
        <v>812</v>
      </c>
      <c r="G540" t="s">
        <v>903</v>
      </c>
      <c r="H540" t="s">
        <v>124</v>
      </c>
      <c r="I540">
        <v>1</v>
      </c>
      <c r="J540" t="s">
        <v>108</v>
      </c>
      <c r="K540" t="s">
        <v>904</v>
      </c>
      <c r="L540" t="s">
        <v>905</v>
      </c>
      <c r="M540" t="s">
        <v>27</v>
      </c>
      <c r="N540" t="s">
        <v>108</v>
      </c>
      <c r="O540" t="s">
        <v>907</v>
      </c>
      <c r="P540">
        <v>35.956726070000002</v>
      </c>
      <c r="Q540">
        <v>36.714294430000002</v>
      </c>
    </row>
    <row r="541" spans="2:17">
      <c r="B541" t="s">
        <v>1694</v>
      </c>
      <c r="C541" t="s">
        <v>127</v>
      </c>
      <c r="D541" t="s">
        <v>1710</v>
      </c>
      <c r="E541" t="s">
        <v>1808</v>
      </c>
      <c r="F541" t="s">
        <v>1075</v>
      </c>
      <c r="G541" t="s">
        <v>1245</v>
      </c>
      <c r="H541" t="s">
        <v>1712</v>
      </c>
      <c r="I541">
        <v>1</v>
      </c>
      <c r="J541" t="s">
        <v>108</v>
      </c>
      <c r="K541" t="s">
        <v>1713</v>
      </c>
      <c r="L541" t="s">
        <v>1714</v>
      </c>
      <c r="M541" t="s">
        <v>27</v>
      </c>
      <c r="N541" t="s">
        <v>108</v>
      </c>
      <c r="O541" t="str">
        <f>_xlfn.XLOOKUP(E541,[1]syr_populatedplaces!$L:$L,[1]syr_populatedplaces!$M:$M)</f>
        <v>C6627</v>
      </c>
      <c r="P541">
        <f>_xlfn.XLOOKUP(E541,[1]syr_populatedplaces!$L:$L,[1]syr_populatedplaces!$AD:$AD)</f>
        <v>35.793273929999998</v>
      </c>
      <c r="Q541">
        <f>_xlfn.XLOOKUP(E541,[1]syr_populatedplaces!$L:$L,[1]syr_populatedplaces!$AC:$AC)</f>
        <v>37.061889649999998</v>
      </c>
    </row>
    <row r="542" spans="2:17">
      <c r="B542" t="s">
        <v>809</v>
      </c>
      <c r="C542" t="s">
        <v>127</v>
      </c>
      <c r="D542" t="s">
        <v>27</v>
      </c>
      <c r="E542" t="s">
        <v>179</v>
      </c>
      <c r="F542" t="s">
        <v>812</v>
      </c>
      <c r="G542" t="s">
        <v>903</v>
      </c>
      <c r="H542" t="s">
        <v>124</v>
      </c>
      <c r="I542">
        <v>1</v>
      </c>
      <c r="J542" t="s">
        <v>108</v>
      </c>
      <c r="K542" t="s">
        <v>904</v>
      </c>
      <c r="L542" t="s">
        <v>905</v>
      </c>
      <c r="M542" t="s">
        <v>27</v>
      </c>
      <c r="N542" t="s">
        <v>108</v>
      </c>
      <c r="O542" t="s">
        <v>180</v>
      </c>
      <c r="P542">
        <v>35.46691895</v>
      </c>
      <c r="Q542">
        <v>36.49450684</v>
      </c>
    </row>
    <row r="543" spans="2:17">
      <c r="B543" t="s">
        <v>1694</v>
      </c>
      <c r="C543" t="s">
        <v>127</v>
      </c>
      <c r="D543" t="s">
        <v>1710</v>
      </c>
      <c r="E543" t="s">
        <v>1808</v>
      </c>
      <c r="F543" t="s">
        <v>1075</v>
      </c>
      <c r="G543" t="s">
        <v>1245</v>
      </c>
      <c r="H543" t="s">
        <v>1712</v>
      </c>
      <c r="I543">
        <v>1</v>
      </c>
      <c r="J543" t="s">
        <v>108</v>
      </c>
      <c r="K543" t="s">
        <v>1713</v>
      </c>
      <c r="L543" t="s">
        <v>1714</v>
      </c>
      <c r="M543" t="s">
        <v>27</v>
      </c>
      <c r="N543" t="s">
        <v>108</v>
      </c>
      <c r="O543" t="str">
        <f>_xlfn.XLOOKUP(E543,[1]syr_populatedplaces!$L:$L,[1]syr_populatedplaces!$M:$M)</f>
        <v>C6627</v>
      </c>
      <c r="P543">
        <f>_xlfn.XLOOKUP(E543,[1]syr_populatedplaces!$L:$L,[1]syr_populatedplaces!$AD:$AD)</f>
        <v>35.793273929999998</v>
      </c>
      <c r="Q543">
        <f>_xlfn.XLOOKUP(E543,[1]syr_populatedplaces!$L:$L,[1]syr_populatedplaces!$AC:$AC)</f>
        <v>37.061889649999998</v>
      </c>
    </row>
    <row r="544" spans="2:17">
      <c r="B544" t="s">
        <v>809</v>
      </c>
      <c r="C544" t="s">
        <v>127</v>
      </c>
      <c r="D544" t="s">
        <v>27</v>
      </c>
      <c r="E544" t="s">
        <v>127</v>
      </c>
      <c r="F544" t="s">
        <v>812</v>
      </c>
      <c r="G544" t="s">
        <v>903</v>
      </c>
      <c r="H544" t="s">
        <v>124</v>
      </c>
      <c r="I544">
        <v>1</v>
      </c>
      <c r="J544" t="s">
        <v>108</v>
      </c>
      <c r="K544" t="s">
        <v>904</v>
      </c>
      <c r="L544" t="s">
        <v>905</v>
      </c>
      <c r="M544" t="s">
        <v>27</v>
      </c>
      <c r="N544" t="s">
        <v>108</v>
      </c>
      <c r="O544" t="s">
        <v>137</v>
      </c>
      <c r="P544">
        <v>35.929077149999998</v>
      </c>
      <c r="Q544">
        <v>36.635314940000001</v>
      </c>
    </row>
    <row r="545" spans="2:17">
      <c r="B545" t="s">
        <v>809</v>
      </c>
      <c r="C545" t="s">
        <v>127</v>
      </c>
      <c r="D545" t="s">
        <v>27</v>
      </c>
      <c r="E545" t="s">
        <v>158</v>
      </c>
      <c r="F545" t="s">
        <v>812</v>
      </c>
      <c r="G545" t="s">
        <v>903</v>
      </c>
      <c r="H545" t="s">
        <v>124</v>
      </c>
      <c r="I545">
        <v>1</v>
      </c>
      <c r="J545" t="s">
        <v>108</v>
      </c>
      <c r="K545" t="s">
        <v>904</v>
      </c>
      <c r="L545" t="s">
        <v>905</v>
      </c>
      <c r="M545" t="s">
        <v>27</v>
      </c>
      <c r="N545" t="s">
        <v>108</v>
      </c>
      <c r="O545" t="s">
        <v>159</v>
      </c>
      <c r="P545">
        <v>36.116516109999999</v>
      </c>
      <c r="Q545">
        <v>36.515502929999997</v>
      </c>
    </row>
    <row r="546" spans="2:17">
      <c r="B546" t="s">
        <v>1694</v>
      </c>
      <c r="C546" t="s">
        <v>127</v>
      </c>
      <c r="D546" t="s">
        <v>1710</v>
      </c>
      <c r="E546" t="s">
        <v>1809</v>
      </c>
      <c r="F546" t="s">
        <v>1075</v>
      </c>
      <c r="G546" t="s">
        <v>1245</v>
      </c>
      <c r="H546" t="s">
        <v>1712</v>
      </c>
      <c r="I546">
        <v>1</v>
      </c>
      <c r="J546" t="s">
        <v>108</v>
      </c>
      <c r="K546" t="s">
        <v>1713</v>
      </c>
      <c r="L546" t="s">
        <v>1714</v>
      </c>
      <c r="M546" t="s">
        <v>27</v>
      </c>
      <c r="N546" t="s">
        <v>108</v>
      </c>
      <c r="O546" t="str">
        <f>_xlfn.XLOOKUP(E546,[1]syr_populatedplaces!$L:$L,[1]syr_populatedplaces!$M:$M)</f>
        <v>C4008</v>
      </c>
      <c r="P546">
        <f>_xlfn.XLOOKUP(E546,[1]syr_populatedplaces!$L:$L,[1]syr_populatedplaces!$AD:$AD)</f>
        <v>35.5546875</v>
      </c>
      <c r="Q546">
        <f>_xlfn.XLOOKUP(E546,[1]syr_populatedplaces!$L:$L,[1]syr_populatedplaces!$AC:$AC)</f>
        <v>37.184326169999999</v>
      </c>
    </row>
    <row r="547" spans="2:17">
      <c r="B547" t="s">
        <v>809</v>
      </c>
      <c r="C547" t="s">
        <v>127</v>
      </c>
      <c r="D547" t="s">
        <v>129</v>
      </c>
      <c r="E547" t="s">
        <v>129</v>
      </c>
      <c r="F547" t="s">
        <v>812</v>
      </c>
      <c r="G547" t="s">
        <v>908</v>
      </c>
      <c r="H547" t="s">
        <v>124</v>
      </c>
      <c r="I547">
        <v>1</v>
      </c>
      <c r="J547" t="s">
        <v>108</v>
      </c>
      <c r="K547" t="s">
        <v>909</v>
      </c>
      <c r="L547" t="s">
        <v>910</v>
      </c>
      <c r="M547" t="s">
        <v>27</v>
      </c>
      <c r="N547" t="s">
        <v>108</v>
      </c>
      <c r="O547" t="s">
        <v>133</v>
      </c>
      <c r="P547">
        <v>35.814270020000002</v>
      </c>
      <c r="Q547">
        <v>36.314880369999997</v>
      </c>
    </row>
    <row r="548" spans="2:17">
      <c r="B548" t="s">
        <v>809</v>
      </c>
      <c r="C548" t="s">
        <v>127</v>
      </c>
      <c r="D548" t="s">
        <v>425</v>
      </c>
      <c r="E548" t="s">
        <v>425</v>
      </c>
      <c r="F548" t="s">
        <v>812</v>
      </c>
      <c r="G548" t="s">
        <v>915</v>
      </c>
      <c r="H548" t="s">
        <v>916</v>
      </c>
      <c r="I548">
        <v>1</v>
      </c>
      <c r="J548" t="s">
        <v>108</v>
      </c>
      <c r="K548" t="s">
        <v>917</v>
      </c>
      <c r="L548" t="s">
        <v>918</v>
      </c>
      <c r="M548" t="s">
        <v>27</v>
      </c>
      <c r="N548" t="s">
        <v>108</v>
      </c>
      <c r="O548" t="str">
        <f>_xlfn.XLOOKUP(E548,[1]syr_populatedplaces!$L:$L,[1]syr_populatedplaces!$M:$M)</f>
        <v>C3965</v>
      </c>
      <c r="P548">
        <f>_xlfn.XLOOKUP(E548,[1]syr_populatedplaces!$L:$L,[1]syr_populatedplaces!$AD:$AD)</f>
        <v>35.699890140000001</v>
      </c>
      <c r="Q548">
        <f>_xlfn.XLOOKUP(E548,[1]syr_populatedplaces!$L:$L,[1]syr_populatedplaces!$AC:$AC)</f>
        <v>36.688110350000002</v>
      </c>
    </row>
    <row r="549" spans="2:17">
      <c r="B549" t="s">
        <v>928</v>
      </c>
      <c r="C549" t="s">
        <v>127</v>
      </c>
      <c r="D549" t="s">
        <v>929</v>
      </c>
      <c r="E549" t="s">
        <v>929</v>
      </c>
      <c r="F549" t="s">
        <v>930</v>
      </c>
      <c r="G549" t="s">
        <v>931</v>
      </c>
      <c r="H549" t="s">
        <v>932</v>
      </c>
      <c r="I549">
        <v>1</v>
      </c>
      <c r="J549" t="s">
        <v>845</v>
      </c>
      <c r="K549" t="s">
        <v>933</v>
      </c>
      <c r="L549" t="s">
        <v>934</v>
      </c>
      <c r="M549" t="s">
        <v>935</v>
      </c>
      <c r="N549" t="s">
        <v>387</v>
      </c>
      <c r="O549" t="s">
        <v>936</v>
      </c>
      <c r="P549">
        <v>36.38372803</v>
      </c>
      <c r="Q549">
        <v>38.862915039999997</v>
      </c>
    </row>
    <row r="550" spans="2:17">
      <c r="B550" t="s">
        <v>928</v>
      </c>
      <c r="C550" t="s">
        <v>127</v>
      </c>
      <c r="D550" t="s">
        <v>943</v>
      </c>
      <c r="E550" t="s">
        <v>943</v>
      </c>
      <c r="F550" t="s">
        <v>930</v>
      </c>
      <c r="G550" t="s">
        <v>944</v>
      </c>
      <c r="H550" t="s">
        <v>411</v>
      </c>
      <c r="I550">
        <v>1</v>
      </c>
      <c r="J550" t="s">
        <v>883</v>
      </c>
      <c r="K550" t="s">
        <v>945</v>
      </c>
      <c r="L550" t="s">
        <v>946</v>
      </c>
      <c r="M550" t="s">
        <v>947</v>
      </c>
      <c r="N550" t="s">
        <v>387</v>
      </c>
      <c r="O550" t="s">
        <v>948</v>
      </c>
      <c r="P550">
        <v>36.322509770000003</v>
      </c>
      <c r="Q550">
        <v>39.063476559999998</v>
      </c>
    </row>
    <row r="551" spans="2:17">
      <c r="B551" t="s">
        <v>928</v>
      </c>
      <c r="C551" t="s">
        <v>127</v>
      </c>
      <c r="D551" t="s">
        <v>183</v>
      </c>
      <c r="E551" t="s">
        <v>637</v>
      </c>
      <c r="F551" t="s">
        <v>930</v>
      </c>
      <c r="G551" t="s">
        <v>975</v>
      </c>
      <c r="H551" t="s">
        <v>976</v>
      </c>
      <c r="I551">
        <v>1</v>
      </c>
      <c r="J551" t="s">
        <v>99</v>
      </c>
      <c r="K551" t="s">
        <v>977</v>
      </c>
      <c r="L551" t="s">
        <v>978</v>
      </c>
      <c r="M551" t="s">
        <v>27</v>
      </c>
      <c r="N551" t="s">
        <v>99</v>
      </c>
      <c r="O551" t="s">
        <v>638</v>
      </c>
      <c r="P551">
        <v>35.662719729999999</v>
      </c>
      <c r="Q551">
        <v>35.890686039999999</v>
      </c>
    </row>
    <row r="552" spans="2:17">
      <c r="B552" t="s">
        <v>928</v>
      </c>
      <c r="C552" t="s">
        <v>127</v>
      </c>
      <c r="D552" t="s">
        <v>985</v>
      </c>
      <c r="E552" t="s">
        <v>150</v>
      </c>
      <c r="F552" t="s">
        <v>930</v>
      </c>
      <c r="G552" t="s">
        <v>987</v>
      </c>
      <c r="H552" t="s">
        <v>422</v>
      </c>
      <c r="I552">
        <v>1</v>
      </c>
      <c r="J552" t="s">
        <v>883</v>
      </c>
      <c r="K552" t="s">
        <v>988</v>
      </c>
      <c r="L552" t="s">
        <v>989</v>
      </c>
      <c r="M552" t="s">
        <v>990</v>
      </c>
      <c r="N552" t="s">
        <v>387</v>
      </c>
      <c r="O552" t="s">
        <v>151</v>
      </c>
      <c r="P552">
        <v>35.812072749999999</v>
      </c>
      <c r="Q552">
        <v>36.197326660000002</v>
      </c>
    </row>
    <row r="553" spans="2:17">
      <c r="B553" t="s">
        <v>928</v>
      </c>
      <c r="C553" t="s">
        <v>127</v>
      </c>
      <c r="D553" t="s">
        <v>985</v>
      </c>
      <c r="E553" t="s">
        <v>742</v>
      </c>
      <c r="F553" t="s">
        <v>930</v>
      </c>
      <c r="G553" t="s">
        <v>987</v>
      </c>
      <c r="H553" t="s">
        <v>422</v>
      </c>
      <c r="I553">
        <v>1</v>
      </c>
      <c r="J553" t="s">
        <v>883</v>
      </c>
      <c r="K553" t="s">
        <v>988</v>
      </c>
      <c r="L553" t="s">
        <v>989</v>
      </c>
      <c r="M553" t="s">
        <v>990</v>
      </c>
      <c r="N553" t="s">
        <v>387</v>
      </c>
      <c r="O553" t="s">
        <v>743</v>
      </c>
      <c r="P553">
        <v>35.688110350000002</v>
      </c>
      <c r="Q553">
        <v>36.13970947</v>
      </c>
    </row>
    <row r="554" spans="2:17">
      <c r="B554" t="s">
        <v>928</v>
      </c>
      <c r="C554" t="s">
        <v>127</v>
      </c>
      <c r="D554" t="s">
        <v>129</v>
      </c>
      <c r="E554" t="s">
        <v>465</v>
      </c>
      <c r="F554" t="s">
        <v>930</v>
      </c>
      <c r="G554" t="s">
        <v>1010</v>
      </c>
      <c r="H554" t="s">
        <v>124</v>
      </c>
      <c r="I554">
        <v>1</v>
      </c>
      <c r="J554" t="s">
        <v>108</v>
      </c>
      <c r="K554" t="s">
        <v>1011</v>
      </c>
      <c r="L554" t="s">
        <v>1012</v>
      </c>
      <c r="M554" t="s">
        <v>27</v>
      </c>
      <c r="N554" t="s">
        <v>108</v>
      </c>
      <c r="O554" t="s">
        <v>466</v>
      </c>
      <c r="P554">
        <v>35.784118650000003</v>
      </c>
      <c r="Q554">
        <v>36.468872070000003</v>
      </c>
    </row>
    <row r="555" spans="2:17">
      <c r="B555" t="s">
        <v>928</v>
      </c>
      <c r="C555" t="s">
        <v>127</v>
      </c>
      <c r="D555" t="s">
        <v>862</v>
      </c>
      <c r="E555" t="s">
        <v>862</v>
      </c>
      <c r="F555" t="s">
        <v>930</v>
      </c>
      <c r="G555" t="s">
        <v>1010</v>
      </c>
      <c r="H555" t="s">
        <v>1013</v>
      </c>
      <c r="I555">
        <v>1</v>
      </c>
      <c r="J555" t="s">
        <v>108</v>
      </c>
      <c r="K555" t="s">
        <v>1011</v>
      </c>
      <c r="L555" t="s">
        <v>1012</v>
      </c>
      <c r="M555" t="s">
        <v>27</v>
      </c>
      <c r="N555" t="s">
        <v>108</v>
      </c>
      <c r="O555" t="str">
        <f>_xlfn.XLOOKUP(E555,[1]syr_populatedplaces!$L:$L,[1]syr_populatedplaces!$M:$M)</f>
        <v>C4233</v>
      </c>
      <c r="P555">
        <f>_xlfn.XLOOKUP(E555,[1]syr_populatedplaces!$L:$L,[1]syr_populatedplaces!$AD:$AD)</f>
        <v>35.791503910000003</v>
      </c>
      <c r="Q555">
        <f>_xlfn.XLOOKUP(E555,[1]syr_populatedplaces!$L:$L,[1]syr_populatedplaces!$AC:$AC)</f>
        <v>36.214294430000002</v>
      </c>
    </row>
    <row r="556" spans="2:17">
      <c r="B556" t="s">
        <v>928</v>
      </c>
      <c r="C556" t="s">
        <v>127</v>
      </c>
      <c r="D556" t="s">
        <v>1014</v>
      </c>
      <c r="E556" t="s">
        <v>1014</v>
      </c>
      <c r="F556" t="s">
        <v>930</v>
      </c>
      <c r="G556" t="s">
        <v>1010</v>
      </c>
      <c r="H556" t="s">
        <v>1013</v>
      </c>
      <c r="I556">
        <v>1</v>
      </c>
      <c r="J556" t="s">
        <v>108</v>
      </c>
      <c r="K556" t="s">
        <v>1011</v>
      </c>
      <c r="L556" t="s">
        <v>1012</v>
      </c>
      <c r="M556" t="s">
        <v>27</v>
      </c>
      <c r="N556" t="s">
        <v>108</v>
      </c>
      <c r="O556" t="s">
        <v>1015</v>
      </c>
      <c r="P556">
        <v>35.931884770000003</v>
      </c>
      <c r="Q556">
        <v>36.879272460000003</v>
      </c>
    </row>
    <row r="557" spans="2:17">
      <c r="B557" t="s">
        <v>928</v>
      </c>
      <c r="C557" t="s">
        <v>127</v>
      </c>
      <c r="D557" t="s">
        <v>27</v>
      </c>
      <c r="E557" t="s">
        <v>709</v>
      </c>
      <c r="F557" t="s">
        <v>930</v>
      </c>
      <c r="G557" t="s">
        <v>1017</v>
      </c>
      <c r="H557" t="s">
        <v>422</v>
      </c>
      <c r="I557">
        <v>1</v>
      </c>
      <c r="J557" t="s">
        <v>108</v>
      </c>
      <c r="K557" t="s">
        <v>1018</v>
      </c>
      <c r="L557" t="s">
        <v>589</v>
      </c>
      <c r="M557" t="s">
        <v>27</v>
      </c>
      <c r="N557" t="s">
        <v>387</v>
      </c>
      <c r="O557" t="s">
        <v>710</v>
      </c>
      <c r="P557">
        <v>36.089904789999999</v>
      </c>
      <c r="Q557">
        <v>36.71368408</v>
      </c>
    </row>
    <row r="558" spans="2:17">
      <c r="B558" t="s">
        <v>928</v>
      </c>
      <c r="C558" t="s">
        <v>127</v>
      </c>
      <c r="D558" t="s">
        <v>27</v>
      </c>
      <c r="E558" t="s">
        <v>183</v>
      </c>
      <c r="F558" t="s">
        <v>930</v>
      </c>
      <c r="G558" t="s">
        <v>1017</v>
      </c>
      <c r="H558" t="s">
        <v>422</v>
      </c>
      <c r="I558">
        <v>1</v>
      </c>
      <c r="J558" t="s">
        <v>108</v>
      </c>
      <c r="K558" t="s">
        <v>1018</v>
      </c>
      <c r="L558" t="s">
        <v>589</v>
      </c>
      <c r="M558" t="s">
        <v>27</v>
      </c>
      <c r="N558" t="s">
        <v>387</v>
      </c>
      <c r="O558" t="s">
        <v>184</v>
      </c>
      <c r="P558">
        <v>35.903076169999999</v>
      </c>
      <c r="Q558">
        <v>36.191101070000002</v>
      </c>
    </row>
    <row r="559" spans="2:17">
      <c r="B559" t="s">
        <v>928</v>
      </c>
      <c r="C559" t="s">
        <v>127</v>
      </c>
      <c r="D559" t="s">
        <v>27</v>
      </c>
      <c r="E559" t="s">
        <v>183</v>
      </c>
      <c r="F559" t="s">
        <v>930</v>
      </c>
      <c r="G559" t="s">
        <v>1017</v>
      </c>
      <c r="H559" t="s">
        <v>422</v>
      </c>
      <c r="I559">
        <v>1</v>
      </c>
      <c r="J559" t="s">
        <v>108</v>
      </c>
      <c r="K559" t="s">
        <v>1018</v>
      </c>
      <c r="L559" t="s">
        <v>589</v>
      </c>
      <c r="M559" t="s">
        <v>27</v>
      </c>
      <c r="N559" t="s">
        <v>387</v>
      </c>
      <c r="O559" t="s">
        <v>184</v>
      </c>
      <c r="P559">
        <v>35.903076169999999</v>
      </c>
      <c r="Q559">
        <v>36.191101070000002</v>
      </c>
    </row>
    <row r="560" spans="2:17">
      <c r="B560" t="s">
        <v>928</v>
      </c>
      <c r="C560" t="s">
        <v>127</v>
      </c>
      <c r="D560" t="s">
        <v>27</v>
      </c>
      <c r="E560" t="s">
        <v>183</v>
      </c>
      <c r="F560" t="s">
        <v>930</v>
      </c>
      <c r="G560" t="s">
        <v>1017</v>
      </c>
      <c r="H560" t="s">
        <v>422</v>
      </c>
      <c r="I560">
        <v>1</v>
      </c>
      <c r="J560" t="s">
        <v>108</v>
      </c>
      <c r="K560" t="s">
        <v>1018</v>
      </c>
      <c r="L560" t="s">
        <v>589</v>
      </c>
      <c r="M560" t="s">
        <v>27</v>
      </c>
      <c r="N560" t="s">
        <v>387</v>
      </c>
      <c r="O560" t="s">
        <v>184</v>
      </c>
      <c r="P560">
        <v>35.903076169999999</v>
      </c>
      <c r="Q560">
        <v>36.191101070000002</v>
      </c>
    </row>
    <row r="561" spans="2:17">
      <c r="B561" t="s">
        <v>928</v>
      </c>
      <c r="C561" t="s">
        <v>127</v>
      </c>
      <c r="D561" t="s">
        <v>27</v>
      </c>
      <c r="E561" t="s">
        <v>183</v>
      </c>
      <c r="F561" t="s">
        <v>930</v>
      </c>
      <c r="G561" t="s">
        <v>1017</v>
      </c>
      <c r="H561" t="s">
        <v>422</v>
      </c>
      <c r="I561">
        <v>1</v>
      </c>
      <c r="J561" t="s">
        <v>108</v>
      </c>
      <c r="K561" t="s">
        <v>1018</v>
      </c>
      <c r="L561" t="s">
        <v>589</v>
      </c>
      <c r="M561" t="s">
        <v>27</v>
      </c>
      <c r="N561" t="s">
        <v>387</v>
      </c>
      <c r="O561" t="s">
        <v>184</v>
      </c>
      <c r="P561">
        <v>35.903076169999999</v>
      </c>
      <c r="Q561">
        <v>36.191101070000002</v>
      </c>
    </row>
    <row r="562" spans="2:17">
      <c r="B562" t="s">
        <v>928</v>
      </c>
      <c r="C562" t="s">
        <v>127</v>
      </c>
      <c r="D562" t="s">
        <v>27</v>
      </c>
      <c r="E562" t="s">
        <v>183</v>
      </c>
      <c r="F562" t="s">
        <v>930</v>
      </c>
      <c r="G562" t="s">
        <v>1017</v>
      </c>
      <c r="H562" t="s">
        <v>422</v>
      </c>
      <c r="I562">
        <v>1</v>
      </c>
      <c r="J562" t="s">
        <v>108</v>
      </c>
      <c r="K562" t="s">
        <v>1018</v>
      </c>
      <c r="L562" t="s">
        <v>589</v>
      </c>
      <c r="M562" t="s">
        <v>27</v>
      </c>
      <c r="N562" t="s">
        <v>387</v>
      </c>
      <c r="O562" t="s">
        <v>184</v>
      </c>
      <c r="P562">
        <v>35.903076169999999</v>
      </c>
      <c r="Q562">
        <v>36.191101070000002</v>
      </c>
    </row>
    <row r="563" spans="2:17">
      <c r="B563" t="s">
        <v>928</v>
      </c>
      <c r="C563" t="s">
        <v>127</v>
      </c>
      <c r="D563" t="s">
        <v>27</v>
      </c>
      <c r="E563" t="s">
        <v>183</v>
      </c>
      <c r="F563" t="s">
        <v>930</v>
      </c>
      <c r="G563" t="s">
        <v>1017</v>
      </c>
      <c r="H563" t="s">
        <v>422</v>
      </c>
      <c r="I563">
        <v>1</v>
      </c>
      <c r="J563" t="s">
        <v>108</v>
      </c>
      <c r="K563" t="s">
        <v>1018</v>
      </c>
      <c r="L563" t="s">
        <v>589</v>
      </c>
      <c r="M563" t="s">
        <v>27</v>
      </c>
      <c r="N563" t="s">
        <v>387</v>
      </c>
      <c r="O563" t="s">
        <v>184</v>
      </c>
      <c r="P563">
        <v>35.903076169999999</v>
      </c>
      <c r="Q563">
        <v>36.191101070000002</v>
      </c>
    </row>
    <row r="564" spans="2:17">
      <c r="B564" t="s">
        <v>928</v>
      </c>
      <c r="C564" t="s">
        <v>127</v>
      </c>
      <c r="D564" t="s">
        <v>27</v>
      </c>
      <c r="E564" t="s">
        <v>183</v>
      </c>
      <c r="F564" t="s">
        <v>930</v>
      </c>
      <c r="G564" t="s">
        <v>1017</v>
      </c>
      <c r="H564" t="s">
        <v>422</v>
      </c>
      <c r="I564">
        <v>1</v>
      </c>
      <c r="J564" t="s">
        <v>108</v>
      </c>
      <c r="K564" t="s">
        <v>1018</v>
      </c>
      <c r="L564" t="s">
        <v>589</v>
      </c>
      <c r="M564" t="s">
        <v>27</v>
      </c>
      <c r="N564" t="s">
        <v>387</v>
      </c>
      <c r="O564" t="s">
        <v>184</v>
      </c>
      <c r="P564">
        <v>35.903076169999999</v>
      </c>
      <c r="Q564">
        <v>36.191101070000002</v>
      </c>
    </row>
    <row r="565" spans="2:17">
      <c r="B565" t="s">
        <v>928</v>
      </c>
      <c r="C565" t="s">
        <v>127</v>
      </c>
      <c r="D565" t="s">
        <v>27</v>
      </c>
      <c r="E565" t="s">
        <v>150</v>
      </c>
      <c r="F565" t="s">
        <v>930</v>
      </c>
      <c r="G565" t="s">
        <v>1017</v>
      </c>
      <c r="H565" t="s">
        <v>422</v>
      </c>
      <c r="I565">
        <v>1</v>
      </c>
      <c r="J565" t="s">
        <v>108</v>
      </c>
      <c r="K565" t="s">
        <v>1018</v>
      </c>
      <c r="L565" t="s">
        <v>589</v>
      </c>
      <c r="M565" t="s">
        <v>27</v>
      </c>
      <c r="N565" t="s">
        <v>387</v>
      </c>
      <c r="O565" t="s">
        <v>151</v>
      </c>
      <c r="P565">
        <v>35.812072749999999</v>
      </c>
      <c r="Q565">
        <v>36.197326660000002</v>
      </c>
    </row>
    <row r="566" spans="2:17">
      <c r="B566" t="s">
        <v>928</v>
      </c>
      <c r="C566" t="s">
        <v>127</v>
      </c>
      <c r="D566" t="s">
        <v>27</v>
      </c>
      <c r="E566" t="s">
        <v>183</v>
      </c>
      <c r="F566" t="s">
        <v>930</v>
      </c>
      <c r="G566" t="s">
        <v>1017</v>
      </c>
      <c r="H566" t="s">
        <v>422</v>
      </c>
      <c r="I566">
        <v>1</v>
      </c>
      <c r="J566" t="s">
        <v>108</v>
      </c>
      <c r="K566" t="s">
        <v>1018</v>
      </c>
      <c r="L566" t="s">
        <v>589</v>
      </c>
      <c r="M566" t="s">
        <v>27</v>
      </c>
      <c r="N566" t="s">
        <v>387</v>
      </c>
      <c r="O566" t="s">
        <v>184</v>
      </c>
      <c r="P566">
        <v>35.903076169999999</v>
      </c>
      <c r="Q566">
        <v>36.191101070000002</v>
      </c>
    </row>
    <row r="567" spans="2:17">
      <c r="B567" t="s">
        <v>928</v>
      </c>
      <c r="C567" t="s">
        <v>127</v>
      </c>
      <c r="D567" t="s">
        <v>27</v>
      </c>
      <c r="E567" t="s">
        <v>183</v>
      </c>
      <c r="F567" t="s">
        <v>930</v>
      </c>
      <c r="G567" t="s">
        <v>1017</v>
      </c>
      <c r="H567" t="s">
        <v>422</v>
      </c>
      <c r="I567">
        <v>1</v>
      </c>
      <c r="J567" t="s">
        <v>108</v>
      </c>
      <c r="K567" t="s">
        <v>1018</v>
      </c>
      <c r="L567" t="s">
        <v>589</v>
      </c>
      <c r="M567" t="s">
        <v>27</v>
      </c>
      <c r="N567" t="s">
        <v>387</v>
      </c>
      <c r="O567" t="s">
        <v>184</v>
      </c>
      <c r="P567">
        <v>35.903076169999999</v>
      </c>
      <c r="Q567">
        <v>36.191101070000002</v>
      </c>
    </row>
    <row r="568" spans="2:17">
      <c r="B568" t="s">
        <v>928</v>
      </c>
      <c r="C568" t="s">
        <v>127</v>
      </c>
      <c r="D568" t="s">
        <v>27</v>
      </c>
      <c r="E568" t="s">
        <v>183</v>
      </c>
      <c r="F568" t="s">
        <v>930</v>
      </c>
      <c r="G568" t="s">
        <v>1017</v>
      </c>
      <c r="H568" t="s">
        <v>422</v>
      </c>
      <c r="I568">
        <v>1</v>
      </c>
      <c r="J568" t="s">
        <v>108</v>
      </c>
      <c r="K568" t="s">
        <v>1018</v>
      </c>
      <c r="L568" t="s">
        <v>589</v>
      </c>
      <c r="M568" t="s">
        <v>27</v>
      </c>
      <c r="N568" t="s">
        <v>387</v>
      </c>
      <c r="O568" t="s">
        <v>184</v>
      </c>
      <c r="P568">
        <v>35.903076169999999</v>
      </c>
      <c r="Q568">
        <v>36.191101070000002</v>
      </c>
    </row>
    <row r="569" spans="2:17">
      <c r="B569" t="s">
        <v>928</v>
      </c>
      <c r="C569" t="s">
        <v>127</v>
      </c>
      <c r="D569" t="s">
        <v>27</v>
      </c>
      <c r="E569" t="s">
        <v>183</v>
      </c>
      <c r="F569" t="s">
        <v>930</v>
      </c>
      <c r="G569" t="s">
        <v>1017</v>
      </c>
      <c r="H569" t="s">
        <v>422</v>
      </c>
      <c r="I569">
        <v>1</v>
      </c>
      <c r="J569" t="s">
        <v>108</v>
      </c>
      <c r="K569" t="s">
        <v>1018</v>
      </c>
      <c r="L569" t="s">
        <v>589</v>
      </c>
      <c r="M569" t="s">
        <v>27</v>
      </c>
      <c r="N569" t="s">
        <v>387</v>
      </c>
      <c r="O569" t="s">
        <v>184</v>
      </c>
      <c r="P569">
        <v>35.903076169999999</v>
      </c>
      <c r="Q569">
        <v>36.191101070000002</v>
      </c>
    </row>
    <row r="570" spans="2:17">
      <c r="B570" t="s">
        <v>928</v>
      </c>
      <c r="C570" t="s">
        <v>127</v>
      </c>
      <c r="D570" t="s">
        <v>27</v>
      </c>
      <c r="E570" t="s">
        <v>183</v>
      </c>
      <c r="F570" t="s">
        <v>930</v>
      </c>
      <c r="G570" t="s">
        <v>1017</v>
      </c>
      <c r="H570" t="s">
        <v>422</v>
      </c>
      <c r="I570">
        <v>1</v>
      </c>
      <c r="J570" t="s">
        <v>108</v>
      </c>
      <c r="K570" t="s">
        <v>1018</v>
      </c>
      <c r="L570" t="s">
        <v>589</v>
      </c>
      <c r="M570" t="s">
        <v>27</v>
      </c>
      <c r="N570" t="s">
        <v>387</v>
      </c>
      <c r="O570" t="s">
        <v>184</v>
      </c>
      <c r="P570">
        <v>35.903076169999999</v>
      </c>
      <c r="Q570">
        <v>36.191101070000002</v>
      </c>
    </row>
    <row r="571" spans="2:17">
      <c r="B571" t="s">
        <v>928</v>
      </c>
      <c r="C571" t="s">
        <v>127</v>
      </c>
      <c r="D571" t="s">
        <v>27</v>
      </c>
      <c r="E571" t="s">
        <v>183</v>
      </c>
      <c r="F571" t="s">
        <v>930</v>
      </c>
      <c r="G571" t="s">
        <v>1017</v>
      </c>
      <c r="H571" t="s">
        <v>422</v>
      </c>
      <c r="I571">
        <v>1</v>
      </c>
      <c r="J571" t="s">
        <v>108</v>
      </c>
      <c r="K571" t="s">
        <v>1018</v>
      </c>
      <c r="L571" t="s">
        <v>589</v>
      </c>
      <c r="M571" t="s">
        <v>27</v>
      </c>
      <c r="N571" t="s">
        <v>387</v>
      </c>
      <c r="O571" t="s">
        <v>184</v>
      </c>
      <c r="P571">
        <v>35.903076169999999</v>
      </c>
      <c r="Q571">
        <v>36.191101070000002</v>
      </c>
    </row>
    <row r="572" spans="2:17">
      <c r="B572" t="s">
        <v>928</v>
      </c>
      <c r="C572" t="s">
        <v>127</v>
      </c>
      <c r="D572" t="s">
        <v>27</v>
      </c>
      <c r="E572" t="s">
        <v>183</v>
      </c>
      <c r="F572" t="s">
        <v>930</v>
      </c>
      <c r="G572" t="s">
        <v>1017</v>
      </c>
      <c r="H572" t="s">
        <v>422</v>
      </c>
      <c r="I572">
        <v>1</v>
      </c>
      <c r="J572" t="s">
        <v>108</v>
      </c>
      <c r="K572" t="s">
        <v>1018</v>
      </c>
      <c r="L572" t="s">
        <v>589</v>
      </c>
      <c r="M572" t="s">
        <v>27</v>
      </c>
      <c r="N572" t="s">
        <v>387</v>
      </c>
      <c r="O572" t="s">
        <v>184</v>
      </c>
      <c r="P572">
        <v>35.903076169999999</v>
      </c>
      <c r="Q572">
        <v>36.191101070000002</v>
      </c>
    </row>
    <row r="573" spans="2:17">
      <c r="B573" t="s">
        <v>1074</v>
      </c>
      <c r="C573" t="s">
        <v>127</v>
      </c>
      <c r="D573" t="s">
        <v>150</v>
      </c>
      <c r="E573" t="s">
        <v>150</v>
      </c>
      <c r="F573" t="s">
        <v>1075</v>
      </c>
      <c r="G573" t="s">
        <v>1079</v>
      </c>
      <c r="H573" t="s">
        <v>1080</v>
      </c>
      <c r="I573">
        <v>2</v>
      </c>
      <c r="J573" t="s">
        <v>883</v>
      </c>
      <c r="K573" t="s">
        <v>1081</v>
      </c>
      <c r="L573" t="s">
        <v>1082</v>
      </c>
      <c r="M573" t="s">
        <v>27</v>
      </c>
      <c r="N573" t="s">
        <v>387</v>
      </c>
      <c r="O573" t="s">
        <v>151</v>
      </c>
      <c r="P573">
        <v>35.812072749999999</v>
      </c>
      <c r="Q573">
        <v>36.197326660000002</v>
      </c>
    </row>
    <row r="574" spans="2:17">
      <c r="B574" t="s">
        <v>1074</v>
      </c>
      <c r="C574" t="s">
        <v>127</v>
      </c>
      <c r="D574" t="s">
        <v>709</v>
      </c>
      <c r="E574" t="s">
        <v>709</v>
      </c>
      <c r="F574" t="s">
        <v>1075</v>
      </c>
      <c r="G574" t="s">
        <v>1087</v>
      </c>
      <c r="H574" t="s">
        <v>1085</v>
      </c>
      <c r="I574">
        <v>1</v>
      </c>
      <c r="J574" t="s">
        <v>108</v>
      </c>
      <c r="K574" t="s">
        <v>496</v>
      </c>
      <c r="L574" t="s">
        <v>1088</v>
      </c>
      <c r="M574" t="s">
        <v>27</v>
      </c>
      <c r="N574" t="s">
        <v>108</v>
      </c>
      <c r="O574" t="s">
        <v>710</v>
      </c>
      <c r="P574">
        <v>36.089904789999999</v>
      </c>
      <c r="Q574">
        <v>36.71368408</v>
      </c>
    </row>
    <row r="575" spans="2:17">
      <c r="B575" t="s">
        <v>1074</v>
      </c>
      <c r="C575" t="s">
        <v>127</v>
      </c>
      <c r="D575" t="s">
        <v>165</v>
      </c>
      <c r="E575" t="s">
        <v>165</v>
      </c>
      <c r="F575" t="s">
        <v>1075</v>
      </c>
      <c r="G575" t="s">
        <v>1087</v>
      </c>
      <c r="H575" t="s">
        <v>1085</v>
      </c>
      <c r="I575">
        <v>2</v>
      </c>
      <c r="J575" t="s">
        <v>108</v>
      </c>
      <c r="K575" t="s">
        <v>1011</v>
      </c>
      <c r="L575" t="s">
        <v>1088</v>
      </c>
      <c r="M575" t="s">
        <v>27</v>
      </c>
      <c r="N575" t="s">
        <v>387</v>
      </c>
      <c r="O575" t="s">
        <v>166</v>
      </c>
      <c r="P575">
        <v>36.186706540000003</v>
      </c>
      <c r="Q575">
        <v>36.723876949999998</v>
      </c>
    </row>
    <row r="576" spans="2:17">
      <c r="B576" t="s">
        <v>1074</v>
      </c>
      <c r="C576" t="s">
        <v>127</v>
      </c>
      <c r="D576" t="s">
        <v>27</v>
      </c>
      <c r="E576" t="s">
        <v>1114</v>
      </c>
      <c r="F576" t="s">
        <v>1075</v>
      </c>
      <c r="G576" t="s">
        <v>1110</v>
      </c>
      <c r="H576" t="s">
        <v>422</v>
      </c>
      <c r="I576">
        <v>1</v>
      </c>
      <c r="J576" t="s">
        <v>108</v>
      </c>
      <c r="K576" t="s">
        <v>1111</v>
      </c>
      <c r="L576" t="s">
        <v>1112</v>
      </c>
      <c r="M576" t="s">
        <v>27</v>
      </c>
      <c r="N576" t="s">
        <v>387</v>
      </c>
      <c r="O576" t="s">
        <v>1115</v>
      </c>
      <c r="P576">
        <v>36.026672359999999</v>
      </c>
      <c r="Q576">
        <v>36.713500979999999</v>
      </c>
    </row>
    <row r="577" spans="2:17">
      <c r="B577" t="s">
        <v>1694</v>
      </c>
      <c r="C577" t="s">
        <v>127</v>
      </c>
      <c r="D577" t="s">
        <v>1710</v>
      </c>
      <c r="E577" t="s">
        <v>1711</v>
      </c>
      <c r="F577" t="s">
        <v>1075</v>
      </c>
      <c r="G577" t="s">
        <v>1245</v>
      </c>
      <c r="H577" t="s">
        <v>1712</v>
      </c>
      <c r="I577">
        <v>1</v>
      </c>
      <c r="J577" t="s">
        <v>108</v>
      </c>
      <c r="K577" t="s">
        <v>1713</v>
      </c>
      <c r="L577" t="s">
        <v>1714</v>
      </c>
      <c r="M577" t="s">
        <v>27</v>
      </c>
      <c r="N577" t="s">
        <v>108</v>
      </c>
      <c r="O577" t="s">
        <v>1715</v>
      </c>
      <c r="P577">
        <v>35.791076660000002</v>
      </c>
      <c r="Q577">
        <v>37.100524900000003</v>
      </c>
    </row>
    <row r="578" spans="2:17">
      <c r="B578" t="s">
        <v>1694</v>
      </c>
      <c r="C578" t="s">
        <v>127</v>
      </c>
      <c r="D578" t="s">
        <v>1710</v>
      </c>
      <c r="E578" t="s">
        <v>1716</v>
      </c>
      <c r="F578" t="s">
        <v>1075</v>
      </c>
      <c r="G578" t="s">
        <v>1245</v>
      </c>
      <c r="H578" t="s">
        <v>1712</v>
      </c>
      <c r="I578">
        <v>1</v>
      </c>
      <c r="J578" t="s">
        <v>108</v>
      </c>
      <c r="K578" t="s">
        <v>1713</v>
      </c>
      <c r="L578" t="s">
        <v>1714</v>
      </c>
      <c r="M578" t="s">
        <v>27</v>
      </c>
      <c r="N578" t="s">
        <v>108</v>
      </c>
      <c r="O578" t="str">
        <f>_xlfn.XLOOKUP(E578,[1]syr_populatedplaces!$L:$L,[1]syr_populatedplaces!$M:$M)</f>
        <v>C3885</v>
      </c>
      <c r="P578">
        <f>_xlfn.XLOOKUP(E578,[1]syr_populatedplaces!$L:$L,[1]syr_populatedplaces!$AD:$AD)</f>
        <v>35.805114750000001</v>
      </c>
      <c r="Q578">
        <f>_xlfn.XLOOKUP(E578,[1]syr_populatedplaces!$L:$L,[1]syr_populatedplaces!$AC:$AC)</f>
        <v>37.040710449999999</v>
      </c>
    </row>
    <row r="579" spans="2:17">
      <c r="B579" t="s">
        <v>1694</v>
      </c>
      <c r="C579" t="s">
        <v>127</v>
      </c>
      <c r="D579" t="s">
        <v>1717</v>
      </c>
      <c r="E579" t="s">
        <v>1718</v>
      </c>
      <c r="F579" t="s">
        <v>1075</v>
      </c>
      <c r="G579" t="s">
        <v>1719</v>
      </c>
      <c r="H579" t="s">
        <v>1720</v>
      </c>
      <c r="I579">
        <v>1</v>
      </c>
      <c r="J579" t="s">
        <v>108</v>
      </c>
      <c r="K579" t="s">
        <v>1721</v>
      </c>
      <c r="L579" t="s">
        <v>1722</v>
      </c>
      <c r="M579" t="s">
        <v>27</v>
      </c>
      <c r="N579" t="s">
        <v>108</v>
      </c>
      <c r="O579" t="s">
        <v>1723</v>
      </c>
      <c r="P579" s="3">
        <v>34.895000000000003</v>
      </c>
      <c r="Q579" s="3">
        <v>35.884999999999998</v>
      </c>
    </row>
    <row r="580" spans="2:17">
      <c r="B580" t="s">
        <v>1694</v>
      </c>
      <c r="C580" t="s">
        <v>127</v>
      </c>
      <c r="D580" t="s">
        <v>1710</v>
      </c>
      <c r="E580" t="s">
        <v>1724</v>
      </c>
      <c r="F580" t="s">
        <v>1075</v>
      </c>
      <c r="G580" t="s">
        <v>1725</v>
      </c>
      <c r="H580" t="s">
        <v>411</v>
      </c>
      <c r="I580">
        <v>1</v>
      </c>
      <c r="J580" t="s">
        <v>108</v>
      </c>
      <c r="K580" t="s">
        <v>1726</v>
      </c>
      <c r="L580" t="s">
        <v>1727</v>
      </c>
      <c r="M580" t="s">
        <v>27</v>
      </c>
      <c r="N580" t="s">
        <v>108</v>
      </c>
      <c r="O580" t="s">
        <v>1728</v>
      </c>
      <c r="P580">
        <v>34.989074709999997</v>
      </c>
      <c r="Q580">
        <v>37.017883300000001</v>
      </c>
    </row>
    <row r="581" spans="2:17">
      <c r="B581" t="s">
        <v>1694</v>
      </c>
      <c r="C581" t="s">
        <v>127</v>
      </c>
      <c r="D581" t="s">
        <v>1014</v>
      </c>
      <c r="E581" t="s">
        <v>1710</v>
      </c>
      <c r="F581" t="s">
        <v>1075</v>
      </c>
      <c r="G581" t="s">
        <v>1729</v>
      </c>
      <c r="H581" t="s">
        <v>1730</v>
      </c>
      <c r="I581">
        <v>1</v>
      </c>
      <c r="J581" t="s">
        <v>883</v>
      </c>
      <c r="K581" t="s">
        <v>1731</v>
      </c>
      <c r="L581" t="s">
        <v>1732</v>
      </c>
      <c r="M581" t="s">
        <v>1733</v>
      </c>
      <c r="N581" t="s">
        <v>108</v>
      </c>
      <c r="O581" t="s">
        <v>1734</v>
      </c>
      <c r="P581">
        <v>35.73712158</v>
      </c>
      <c r="Q581">
        <v>37.047302250000001</v>
      </c>
    </row>
    <row r="582" spans="2:17">
      <c r="B582" t="s">
        <v>17</v>
      </c>
      <c r="C582" t="s">
        <v>18</v>
      </c>
      <c r="D582" t="s">
        <v>19</v>
      </c>
      <c r="E582" t="s">
        <v>20</v>
      </c>
      <c r="F582" t="s">
        <v>21</v>
      </c>
      <c r="G582" t="s">
        <v>22</v>
      </c>
      <c r="H582" t="s">
        <v>23</v>
      </c>
      <c r="J582" t="s">
        <v>24</v>
      </c>
      <c r="K582" t="s">
        <v>25</v>
      </c>
      <c r="L582" t="s">
        <v>26</v>
      </c>
      <c r="M582" t="s">
        <v>27</v>
      </c>
      <c r="N582" t="s">
        <v>28</v>
      </c>
      <c r="O582" t="s">
        <v>29</v>
      </c>
      <c r="P582">
        <v>36.584899900000003</v>
      </c>
      <c r="Q582">
        <v>37.043273929999998</v>
      </c>
    </row>
    <row r="583" spans="2:17">
      <c r="B583" t="s">
        <v>17</v>
      </c>
      <c r="C583" t="s">
        <v>18</v>
      </c>
      <c r="D583" t="s">
        <v>19</v>
      </c>
      <c r="E583" t="s">
        <v>30</v>
      </c>
      <c r="F583" t="s">
        <v>21</v>
      </c>
      <c r="G583" t="s">
        <v>22</v>
      </c>
      <c r="H583" t="s">
        <v>23</v>
      </c>
      <c r="J583" t="s">
        <v>24</v>
      </c>
      <c r="K583" t="s">
        <v>25</v>
      </c>
      <c r="L583" t="s">
        <v>26</v>
      </c>
      <c r="M583" t="s">
        <v>27</v>
      </c>
      <c r="N583" t="s">
        <v>28</v>
      </c>
      <c r="O583" t="str">
        <f>_xlfn.XLOOKUP(E583,[1]syr_populatedplaces!$L:$L,[1]syr_populatedplaces!$M:$M)</f>
        <v>C1131</v>
      </c>
      <c r="P583">
        <f>_xlfn.XLOOKUP(E583,[1]syr_populatedplaces!$L:$L,[1]syr_populatedplaces!$AD:$AD)</f>
        <v>36.226074220000001</v>
      </c>
      <c r="Q583">
        <f>_xlfn.XLOOKUP(E583,[1]syr_populatedplaces!$L:$L,[1]syr_populatedplaces!$AC:$AC)</f>
        <v>37.326110839999998</v>
      </c>
    </row>
    <row r="584" spans="2:17">
      <c r="B584" t="s">
        <v>17</v>
      </c>
      <c r="C584" t="s">
        <v>18</v>
      </c>
      <c r="D584" t="s">
        <v>19</v>
      </c>
      <c r="E584" t="s">
        <v>31</v>
      </c>
      <c r="F584" t="s">
        <v>21</v>
      </c>
      <c r="G584" t="s">
        <v>22</v>
      </c>
      <c r="H584" t="s">
        <v>23</v>
      </c>
      <c r="I584">
        <v>1</v>
      </c>
      <c r="J584" t="s">
        <v>24</v>
      </c>
      <c r="K584" t="s">
        <v>25</v>
      </c>
      <c r="L584" t="s">
        <v>26</v>
      </c>
      <c r="M584" t="s">
        <v>27</v>
      </c>
      <c r="N584" t="s">
        <v>28</v>
      </c>
      <c r="O584" t="s">
        <v>32</v>
      </c>
      <c r="P584">
        <v>36.814514160000002</v>
      </c>
      <c r="Q584">
        <v>38.0098877</v>
      </c>
    </row>
    <row r="585" spans="2:17">
      <c r="B585" t="s">
        <v>17</v>
      </c>
      <c r="C585" t="s">
        <v>18</v>
      </c>
      <c r="D585" t="s">
        <v>19</v>
      </c>
      <c r="E585" t="s">
        <v>33</v>
      </c>
      <c r="F585" t="s">
        <v>21</v>
      </c>
      <c r="G585" t="s">
        <v>22</v>
      </c>
      <c r="H585" t="s">
        <v>23</v>
      </c>
      <c r="I585">
        <v>1</v>
      </c>
      <c r="J585" t="s">
        <v>24</v>
      </c>
      <c r="K585" t="s">
        <v>25</v>
      </c>
      <c r="L585" t="s">
        <v>26</v>
      </c>
      <c r="M585" t="s">
        <v>27</v>
      </c>
      <c r="N585" t="s">
        <v>28</v>
      </c>
      <c r="O585" t="s">
        <v>34</v>
      </c>
      <c r="P585">
        <v>36.525878910000003</v>
      </c>
      <c r="Q585">
        <v>37.951110839999998</v>
      </c>
    </row>
    <row r="586" spans="2:17">
      <c r="B586" t="s">
        <v>17</v>
      </c>
      <c r="C586" t="s">
        <v>18</v>
      </c>
      <c r="D586" t="s">
        <v>19</v>
      </c>
      <c r="E586" t="s">
        <v>31</v>
      </c>
      <c r="F586" t="s">
        <v>21</v>
      </c>
      <c r="G586" t="s">
        <v>22</v>
      </c>
      <c r="H586" t="s">
        <v>23</v>
      </c>
      <c r="I586">
        <v>1</v>
      </c>
      <c r="J586" t="s">
        <v>24</v>
      </c>
      <c r="K586" t="s">
        <v>25</v>
      </c>
      <c r="L586" t="s">
        <v>26</v>
      </c>
      <c r="M586" t="s">
        <v>27</v>
      </c>
      <c r="N586" t="s">
        <v>28</v>
      </c>
      <c r="O586" t="s">
        <v>32</v>
      </c>
      <c r="P586">
        <v>36.814514160000002</v>
      </c>
      <c r="Q586">
        <v>38.0098877</v>
      </c>
    </row>
    <row r="587" spans="2:17">
      <c r="B587" t="s">
        <v>17</v>
      </c>
      <c r="C587" t="s">
        <v>18</v>
      </c>
      <c r="D587" t="s">
        <v>19</v>
      </c>
      <c r="E587" t="s">
        <v>35</v>
      </c>
      <c r="F587" t="s">
        <v>21</v>
      </c>
      <c r="G587" t="s">
        <v>22</v>
      </c>
      <c r="H587" t="s">
        <v>23</v>
      </c>
      <c r="I587">
        <v>1</v>
      </c>
      <c r="J587" t="s">
        <v>24</v>
      </c>
      <c r="K587" t="s">
        <v>25</v>
      </c>
      <c r="L587" t="s">
        <v>26</v>
      </c>
      <c r="M587" t="s">
        <v>27</v>
      </c>
      <c r="N587" t="s">
        <v>28</v>
      </c>
      <c r="O587" t="s">
        <v>36</v>
      </c>
      <c r="P587">
        <v>36.677124020000001</v>
      </c>
      <c r="Q587">
        <v>37.755676270000002</v>
      </c>
    </row>
    <row r="588" spans="2:17">
      <c r="B588" t="s">
        <v>17</v>
      </c>
      <c r="C588" t="s">
        <v>18</v>
      </c>
      <c r="D588" t="s">
        <v>19</v>
      </c>
      <c r="E588" t="s">
        <v>37</v>
      </c>
      <c r="F588" t="s">
        <v>21</v>
      </c>
      <c r="G588" t="s">
        <v>22</v>
      </c>
      <c r="H588" t="s">
        <v>23</v>
      </c>
      <c r="I588">
        <v>1</v>
      </c>
      <c r="J588" t="s">
        <v>24</v>
      </c>
      <c r="K588" t="s">
        <v>25</v>
      </c>
      <c r="L588" t="s">
        <v>26</v>
      </c>
      <c r="M588" t="s">
        <v>27</v>
      </c>
      <c r="N588" t="s">
        <v>28</v>
      </c>
      <c r="O588" t="str">
        <f>_xlfn.XLOOKUP(E588,[1]syr_populatedplaces!$L:$L,[1]syr_populatedplaces!$M:$M)</f>
        <v>C2220</v>
      </c>
      <c r="P588">
        <f>_xlfn.XLOOKUP(E588,[1]syr_populatedplaces!$L:$L,[1]syr_populatedplaces!$AD:$AD)</f>
        <v>36.750671390000001</v>
      </c>
      <c r="Q588">
        <f>_xlfn.XLOOKUP(E588,[1]syr_populatedplaces!$L:$L,[1]syr_populatedplaces!$AC:$AC)</f>
        <v>37.807312009999997</v>
      </c>
    </row>
    <row r="589" spans="2:17">
      <c r="B589" t="s">
        <v>17</v>
      </c>
      <c r="C589" t="s">
        <v>18</v>
      </c>
      <c r="D589" t="s">
        <v>19</v>
      </c>
      <c r="E589" t="s">
        <v>38</v>
      </c>
      <c r="F589" t="s">
        <v>21</v>
      </c>
      <c r="G589" t="s">
        <v>22</v>
      </c>
      <c r="H589" t="s">
        <v>23</v>
      </c>
      <c r="I589">
        <v>1</v>
      </c>
      <c r="J589" t="s">
        <v>24</v>
      </c>
      <c r="K589" t="s">
        <v>25</v>
      </c>
      <c r="L589" t="s">
        <v>26</v>
      </c>
      <c r="M589" t="s">
        <v>27</v>
      </c>
      <c r="N589" t="s">
        <v>28</v>
      </c>
      <c r="O589" t="s">
        <v>39</v>
      </c>
      <c r="P589">
        <v>36.601074220000001</v>
      </c>
      <c r="Q589">
        <v>37.50872803</v>
      </c>
    </row>
    <row r="590" spans="2:17">
      <c r="B590" t="s">
        <v>17</v>
      </c>
      <c r="C590" t="s">
        <v>18</v>
      </c>
      <c r="D590" t="s">
        <v>19</v>
      </c>
      <c r="E590" t="s">
        <v>37</v>
      </c>
      <c r="F590" t="s">
        <v>21</v>
      </c>
      <c r="G590" t="s">
        <v>22</v>
      </c>
      <c r="H590" t="s">
        <v>23</v>
      </c>
      <c r="I590">
        <v>1</v>
      </c>
      <c r="J590" t="s">
        <v>24</v>
      </c>
      <c r="K590" t="s">
        <v>25</v>
      </c>
      <c r="L590" t="s">
        <v>26</v>
      </c>
      <c r="M590" t="s">
        <v>27</v>
      </c>
      <c r="N590" t="s">
        <v>28</v>
      </c>
      <c r="O590" t="str">
        <f>_xlfn.XLOOKUP(E590,[1]syr_populatedplaces!$L:$L,[1]syr_populatedplaces!$M:$M)</f>
        <v>C2220</v>
      </c>
      <c r="P590">
        <f>_xlfn.XLOOKUP(E590,[1]syr_populatedplaces!$L:$L,[1]syr_populatedplaces!$AD:$AD)</f>
        <v>36.750671390000001</v>
      </c>
      <c r="Q590">
        <f>_xlfn.XLOOKUP(E590,[1]syr_populatedplaces!$L:$L,[1]syr_populatedplaces!$AC:$AC)</f>
        <v>37.807312009999997</v>
      </c>
    </row>
    <row r="591" spans="2:17">
      <c r="B591" t="s">
        <v>17</v>
      </c>
      <c r="C591" t="s">
        <v>18</v>
      </c>
      <c r="D591" t="s">
        <v>19</v>
      </c>
      <c r="E591" t="s">
        <v>40</v>
      </c>
      <c r="F591" t="s">
        <v>21</v>
      </c>
      <c r="G591" t="s">
        <v>22</v>
      </c>
      <c r="H591" t="s">
        <v>23</v>
      </c>
      <c r="I591">
        <v>1</v>
      </c>
      <c r="J591" t="s">
        <v>24</v>
      </c>
      <c r="K591" t="s">
        <v>25</v>
      </c>
      <c r="L591" t="s">
        <v>26</v>
      </c>
      <c r="M591" t="s">
        <v>27</v>
      </c>
      <c r="N591" t="s">
        <v>28</v>
      </c>
      <c r="O591" t="s">
        <v>41</v>
      </c>
      <c r="P591">
        <v>36.501708979999997</v>
      </c>
      <c r="Q591">
        <v>36.599304199999999</v>
      </c>
    </row>
    <row r="592" spans="2:17">
      <c r="B592" t="s">
        <v>17</v>
      </c>
      <c r="C592" t="s">
        <v>18</v>
      </c>
      <c r="D592" t="s">
        <v>19</v>
      </c>
      <c r="E592" t="s">
        <v>42</v>
      </c>
      <c r="F592" t="s">
        <v>21</v>
      </c>
      <c r="G592" t="s">
        <v>22</v>
      </c>
      <c r="H592" t="s">
        <v>23</v>
      </c>
      <c r="I592">
        <v>1</v>
      </c>
      <c r="J592" t="s">
        <v>24</v>
      </c>
      <c r="K592" t="s">
        <v>25</v>
      </c>
      <c r="L592" t="s">
        <v>26</v>
      </c>
      <c r="M592" t="s">
        <v>27</v>
      </c>
      <c r="N592" t="s">
        <v>28</v>
      </c>
      <c r="O592" t="s">
        <v>43</v>
      </c>
      <c r="P592">
        <v>36.392517089999998</v>
      </c>
      <c r="Q592">
        <v>36.689697270000003</v>
      </c>
    </row>
    <row r="593" spans="2:17">
      <c r="B593" t="s">
        <v>17</v>
      </c>
      <c r="C593" t="s">
        <v>18</v>
      </c>
      <c r="D593" t="s">
        <v>19</v>
      </c>
      <c r="E593" t="s">
        <v>44</v>
      </c>
      <c r="F593" t="s">
        <v>21</v>
      </c>
      <c r="G593" t="s">
        <v>22</v>
      </c>
      <c r="H593" t="s">
        <v>23</v>
      </c>
      <c r="I593">
        <v>1</v>
      </c>
      <c r="J593" t="s">
        <v>24</v>
      </c>
      <c r="K593" t="s">
        <v>25</v>
      </c>
      <c r="L593" t="s">
        <v>26</v>
      </c>
      <c r="M593" t="s">
        <v>27</v>
      </c>
      <c r="N593" t="s">
        <v>28</v>
      </c>
      <c r="O593" t="s">
        <v>45</v>
      </c>
      <c r="P593">
        <v>35.353515629999997</v>
      </c>
      <c r="Q593">
        <v>36.483703609999999</v>
      </c>
    </row>
    <row r="594" spans="2:17">
      <c r="B594" t="s">
        <v>17</v>
      </c>
      <c r="C594" t="s">
        <v>18</v>
      </c>
      <c r="D594" t="s">
        <v>19</v>
      </c>
      <c r="E594" t="s">
        <v>44</v>
      </c>
      <c r="F594" t="s">
        <v>21</v>
      </c>
      <c r="G594" t="s">
        <v>22</v>
      </c>
      <c r="H594" t="s">
        <v>23</v>
      </c>
      <c r="I594">
        <v>1</v>
      </c>
      <c r="J594" t="s">
        <v>24</v>
      </c>
      <c r="K594" t="s">
        <v>25</v>
      </c>
      <c r="L594" t="s">
        <v>26</v>
      </c>
      <c r="M594" t="s">
        <v>27</v>
      </c>
      <c r="N594" t="s">
        <v>28</v>
      </c>
      <c r="O594" t="s">
        <v>45</v>
      </c>
      <c r="P594">
        <v>35.353515629999997</v>
      </c>
      <c r="Q594">
        <v>36.483703609999999</v>
      </c>
    </row>
    <row r="595" spans="2:17">
      <c r="B595" t="s">
        <v>17</v>
      </c>
      <c r="C595" t="s">
        <v>18</v>
      </c>
      <c r="D595" t="s">
        <v>19</v>
      </c>
      <c r="E595" t="s">
        <v>30</v>
      </c>
      <c r="F595" t="s">
        <v>21</v>
      </c>
      <c r="G595" t="s">
        <v>22</v>
      </c>
      <c r="H595" t="s">
        <v>23</v>
      </c>
      <c r="I595">
        <v>1</v>
      </c>
      <c r="J595" t="s">
        <v>24</v>
      </c>
      <c r="K595" t="s">
        <v>25</v>
      </c>
      <c r="L595" t="s">
        <v>26</v>
      </c>
      <c r="M595" t="s">
        <v>27</v>
      </c>
      <c r="N595" t="s">
        <v>28</v>
      </c>
      <c r="O595" t="str">
        <f>_xlfn.XLOOKUP(E595,[1]syr_populatedplaces!$L:$L,[1]syr_populatedplaces!$M:$M)</f>
        <v>C1131</v>
      </c>
      <c r="P595">
        <f>_xlfn.XLOOKUP(E595,[1]syr_populatedplaces!$L:$L,[1]syr_populatedplaces!$AD:$AD)</f>
        <v>36.226074220000001</v>
      </c>
      <c r="Q595">
        <f>_xlfn.XLOOKUP(E595,[1]syr_populatedplaces!$L:$L,[1]syr_populatedplaces!$AC:$AC)</f>
        <v>37.326110839999998</v>
      </c>
    </row>
    <row r="596" spans="2:17">
      <c r="B596" t="s">
        <v>17</v>
      </c>
      <c r="C596" t="s">
        <v>18</v>
      </c>
      <c r="D596" t="s">
        <v>19</v>
      </c>
      <c r="E596" t="s">
        <v>47</v>
      </c>
      <c r="F596" t="s">
        <v>21</v>
      </c>
      <c r="G596" t="s">
        <v>22</v>
      </c>
      <c r="H596" t="s">
        <v>23</v>
      </c>
      <c r="I596">
        <v>1</v>
      </c>
      <c r="J596" t="s">
        <v>24</v>
      </c>
      <c r="K596" t="s">
        <v>25</v>
      </c>
      <c r="L596" t="s">
        <v>26</v>
      </c>
      <c r="M596" t="s">
        <v>27</v>
      </c>
      <c r="N596" t="s">
        <v>28</v>
      </c>
      <c r="O596" t="s">
        <v>48</v>
      </c>
      <c r="P596">
        <v>36.676879880000001</v>
      </c>
      <c r="Q596">
        <v>36.664489750000001</v>
      </c>
    </row>
    <row r="597" spans="2:17">
      <c r="B597" t="s">
        <v>17</v>
      </c>
      <c r="C597" t="s">
        <v>18</v>
      </c>
      <c r="D597" t="s">
        <v>19</v>
      </c>
      <c r="E597" t="s">
        <v>30</v>
      </c>
      <c r="F597" t="s">
        <v>21</v>
      </c>
      <c r="G597" t="s">
        <v>22</v>
      </c>
      <c r="H597" t="s">
        <v>23</v>
      </c>
      <c r="I597">
        <v>1</v>
      </c>
      <c r="J597" t="s">
        <v>24</v>
      </c>
      <c r="K597" t="s">
        <v>25</v>
      </c>
      <c r="L597" t="s">
        <v>26</v>
      </c>
      <c r="M597" t="s">
        <v>27</v>
      </c>
      <c r="N597" t="s">
        <v>28</v>
      </c>
      <c r="O597" t="str">
        <f>_xlfn.XLOOKUP(E597,[1]syr_populatedplaces!$L:$L,[1]syr_populatedplaces!$M:$M)</f>
        <v>C1131</v>
      </c>
      <c r="P597">
        <f>_xlfn.XLOOKUP(E597,[1]syr_populatedplaces!$L:$L,[1]syr_populatedplaces!$AD:$AD)</f>
        <v>36.226074220000001</v>
      </c>
      <c r="Q597">
        <f>_xlfn.XLOOKUP(E597,[1]syr_populatedplaces!$L:$L,[1]syr_populatedplaces!$AC:$AC)</f>
        <v>37.326110839999998</v>
      </c>
    </row>
    <row r="598" spans="2:17">
      <c r="B598" t="s">
        <v>17</v>
      </c>
      <c r="C598" t="s">
        <v>18</v>
      </c>
      <c r="D598" t="s">
        <v>19</v>
      </c>
      <c r="E598" t="s">
        <v>49</v>
      </c>
      <c r="F598" t="s">
        <v>21</v>
      </c>
      <c r="G598" t="s">
        <v>22</v>
      </c>
      <c r="H598" t="s">
        <v>23</v>
      </c>
      <c r="I598">
        <v>1</v>
      </c>
      <c r="J598" t="s">
        <v>24</v>
      </c>
      <c r="K598" t="s">
        <v>25</v>
      </c>
      <c r="L598" t="s">
        <v>26</v>
      </c>
      <c r="M598" t="s">
        <v>27</v>
      </c>
      <c r="N598" t="s">
        <v>28</v>
      </c>
      <c r="O598" t="s">
        <v>50</v>
      </c>
      <c r="P598">
        <v>36.658508300000001</v>
      </c>
      <c r="Q598">
        <v>36.923278809999999</v>
      </c>
    </row>
    <row r="599" spans="2:17">
      <c r="B599" t="s">
        <v>17</v>
      </c>
      <c r="C599" t="s">
        <v>18</v>
      </c>
      <c r="D599" t="s">
        <v>19</v>
      </c>
      <c r="E599" t="s">
        <v>30</v>
      </c>
      <c r="F599" t="s">
        <v>21</v>
      </c>
      <c r="G599" t="s">
        <v>22</v>
      </c>
      <c r="H599" t="s">
        <v>23</v>
      </c>
      <c r="I599">
        <v>1</v>
      </c>
      <c r="J599" t="s">
        <v>24</v>
      </c>
      <c r="K599" t="s">
        <v>25</v>
      </c>
      <c r="L599" t="s">
        <v>26</v>
      </c>
      <c r="M599" t="s">
        <v>27</v>
      </c>
      <c r="N599" t="s">
        <v>28</v>
      </c>
      <c r="O599" t="str">
        <f>_xlfn.XLOOKUP(E599,[1]syr_populatedplaces!$L:$L,[1]syr_populatedplaces!$M:$M)</f>
        <v>C1131</v>
      </c>
      <c r="P599">
        <f>_xlfn.XLOOKUP(E599,[1]syr_populatedplaces!$L:$L,[1]syr_populatedplaces!$AD:$AD)</f>
        <v>36.226074220000001</v>
      </c>
      <c r="Q599">
        <f>_xlfn.XLOOKUP(E599,[1]syr_populatedplaces!$L:$L,[1]syr_populatedplaces!$AC:$AC)</f>
        <v>37.326110839999998</v>
      </c>
    </row>
    <row r="600" spans="2:17">
      <c r="B600" t="s">
        <v>17</v>
      </c>
      <c r="C600" t="s">
        <v>18</v>
      </c>
      <c r="D600" t="s">
        <v>19</v>
      </c>
      <c r="E600" t="s">
        <v>51</v>
      </c>
      <c r="F600" t="s">
        <v>21</v>
      </c>
      <c r="G600" t="s">
        <v>22</v>
      </c>
      <c r="H600" t="s">
        <v>23</v>
      </c>
      <c r="I600">
        <v>1</v>
      </c>
      <c r="J600" t="s">
        <v>24</v>
      </c>
      <c r="K600" t="s">
        <v>25</v>
      </c>
      <c r="L600" t="s">
        <v>26</v>
      </c>
      <c r="M600" t="s">
        <v>27</v>
      </c>
      <c r="N600" t="s">
        <v>28</v>
      </c>
      <c r="O600" t="s">
        <v>52</v>
      </c>
      <c r="P600">
        <v>36.595092770000001</v>
      </c>
      <c r="Q600">
        <v>37.189270020000002</v>
      </c>
    </row>
    <row r="601" spans="2:17">
      <c r="B601" t="s">
        <v>17</v>
      </c>
      <c r="C601" t="s">
        <v>18</v>
      </c>
      <c r="D601" t="s">
        <v>19</v>
      </c>
      <c r="E601" t="s">
        <v>30</v>
      </c>
      <c r="F601" t="s">
        <v>21</v>
      </c>
      <c r="G601" t="s">
        <v>22</v>
      </c>
      <c r="H601" t="s">
        <v>23</v>
      </c>
      <c r="I601">
        <v>1</v>
      </c>
      <c r="J601" t="s">
        <v>24</v>
      </c>
      <c r="K601" t="s">
        <v>25</v>
      </c>
      <c r="L601" t="s">
        <v>26</v>
      </c>
      <c r="M601" t="s">
        <v>27</v>
      </c>
      <c r="N601" t="s">
        <v>28</v>
      </c>
      <c r="O601" t="str">
        <f>_xlfn.XLOOKUP(E601,[1]syr_populatedplaces!$L:$L,[1]syr_populatedplaces!$M:$M)</f>
        <v>C1131</v>
      </c>
      <c r="P601">
        <f>_xlfn.XLOOKUP(E601,[1]syr_populatedplaces!$L:$L,[1]syr_populatedplaces!$AD:$AD)</f>
        <v>36.226074220000001</v>
      </c>
      <c r="Q601">
        <f>_xlfn.XLOOKUP(E601,[1]syr_populatedplaces!$L:$L,[1]syr_populatedplaces!$AC:$AC)</f>
        <v>37.326110839999998</v>
      </c>
    </row>
    <row r="602" spans="2:17">
      <c r="B602" t="s">
        <v>17</v>
      </c>
      <c r="C602" t="s">
        <v>18</v>
      </c>
      <c r="D602" t="s">
        <v>19</v>
      </c>
      <c r="E602" t="s">
        <v>1769</v>
      </c>
      <c r="F602" t="s">
        <v>21</v>
      </c>
      <c r="G602" t="s">
        <v>22</v>
      </c>
      <c r="H602" t="s">
        <v>23</v>
      </c>
      <c r="I602">
        <v>1</v>
      </c>
      <c r="J602" t="s">
        <v>24</v>
      </c>
      <c r="K602" t="s">
        <v>25</v>
      </c>
      <c r="L602" t="s">
        <v>26</v>
      </c>
      <c r="M602" t="s">
        <v>27</v>
      </c>
      <c r="N602" t="s">
        <v>28</v>
      </c>
      <c r="O602" t="str">
        <f>_xlfn.XLOOKUP(E602,[1]syr_populatedplaces!$L:$L,[1]syr_populatedplaces!$M:$M)</f>
        <v>C1552</v>
      </c>
      <c r="P602">
        <f>_xlfn.XLOOKUP(E602,[1]syr_populatedplaces!$L:$L,[1]syr_populatedplaces!$AD:$AD)</f>
        <v>36.563293459999997</v>
      </c>
      <c r="Q602">
        <f>_xlfn.XLOOKUP(E602,[1]syr_populatedplaces!$L:$L,[1]syr_populatedplaces!$AC:$AC)</f>
        <v>36.736877440000001</v>
      </c>
    </row>
    <row r="603" spans="2:17">
      <c r="B603" t="s">
        <v>17</v>
      </c>
      <c r="C603" t="s">
        <v>18</v>
      </c>
      <c r="D603" t="s">
        <v>19</v>
      </c>
      <c r="E603" t="s">
        <v>47</v>
      </c>
      <c r="F603" t="s">
        <v>21</v>
      </c>
      <c r="G603" t="s">
        <v>22</v>
      </c>
      <c r="H603" t="s">
        <v>23</v>
      </c>
      <c r="I603">
        <v>1</v>
      </c>
      <c r="J603" t="s">
        <v>24</v>
      </c>
      <c r="K603" t="s">
        <v>25</v>
      </c>
      <c r="L603" t="s">
        <v>26</v>
      </c>
      <c r="M603" t="s">
        <v>27</v>
      </c>
      <c r="N603" t="s">
        <v>28</v>
      </c>
      <c r="O603" t="s">
        <v>48</v>
      </c>
      <c r="P603">
        <v>36.676879880000001</v>
      </c>
      <c r="Q603">
        <v>36.664489750000001</v>
      </c>
    </row>
    <row r="604" spans="2:17">
      <c r="B604" t="s">
        <v>17</v>
      </c>
      <c r="C604" t="s">
        <v>18</v>
      </c>
      <c r="D604" t="s">
        <v>19</v>
      </c>
      <c r="E604" t="s">
        <v>53</v>
      </c>
      <c r="F604" t="s">
        <v>21</v>
      </c>
      <c r="G604" t="s">
        <v>22</v>
      </c>
      <c r="H604" t="s">
        <v>23</v>
      </c>
      <c r="I604">
        <v>1</v>
      </c>
      <c r="J604" t="s">
        <v>24</v>
      </c>
      <c r="K604" t="s">
        <v>25</v>
      </c>
      <c r="L604" t="s">
        <v>26</v>
      </c>
      <c r="M604" t="s">
        <v>27</v>
      </c>
      <c r="N604" t="s">
        <v>28</v>
      </c>
      <c r="O604" t="s">
        <v>54</v>
      </c>
      <c r="P604">
        <v>36.769714360000002</v>
      </c>
      <c r="Q604">
        <v>36.819274900000003</v>
      </c>
    </row>
    <row r="605" spans="2:17">
      <c r="B605" t="s">
        <v>17</v>
      </c>
      <c r="C605" t="s">
        <v>18</v>
      </c>
      <c r="D605" t="s">
        <v>19</v>
      </c>
      <c r="E605" t="s">
        <v>47</v>
      </c>
      <c r="F605" t="s">
        <v>21</v>
      </c>
      <c r="G605" t="s">
        <v>22</v>
      </c>
      <c r="H605" t="s">
        <v>23</v>
      </c>
      <c r="I605">
        <v>1</v>
      </c>
      <c r="J605" t="s">
        <v>24</v>
      </c>
      <c r="K605" t="s">
        <v>25</v>
      </c>
      <c r="L605" t="s">
        <v>26</v>
      </c>
      <c r="M605" t="s">
        <v>27</v>
      </c>
      <c r="N605" t="s">
        <v>28</v>
      </c>
      <c r="O605" t="str">
        <f>_xlfn.XLOOKUP(E605,[1]syr_populatedplaces!$L:$L,[1]syr_populatedplaces!$M:$M)</f>
        <v>C1484</v>
      </c>
      <c r="P605">
        <f>_xlfn.XLOOKUP(E605,[1]syr_populatedplaces!$L:$L,[1]syr_populatedplaces!$AD:$AD)</f>
        <v>36.676879880000001</v>
      </c>
      <c r="Q605">
        <f>_xlfn.XLOOKUP(E605,[1]syr_populatedplaces!$L:$L,[1]syr_populatedplaces!$AC:$AC)</f>
        <v>36.664489750000001</v>
      </c>
    </row>
    <row r="606" spans="2:17">
      <c r="B606" t="s">
        <v>17</v>
      </c>
      <c r="C606" t="s">
        <v>18</v>
      </c>
      <c r="D606" t="s">
        <v>19</v>
      </c>
      <c r="E606" t="s">
        <v>42</v>
      </c>
      <c r="F606" t="s">
        <v>21</v>
      </c>
      <c r="G606" t="s">
        <v>22</v>
      </c>
      <c r="H606" t="s">
        <v>23</v>
      </c>
      <c r="I606">
        <v>1</v>
      </c>
      <c r="J606" t="s">
        <v>24</v>
      </c>
      <c r="K606" t="s">
        <v>25</v>
      </c>
      <c r="L606" t="s">
        <v>26</v>
      </c>
      <c r="M606" t="s">
        <v>27</v>
      </c>
      <c r="N606" t="s">
        <v>28</v>
      </c>
      <c r="O606" t="s">
        <v>43</v>
      </c>
      <c r="P606">
        <v>36.392517089999998</v>
      </c>
      <c r="Q606">
        <v>36.689697270000003</v>
      </c>
    </row>
    <row r="607" spans="2:17">
      <c r="B607" t="s">
        <v>17</v>
      </c>
      <c r="C607" t="s">
        <v>18</v>
      </c>
      <c r="D607" t="s">
        <v>19</v>
      </c>
      <c r="E607" t="s">
        <v>1770</v>
      </c>
      <c r="F607" t="s">
        <v>21</v>
      </c>
      <c r="G607" t="s">
        <v>22</v>
      </c>
      <c r="H607" t="s">
        <v>23</v>
      </c>
      <c r="I607">
        <v>1</v>
      </c>
      <c r="J607" t="s">
        <v>24</v>
      </c>
      <c r="K607" t="s">
        <v>25</v>
      </c>
      <c r="L607" t="s">
        <v>26</v>
      </c>
      <c r="M607" t="s">
        <v>27</v>
      </c>
      <c r="N607" t="s">
        <v>28</v>
      </c>
      <c r="O607" t="str">
        <f>_xlfn.XLOOKUP(E607,[1]syr_populatedplaces!$L:$L,[1]syr_populatedplaces!$M:$M)</f>
        <v>C8184</v>
      </c>
      <c r="P607">
        <f>_xlfn.XLOOKUP(E607,[1]syr_populatedplaces!$L:$L,[1]syr_populatedplaces!$AD:$AD)</f>
        <v>36.484680179999998</v>
      </c>
      <c r="Q607">
        <f>_xlfn.XLOOKUP(E607,[1]syr_populatedplaces!$L:$L,[1]syr_populatedplaces!$AC:$AC)</f>
        <v>36.653076169999999</v>
      </c>
    </row>
    <row r="608" spans="2:17">
      <c r="B608" t="s">
        <v>17</v>
      </c>
      <c r="C608" t="s">
        <v>18</v>
      </c>
      <c r="D608" t="s">
        <v>19</v>
      </c>
      <c r="E608" t="s">
        <v>1771</v>
      </c>
      <c r="F608" t="s">
        <v>21</v>
      </c>
      <c r="G608" t="s">
        <v>22</v>
      </c>
      <c r="H608" t="s">
        <v>23</v>
      </c>
      <c r="I608">
        <v>1</v>
      </c>
      <c r="J608" t="s">
        <v>24</v>
      </c>
      <c r="K608" t="s">
        <v>25</v>
      </c>
      <c r="L608" t="s">
        <v>26</v>
      </c>
      <c r="M608" t="s">
        <v>27</v>
      </c>
      <c r="N608" t="s">
        <v>28</v>
      </c>
      <c r="O608" t="str">
        <f>_xlfn.XLOOKUP(E608,[1]syr_populatedplaces!$L:$L,[1]syr_populatedplaces!$M:$M)</f>
        <v>C1530</v>
      </c>
      <c r="P608">
        <f>_xlfn.XLOOKUP(E608,[1]syr_populatedplaces!$L:$L,[1]syr_populatedplaces!$AD:$AD)</f>
        <v>36.530700680000002</v>
      </c>
      <c r="Q608">
        <f>_xlfn.XLOOKUP(E608,[1]syr_populatedplaces!$L:$L,[1]syr_populatedplaces!$AC:$AC)</f>
        <v>36.62268066</v>
      </c>
    </row>
    <row r="609" spans="2:17">
      <c r="B609" t="s">
        <v>17</v>
      </c>
      <c r="C609" t="s">
        <v>18</v>
      </c>
      <c r="D609" t="s">
        <v>19</v>
      </c>
      <c r="E609" t="s">
        <v>1772</v>
      </c>
      <c r="F609" t="s">
        <v>21</v>
      </c>
      <c r="G609" t="s">
        <v>22</v>
      </c>
      <c r="H609" t="s">
        <v>23</v>
      </c>
      <c r="I609">
        <v>1</v>
      </c>
      <c r="J609" t="s">
        <v>24</v>
      </c>
      <c r="K609" t="s">
        <v>25</v>
      </c>
      <c r="L609" t="s">
        <v>26</v>
      </c>
      <c r="M609" t="s">
        <v>27</v>
      </c>
      <c r="N609" t="s">
        <v>28</v>
      </c>
      <c r="O609" t="str">
        <f>_xlfn.XLOOKUP(E609,[1]syr_populatedplaces!$L:$L,[1]syr_populatedplaces!$M:$M)</f>
        <v>C1531</v>
      </c>
      <c r="P609">
        <f>_xlfn.XLOOKUP(E609,[1]syr_populatedplaces!$L:$L,[1]syr_populatedplaces!$AD:$AD)</f>
        <v>36.527893069999998</v>
      </c>
      <c r="Q609">
        <f>_xlfn.XLOOKUP(E609,[1]syr_populatedplaces!$L:$L,[1]syr_populatedplaces!$AC:$AC)</f>
        <v>36.655700680000002</v>
      </c>
    </row>
    <row r="610" spans="2:17">
      <c r="B610" t="s">
        <v>17</v>
      </c>
      <c r="C610" t="s">
        <v>18</v>
      </c>
      <c r="D610" t="s">
        <v>19</v>
      </c>
      <c r="E610" t="s">
        <v>60</v>
      </c>
      <c r="F610" t="s">
        <v>21</v>
      </c>
      <c r="G610" t="s">
        <v>22</v>
      </c>
      <c r="H610" t="s">
        <v>23</v>
      </c>
      <c r="I610">
        <v>1</v>
      </c>
      <c r="J610" t="s">
        <v>24</v>
      </c>
      <c r="K610" t="s">
        <v>25</v>
      </c>
      <c r="L610" t="s">
        <v>26</v>
      </c>
      <c r="M610" t="s">
        <v>27</v>
      </c>
      <c r="N610" t="s">
        <v>28</v>
      </c>
      <c r="O610" t="s">
        <v>61</v>
      </c>
      <c r="P610">
        <v>36.375122070000003</v>
      </c>
      <c r="Q610">
        <v>36.996521000000001</v>
      </c>
    </row>
    <row r="611" spans="2:17">
      <c r="B611" t="s">
        <v>17</v>
      </c>
      <c r="C611" t="s">
        <v>18</v>
      </c>
      <c r="D611" t="s">
        <v>19</v>
      </c>
      <c r="E611" t="s">
        <v>18</v>
      </c>
      <c r="F611" t="s">
        <v>21</v>
      </c>
      <c r="G611" t="s">
        <v>22</v>
      </c>
      <c r="H611" t="s">
        <v>23</v>
      </c>
      <c r="I611">
        <v>1</v>
      </c>
      <c r="J611" t="s">
        <v>24</v>
      </c>
      <c r="K611" t="s">
        <v>25</v>
      </c>
      <c r="L611" t="s">
        <v>26</v>
      </c>
      <c r="M611" t="s">
        <v>27</v>
      </c>
      <c r="N611" t="s">
        <v>28</v>
      </c>
      <c r="O611" t="s">
        <v>62</v>
      </c>
      <c r="P611">
        <v>36.20611572</v>
      </c>
      <c r="Q611">
        <v>37.152526860000002</v>
      </c>
    </row>
    <row r="612" spans="2:17">
      <c r="B612" t="s">
        <v>17</v>
      </c>
      <c r="C612" t="s">
        <v>18</v>
      </c>
      <c r="D612" t="s">
        <v>19</v>
      </c>
      <c r="E612" t="s">
        <v>63</v>
      </c>
      <c r="F612" t="s">
        <v>21</v>
      </c>
      <c r="G612" t="s">
        <v>22</v>
      </c>
      <c r="H612" t="s">
        <v>23</v>
      </c>
      <c r="I612">
        <v>1</v>
      </c>
      <c r="J612" t="s">
        <v>24</v>
      </c>
      <c r="K612" t="s">
        <v>25</v>
      </c>
      <c r="L612" t="s">
        <v>26</v>
      </c>
      <c r="M612" t="s">
        <v>27</v>
      </c>
      <c r="N612" t="s">
        <v>28</v>
      </c>
      <c r="O612" t="s">
        <v>64</v>
      </c>
      <c r="P612">
        <v>36.285095220000002</v>
      </c>
      <c r="Q612">
        <v>36.851074220000001</v>
      </c>
    </row>
    <row r="613" spans="2:17">
      <c r="B613" t="s">
        <v>17</v>
      </c>
      <c r="C613" t="s">
        <v>18</v>
      </c>
      <c r="D613" t="s">
        <v>19</v>
      </c>
      <c r="E613" t="s">
        <v>63</v>
      </c>
      <c r="F613" t="s">
        <v>21</v>
      </c>
      <c r="G613" t="s">
        <v>22</v>
      </c>
      <c r="H613" t="s">
        <v>23</v>
      </c>
      <c r="I613">
        <v>1</v>
      </c>
      <c r="J613" t="s">
        <v>24</v>
      </c>
      <c r="K613" t="s">
        <v>25</v>
      </c>
      <c r="L613" t="s">
        <v>26</v>
      </c>
      <c r="M613" t="s">
        <v>27</v>
      </c>
      <c r="N613" t="s">
        <v>28</v>
      </c>
      <c r="O613" t="s">
        <v>64</v>
      </c>
      <c r="P613">
        <v>36.285095220000002</v>
      </c>
      <c r="Q613">
        <v>36.851074220000001</v>
      </c>
    </row>
    <row r="614" spans="2:17">
      <c r="B614" t="s">
        <v>17</v>
      </c>
      <c r="C614" t="s">
        <v>18</v>
      </c>
      <c r="D614" t="s">
        <v>19</v>
      </c>
      <c r="E614" t="s">
        <v>1773</v>
      </c>
      <c r="F614" t="s">
        <v>21</v>
      </c>
      <c r="G614" t="s">
        <v>22</v>
      </c>
      <c r="H614" t="s">
        <v>23</v>
      </c>
      <c r="I614">
        <v>1</v>
      </c>
      <c r="J614" t="s">
        <v>24</v>
      </c>
      <c r="K614" t="s">
        <v>25</v>
      </c>
      <c r="L614" t="s">
        <v>26</v>
      </c>
      <c r="M614" t="s">
        <v>27</v>
      </c>
      <c r="N614" t="s">
        <v>28</v>
      </c>
      <c r="O614" t="str">
        <f>_xlfn.XLOOKUP(E614,[1]syr_populatedplaces!$L:$L,[1]syr_populatedplaces!$M:$M)</f>
        <v>C1378</v>
      </c>
      <c r="P614">
        <f>_xlfn.XLOOKUP(E614,[1]syr_populatedplaces!$L:$L,[1]syr_populatedplaces!$AD:$AD)</f>
        <v>36.376892089999998</v>
      </c>
      <c r="Q614">
        <f>_xlfn.XLOOKUP(E614,[1]syr_populatedplaces!$L:$L,[1]syr_populatedplaces!$AC:$AC)</f>
        <v>36.841674810000001</v>
      </c>
    </row>
    <row r="615" spans="2:17">
      <c r="B615" t="s">
        <v>17</v>
      </c>
      <c r="C615" t="s">
        <v>18</v>
      </c>
      <c r="D615" t="s">
        <v>19</v>
      </c>
      <c r="E615" t="s">
        <v>49</v>
      </c>
      <c r="F615" t="s">
        <v>21</v>
      </c>
      <c r="G615" t="s">
        <v>22</v>
      </c>
      <c r="H615" t="s">
        <v>23</v>
      </c>
      <c r="I615">
        <v>1</v>
      </c>
      <c r="J615" t="s">
        <v>24</v>
      </c>
      <c r="K615" t="s">
        <v>25</v>
      </c>
      <c r="L615" t="s">
        <v>26</v>
      </c>
      <c r="M615" t="s">
        <v>27</v>
      </c>
      <c r="N615" t="s">
        <v>28</v>
      </c>
      <c r="O615" t="s">
        <v>50</v>
      </c>
      <c r="P615">
        <v>36.658508300000001</v>
      </c>
      <c r="Q615">
        <v>36.923278809999999</v>
      </c>
    </row>
    <row r="616" spans="2:17">
      <c r="B616" t="s">
        <v>17</v>
      </c>
      <c r="C616" t="s">
        <v>18</v>
      </c>
      <c r="D616" t="s">
        <v>19</v>
      </c>
      <c r="E616" t="s">
        <v>1774</v>
      </c>
      <c r="F616" t="s">
        <v>21</v>
      </c>
      <c r="G616" t="s">
        <v>22</v>
      </c>
      <c r="H616" t="s">
        <v>23</v>
      </c>
      <c r="I616">
        <v>1</v>
      </c>
      <c r="J616" t="s">
        <v>24</v>
      </c>
      <c r="K616" t="s">
        <v>25</v>
      </c>
      <c r="L616" t="s">
        <v>26</v>
      </c>
      <c r="M616" t="s">
        <v>27</v>
      </c>
      <c r="N616" t="s">
        <v>28</v>
      </c>
      <c r="O616" t="str">
        <f>_xlfn.XLOOKUP(E616,[1]syr_populatedplaces!$L:$L,[1]syr_populatedplaces!$M:$M)</f>
        <v>C1502</v>
      </c>
      <c r="P616">
        <f>_xlfn.XLOOKUP(E616,[1]syr_populatedplaces!$L:$L,[1]syr_populatedplaces!$AD:$AD)</f>
        <v>36.660522460000003</v>
      </c>
      <c r="Q616">
        <f>_xlfn.XLOOKUP(E616,[1]syr_populatedplaces!$L:$L,[1]syr_populatedplaces!$AC:$AC)</f>
        <v>36.872070309999998</v>
      </c>
    </row>
    <row r="617" spans="2:17">
      <c r="B617" t="s">
        <v>17</v>
      </c>
      <c r="C617" t="s">
        <v>18</v>
      </c>
      <c r="D617" t="s">
        <v>19</v>
      </c>
      <c r="E617" t="s">
        <v>1774</v>
      </c>
      <c r="F617" t="s">
        <v>21</v>
      </c>
      <c r="G617" t="s">
        <v>22</v>
      </c>
      <c r="H617" t="s">
        <v>23</v>
      </c>
      <c r="I617">
        <v>1</v>
      </c>
      <c r="J617" t="s">
        <v>24</v>
      </c>
      <c r="K617" t="s">
        <v>25</v>
      </c>
      <c r="L617" t="s">
        <v>26</v>
      </c>
      <c r="M617" t="s">
        <v>27</v>
      </c>
      <c r="N617" t="s">
        <v>28</v>
      </c>
      <c r="O617" t="str">
        <f>_xlfn.XLOOKUP(E617,[1]syr_populatedplaces!$L:$L,[1]syr_populatedplaces!$M:$M)</f>
        <v>C1502</v>
      </c>
      <c r="P617">
        <f>_xlfn.XLOOKUP(E617,[1]syr_populatedplaces!$L:$L,[1]syr_populatedplaces!$AD:$AD)</f>
        <v>36.660522460000003</v>
      </c>
      <c r="Q617">
        <f>_xlfn.XLOOKUP(E617,[1]syr_populatedplaces!$L:$L,[1]syr_populatedplaces!$AC:$AC)</f>
        <v>36.872070309999998</v>
      </c>
    </row>
    <row r="618" spans="2:17">
      <c r="B618" t="s">
        <v>17</v>
      </c>
      <c r="C618" t="s">
        <v>18</v>
      </c>
      <c r="D618" t="s">
        <v>19</v>
      </c>
      <c r="E618" t="s">
        <v>1775</v>
      </c>
      <c r="F618" t="s">
        <v>21</v>
      </c>
      <c r="G618" t="s">
        <v>22</v>
      </c>
      <c r="H618" t="s">
        <v>23</v>
      </c>
      <c r="I618">
        <v>1</v>
      </c>
      <c r="J618" t="s">
        <v>24</v>
      </c>
      <c r="K618" t="s">
        <v>25</v>
      </c>
      <c r="L618" t="s">
        <v>26</v>
      </c>
      <c r="M618" t="s">
        <v>27</v>
      </c>
      <c r="N618" t="s">
        <v>28</v>
      </c>
      <c r="O618" t="str">
        <f>_xlfn.XLOOKUP(E618,[1]syr_populatedplaces!$L:$L,[1]syr_populatedplaces!$M:$M)</f>
        <v>C1413</v>
      </c>
      <c r="P618">
        <f>_xlfn.XLOOKUP(E618,[1]syr_populatedplaces!$L:$L,[1]syr_populatedplaces!$AD:$AD)</f>
        <v>36.695129399999999</v>
      </c>
      <c r="Q618">
        <f>_xlfn.XLOOKUP(E618,[1]syr_populatedplaces!$L:$L,[1]syr_populatedplaces!$AC:$AC)</f>
        <v>36.856079100000002</v>
      </c>
    </row>
    <row r="619" spans="2:17">
      <c r="B619" t="s">
        <v>17</v>
      </c>
      <c r="C619" t="s">
        <v>18</v>
      </c>
      <c r="D619" t="s">
        <v>19</v>
      </c>
      <c r="E619" t="s">
        <v>68</v>
      </c>
      <c r="F619" t="s">
        <v>21</v>
      </c>
      <c r="G619" t="s">
        <v>22</v>
      </c>
      <c r="H619" t="s">
        <v>23</v>
      </c>
      <c r="I619">
        <v>1</v>
      </c>
      <c r="J619" t="s">
        <v>24</v>
      </c>
      <c r="K619" t="s">
        <v>25</v>
      </c>
      <c r="L619" t="s">
        <v>26</v>
      </c>
      <c r="M619" t="s">
        <v>27</v>
      </c>
      <c r="N619" t="s">
        <v>28</v>
      </c>
      <c r="O619" t="s">
        <v>69</v>
      </c>
      <c r="P619">
        <v>36.789123539999999</v>
      </c>
      <c r="Q619">
        <v>37.917480470000001</v>
      </c>
    </row>
    <row r="620" spans="2:17">
      <c r="B620" t="s">
        <v>17</v>
      </c>
      <c r="C620" t="s">
        <v>18</v>
      </c>
      <c r="D620" t="s">
        <v>19</v>
      </c>
      <c r="E620" t="s">
        <v>35</v>
      </c>
      <c r="F620" t="s">
        <v>21</v>
      </c>
      <c r="G620" t="s">
        <v>22</v>
      </c>
      <c r="H620" t="s">
        <v>23</v>
      </c>
      <c r="I620">
        <v>1</v>
      </c>
      <c r="J620" t="s">
        <v>24</v>
      </c>
      <c r="K620" t="s">
        <v>25</v>
      </c>
      <c r="L620" t="s">
        <v>26</v>
      </c>
      <c r="M620" t="s">
        <v>27</v>
      </c>
      <c r="N620" t="s">
        <v>28</v>
      </c>
      <c r="O620" t="s">
        <v>36</v>
      </c>
      <c r="P620">
        <v>36.677124020000001</v>
      </c>
      <c r="Q620">
        <v>37.755676270000002</v>
      </c>
    </row>
    <row r="621" spans="2:17">
      <c r="B621" t="s">
        <v>17</v>
      </c>
      <c r="C621" t="s">
        <v>18</v>
      </c>
      <c r="D621" t="s">
        <v>19</v>
      </c>
      <c r="E621" t="s">
        <v>633</v>
      </c>
      <c r="F621" t="s">
        <v>21</v>
      </c>
      <c r="G621" t="s">
        <v>22</v>
      </c>
      <c r="H621" t="s">
        <v>23</v>
      </c>
      <c r="I621">
        <v>1</v>
      </c>
      <c r="J621" t="s">
        <v>24</v>
      </c>
      <c r="K621" t="s">
        <v>25</v>
      </c>
      <c r="L621" t="s">
        <v>26</v>
      </c>
      <c r="M621" t="s">
        <v>27</v>
      </c>
      <c r="N621" t="s">
        <v>28</v>
      </c>
      <c r="O621" t="str">
        <f>_xlfn.XLOOKUP(E621,[1]syr_populatedplaces!$L:$L,[1]syr_populatedplaces!$M:$M)</f>
        <v>C1609</v>
      </c>
      <c r="P621">
        <f>_xlfn.XLOOKUP(E621,[1]syr_populatedplaces!$L:$L,[1]syr_populatedplaces!$AD:$AD)</f>
        <v>36.541076660000002</v>
      </c>
      <c r="Q621">
        <f>_xlfn.XLOOKUP(E621,[1]syr_populatedplaces!$L:$L,[1]syr_populatedplaces!$AC:$AC)</f>
        <v>37.416687009999997</v>
      </c>
    </row>
    <row r="622" spans="2:17">
      <c r="B622" t="s">
        <v>17</v>
      </c>
      <c r="C622" t="s">
        <v>18</v>
      </c>
      <c r="D622" t="s">
        <v>19</v>
      </c>
      <c r="E622" t="s">
        <v>70</v>
      </c>
      <c r="F622" t="s">
        <v>21</v>
      </c>
      <c r="G622" t="s">
        <v>22</v>
      </c>
      <c r="H622" t="s">
        <v>23</v>
      </c>
      <c r="I622">
        <v>1</v>
      </c>
      <c r="J622" t="s">
        <v>24</v>
      </c>
      <c r="K622" t="s">
        <v>25</v>
      </c>
      <c r="L622" t="s">
        <v>26</v>
      </c>
      <c r="M622" t="s">
        <v>27</v>
      </c>
      <c r="N622" t="s">
        <v>28</v>
      </c>
      <c r="O622" t="s">
        <v>71</v>
      </c>
      <c r="P622">
        <v>36.509704589999998</v>
      </c>
      <c r="Q622">
        <v>37.335876470000002</v>
      </c>
    </row>
    <row r="623" spans="2:17">
      <c r="B623" t="s">
        <v>17</v>
      </c>
      <c r="C623" t="s">
        <v>18</v>
      </c>
      <c r="D623" t="s">
        <v>19</v>
      </c>
      <c r="E623" t="s">
        <v>633</v>
      </c>
      <c r="F623" t="s">
        <v>21</v>
      </c>
      <c r="G623" t="s">
        <v>22</v>
      </c>
      <c r="H623" t="s">
        <v>23</v>
      </c>
      <c r="I623">
        <v>1</v>
      </c>
      <c r="J623" t="s">
        <v>24</v>
      </c>
      <c r="K623" t="s">
        <v>25</v>
      </c>
      <c r="L623" t="s">
        <v>26</v>
      </c>
      <c r="M623" t="s">
        <v>27</v>
      </c>
      <c r="N623" t="s">
        <v>28</v>
      </c>
      <c r="O623" t="str">
        <f>_xlfn.XLOOKUP(E623,[1]syr_populatedplaces!$L:$L,[1]syr_populatedplaces!$M:$M)</f>
        <v>C1609</v>
      </c>
      <c r="P623">
        <f>_xlfn.XLOOKUP(E623,[1]syr_populatedplaces!$L:$L,[1]syr_populatedplaces!$AD:$AD)</f>
        <v>36.541076660000002</v>
      </c>
      <c r="Q623">
        <f>_xlfn.XLOOKUP(E623,[1]syr_populatedplaces!$L:$L,[1]syr_populatedplaces!$AC:$AC)</f>
        <v>37.416687009999997</v>
      </c>
    </row>
    <row r="624" spans="2:17">
      <c r="B624" t="s">
        <v>17</v>
      </c>
      <c r="C624" t="s">
        <v>18</v>
      </c>
      <c r="D624" t="s">
        <v>19</v>
      </c>
      <c r="E624" t="s">
        <v>73</v>
      </c>
      <c r="F624" t="s">
        <v>21</v>
      </c>
      <c r="G624" t="s">
        <v>22</v>
      </c>
      <c r="H624" t="s">
        <v>23</v>
      </c>
      <c r="I624">
        <v>1</v>
      </c>
      <c r="J624" t="s">
        <v>24</v>
      </c>
      <c r="K624" t="s">
        <v>25</v>
      </c>
      <c r="L624" t="s">
        <v>26</v>
      </c>
      <c r="M624" t="s">
        <v>27</v>
      </c>
      <c r="N624" t="s">
        <v>28</v>
      </c>
      <c r="O624" t="s">
        <v>74</v>
      </c>
      <c r="P624">
        <v>36.58111572</v>
      </c>
      <c r="Q624">
        <v>37.570922850000002</v>
      </c>
    </row>
    <row r="625" spans="2:17">
      <c r="B625" t="s">
        <v>17</v>
      </c>
      <c r="C625" t="s">
        <v>18</v>
      </c>
      <c r="D625" t="s">
        <v>19</v>
      </c>
      <c r="E625" t="s">
        <v>623</v>
      </c>
      <c r="F625" t="s">
        <v>21</v>
      </c>
      <c r="G625" t="s">
        <v>22</v>
      </c>
      <c r="H625" t="s">
        <v>23</v>
      </c>
      <c r="I625">
        <v>1</v>
      </c>
      <c r="J625" t="s">
        <v>24</v>
      </c>
      <c r="K625" t="s">
        <v>25</v>
      </c>
      <c r="L625" t="s">
        <v>26</v>
      </c>
      <c r="M625" t="s">
        <v>27</v>
      </c>
      <c r="N625" t="s">
        <v>28</v>
      </c>
      <c r="O625" t="str">
        <f>_xlfn.XLOOKUP(E625,[1]syr_populatedplaces!$L:$L,[1]syr_populatedplaces!$M:$M)</f>
        <v>C1514</v>
      </c>
      <c r="P625">
        <f>_xlfn.XLOOKUP(E625,[1]syr_populatedplaces!$L:$L,[1]syr_populatedplaces!$AD:$AD)</f>
        <v>36.549072270000003</v>
      </c>
      <c r="Q625">
        <f>_xlfn.XLOOKUP(E625,[1]syr_populatedplaces!$L:$L,[1]syr_populatedplaces!$AC:$AC)</f>
        <v>36.878112790000003</v>
      </c>
    </row>
    <row r="626" spans="2:17">
      <c r="B626" t="s">
        <v>17</v>
      </c>
      <c r="C626" t="s">
        <v>18</v>
      </c>
      <c r="D626" t="s">
        <v>19</v>
      </c>
      <c r="E626" t="s">
        <v>1776</v>
      </c>
      <c r="F626" t="s">
        <v>21</v>
      </c>
      <c r="G626" t="s">
        <v>22</v>
      </c>
      <c r="H626" t="s">
        <v>23</v>
      </c>
      <c r="I626">
        <v>1</v>
      </c>
      <c r="J626" t="s">
        <v>24</v>
      </c>
      <c r="K626" t="s">
        <v>25</v>
      </c>
      <c r="L626" t="s">
        <v>26</v>
      </c>
      <c r="M626" t="s">
        <v>27</v>
      </c>
      <c r="N626" t="s">
        <v>28</v>
      </c>
      <c r="O626" t="str">
        <f>_xlfn.XLOOKUP(E626,[1]syr_populatedplaces!$L:$L,[1]syr_populatedplaces!$M:$M)</f>
        <v>C1416</v>
      </c>
      <c r="P626">
        <f>_xlfn.XLOOKUP(E626,[1]syr_populatedplaces!$L:$L,[1]syr_populatedplaces!$AD:$AD)</f>
        <v>36.735107419999999</v>
      </c>
      <c r="Q626">
        <f>_xlfn.XLOOKUP(E626,[1]syr_populatedplaces!$L:$L,[1]syr_populatedplaces!$AC:$AC)</f>
        <v>36.858276369999999</v>
      </c>
    </row>
    <row r="627" spans="2:17">
      <c r="B627" t="s">
        <v>17</v>
      </c>
      <c r="C627" t="s">
        <v>18</v>
      </c>
      <c r="D627" t="s">
        <v>19</v>
      </c>
      <c r="E627" t="s">
        <v>76</v>
      </c>
      <c r="F627" t="s">
        <v>21</v>
      </c>
      <c r="G627" t="s">
        <v>22</v>
      </c>
      <c r="H627" t="s">
        <v>23</v>
      </c>
      <c r="I627">
        <v>1</v>
      </c>
      <c r="J627" t="s">
        <v>24</v>
      </c>
      <c r="K627" t="s">
        <v>25</v>
      </c>
      <c r="L627" t="s">
        <v>26</v>
      </c>
      <c r="M627" t="s">
        <v>27</v>
      </c>
      <c r="N627" t="s">
        <v>28</v>
      </c>
      <c r="O627" t="s">
        <v>77</v>
      </c>
      <c r="P627">
        <v>36.719482419999999</v>
      </c>
      <c r="Q627">
        <v>36.84790039</v>
      </c>
    </row>
    <row r="628" spans="2:17">
      <c r="B628" t="s">
        <v>17</v>
      </c>
      <c r="C628" t="s">
        <v>18</v>
      </c>
      <c r="D628" t="s">
        <v>19</v>
      </c>
      <c r="E628" t="s">
        <v>78</v>
      </c>
      <c r="F628" t="s">
        <v>21</v>
      </c>
      <c r="G628" t="s">
        <v>22</v>
      </c>
      <c r="H628" t="s">
        <v>23</v>
      </c>
      <c r="I628">
        <v>1</v>
      </c>
      <c r="J628" t="s">
        <v>24</v>
      </c>
      <c r="K628" t="s">
        <v>25</v>
      </c>
      <c r="L628" t="s">
        <v>26</v>
      </c>
      <c r="M628" t="s">
        <v>27</v>
      </c>
      <c r="N628" t="s">
        <v>28</v>
      </c>
      <c r="O628" t="s">
        <v>79</v>
      </c>
      <c r="P628">
        <v>36.58410645</v>
      </c>
      <c r="Q628">
        <v>36.949707029999999</v>
      </c>
    </row>
    <row r="629" spans="2:17">
      <c r="B629" t="s">
        <v>17</v>
      </c>
      <c r="C629" t="s">
        <v>18</v>
      </c>
      <c r="D629" t="s">
        <v>19</v>
      </c>
      <c r="E629" t="s">
        <v>1777</v>
      </c>
      <c r="F629" t="s">
        <v>21</v>
      </c>
      <c r="G629" t="s">
        <v>22</v>
      </c>
      <c r="H629" t="s">
        <v>23</v>
      </c>
      <c r="I629">
        <v>1</v>
      </c>
      <c r="J629" t="s">
        <v>24</v>
      </c>
      <c r="K629" t="s">
        <v>25</v>
      </c>
      <c r="L629" t="s">
        <v>26</v>
      </c>
      <c r="M629" t="s">
        <v>27</v>
      </c>
      <c r="N629" t="s">
        <v>28</v>
      </c>
      <c r="O629" t="str">
        <f>_xlfn.XLOOKUP(E629,[1]syr_populatedplaces!$L:$L,[1]syr_populatedplaces!$M:$M)</f>
        <v>C1522</v>
      </c>
      <c r="P629">
        <f>_xlfn.XLOOKUP(E629,[1]syr_populatedplaces!$L:$L,[1]syr_populatedplaces!$AD:$AD)</f>
        <v>36.590271000000001</v>
      </c>
      <c r="Q629">
        <f>_xlfn.XLOOKUP(E629,[1]syr_populatedplaces!$L:$L,[1]syr_populatedplaces!$AC:$AC)</f>
        <v>36.859313970000002</v>
      </c>
    </row>
    <row r="630" spans="2:17">
      <c r="B630" t="s">
        <v>17</v>
      </c>
      <c r="C630" t="s">
        <v>18</v>
      </c>
      <c r="D630" t="s">
        <v>19</v>
      </c>
      <c r="E630" t="s">
        <v>1778</v>
      </c>
      <c r="F630" t="s">
        <v>21</v>
      </c>
      <c r="G630" t="s">
        <v>22</v>
      </c>
      <c r="H630" t="s">
        <v>23</v>
      </c>
      <c r="I630">
        <v>1</v>
      </c>
      <c r="J630" t="s">
        <v>24</v>
      </c>
      <c r="K630" t="s">
        <v>25</v>
      </c>
      <c r="L630" t="s">
        <v>26</v>
      </c>
      <c r="M630" t="s">
        <v>27</v>
      </c>
      <c r="N630" t="s">
        <v>28</v>
      </c>
      <c r="O630" t="str">
        <f>_xlfn.XLOOKUP(E630,[1]syr_populatedplaces!$L:$L,[1]syr_populatedplaces!$M:$M)</f>
        <v>C1501</v>
      </c>
      <c r="P630">
        <f>_xlfn.XLOOKUP(E630,[1]syr_populatedplaces!$L:$L,[1]syr_populatedplaces!$AD:$AD)</f>
        <v>36.603698729999998</v>
      </c>
      <c r="Q630">
        <f>_xlfn.XLOOKUP(E630,[1]syr_populatedplaces!$L:$L,[1]syr_populatedplaces!$AC:$AC)</f>
        <v>36.885314940000001</v>
      </c>
    </row>
    <row r="631" spans="2:17">
      <c r="B631" t="s">
        <v>17</v>
      </c>
      <c r="C631" t="s">
        <v>18</v>
      </c>
      <c r="D631" t="s">
        <v>19</v>
      </c>
      <c r="E631" t="s">
        <v>81</v>
      </c>
      <c r="F631" t="s">
        <v>21</v>
      </c>
      <c r="G631" t="s">
        <v>22</v>
      </c>
      <c r="H631" t="s">
        <v>23</v>
      </c>
      <c r="I631">
        <v>1</v>
      </c>
      <c r="J631" t="s">
        <v>24</v>
      </c>
      <c r="K631" t="s">
        <v>25</v>
      </c>
      <c r="L631" t="s">
        <v>26</v>
      </c>
      <c r="M631" t="s">
        <v>27</v>
      </c>
      <c r="N631" t="s">
        <v>28</v>
      </c>
      <c r="O631" t="s">
        <v>82</v>
      </c>
      <c r="P631">
        <v>32.805908199999998</v>
      </c>
      <c r="Q631">
        <v>36.406677250000001</v>
      </c>
    </row>
    <row r="632" spans="2:17">
      <c r="B632" t="s">
        <v>17</v>
      </c>
      <c r="C632" t="s">
        <v>18</v>
      </c>
      <c r="D632" t="s">
        <v>19</v>
      </c>
      <c r="E632" t="s">
        <v>83</v>
      </c>
      <c r="F632" t="s">
        <v>21</v>
      </c>
      <c r="G632" t="s">
        <v>22</v>
      </c>
      <c r="H632" t="s">
        <v>23</v>
      </c>
      <c r="I632">
        <v>1</v>
      </c>
      <c r="J632" t="s">
        <v>24</v>
      </c>
      <c r="K632" t="s">
        <v>25</v>
      </c>
      <c r="L632" t="s">
        <v>26</v>
      </c>
      <c r="M632" t="s">
        <v>27</v>
      </c>
      <c r="N632" t="s">
        <v>28</v>
      </c>
      <c r="O632" t="s">
        <v>84</v>
      </c>
      <c r="P632">
        <v>36.519103999999999</v>
      </c>
      <c r="Q632">
        <v>36.95428467</v>
      </c>
    </row>
    <row r="633" spans="2:17">
      <c r="B633" t="s">
        <v>17</v>
      </c>
      <c r="C633" t="s">
        <v>18</v>
      </c>
      <c r="D633" t="s">
        <v>19</v>
      </c>
      <c r="E633" t="s">
        <v>85</v>
      </c>
      <c r="F633" t="s">
        <v>21</v>
      </c>
      <c r="G633" t="s">
        <v>22</v>
      </c>
      <c r="H633" t="s">
        <v>23</v>
      </c>
      <c r="I633">
        <v>1</v>
      </c>
      <c r="J633" t="s">
        <v>24</v>
      </c>
      <c r="K633" t="s">
        <v>25</v>
      </c>
      <c r="L633" t="s">
        <v>26</v>
      </c>
      <c r="M633" t="s">
        <v>27</v>
      </c>
      <c r="N633" t="s">
        <v>28</v>
      </c>
      <c r="O633" t="str">
        <f>_xlfn.XLOOKUP(E633,[1]syr_populatedplaces!$L:$L,[1]syr_populatedplaces!$M:$M)</f>
        <v>C3396</v>
      </c>
      <c r="P633">
        <f>_xlfn.XLOOKUP(E633,[1]syr_populatedplaces!$L:$L,[1]syr_populatedplaces!$AD:$AD)</f>
        <v>34.88647461</v>
      </c>
      <c r="Q633">
        <f>_xlfn.XLOOKUP(E633,[1]syr_populatedplaces!$L:$L,[1]syr_populatedplaces!$AC:$AC)</f>
        <v>36.434082029999999</v>
      </c>
    </row>
    <row r="634" spans="2:17">
      <c r="B634" t="s">
        <v>17</v>
      </c>
      <c r="C634" t="s">
        <v>18</v>
      </c>
      <c r="D634" t="s">
        <v>19</v>
      </c>
      <c r="E634" t="s">
        <v>1769</v>
      </c>
      <c r="F634" t="s">
        <v>21</v>
      </c>
      <c r="G634" t="s">
        <v>22</v>
      </c>
      <c r="H634" t="s">
        <v>23</v>
      </c>
      <c r="I634">
        <v>1</v>
      </c>
      <c r="J634" t="s">
        <v>24</v>
      </c>
      <c r="K634" t="s">
        <v>25</v>
      </c>
      <c r="L634" t="s">
        <v>26</v>
      </c>
      <c r="M634" t="s">
        <v>27</v>
      </c>
      <c r="N634" t="s">
        <v>28</v>
      </c>
      <c r="O634" t="str">
        <f>_xlfn.XLOOKUP(E634,[1]syr_populatedplaces!$L:$L,[1]syr_populatedplaces!$M:$M)</f>
        <v>C1552</v>
      </c>
      <c r="P634">
        <f>_xlfn.XLOOKUP(E634,[1]syr_populatedplaces!$L:$L,[1]syr_populatedplaces!$AD:$AD)</f>
        <v>36.563293459999997</v>
      </c>
      <c r="Q634">
        <f>_xlfn.XLOOKUP(E634,[1]syr_populatedplaces!$L:$L,[1]syr_populatedplaces!$AC:$AC)</f>
        <v>36.736877440000001</v>
      </c>
    </row>
    <row r="635" spans="2:17">
      <c r="B635" t="s">
        <v>17</v>
      </c>
      <c r="C635" t="s">
        <v>18</v>
      </c>
      <c r="D635" t="s">
        <v>19</v>
      </c>
      <c r="E635" t="s">
        <v>18</v>
      </c>
      <c r="F635" t="s">
        <v>21</v>
      </c>
      <c r="G635" t="s">
        <v>22</v>
      </c>
      <c r="H635" t="s">
        <v>23</v>
      </c>
      <c r="I635">
        <v>1</v>
      </c>
      <c r="J635" t="s">
        <v>24</v>
      </c>
      <c r="K635" t="s">
        <v>25</v>
      </c>
      <c r="L635" t="s">
        <v>26</v>
      </c>
      <c r="M635" t="s">
        <v>27</v>
      </c>
      <c r="N635" t="s">
        <v>28</v>
      </c>
      <c r="O635" t="s">
        <v>62</v>
      </c>
      <c r="P635">
        <v>36.20611572</v>
      </c>
      <c r="Q635">
        <v>37.152526860000002</v>
      </c>
    </row>
    <row r="636" spans="2:17">
      <c r="B636" t="s">
        <v>17</v>
      </c>
      <c r="C636" t="s">
        <v>18</v>
      </c>
      <c r="D636" t="s">
        <v>19</v>
      </c>
      <c r="E636" t="s">
        <v>53</v>
      </c>
      <c r="F636" t="s">
        <v>21</v>
      </c>
      <c r="G636" t="s">
        <v>22</v>
      </c>
      <c r="H636" t="s">
        <v>23</v>
      </c>
      <c r="I636">
        <v>1</v>
      </c>
      <c r="J636" t="s">
        <v>24</v>
      </c>
      <c r="K636" t="s">
        <v>25</v>
      </c>
      <c r="L636" t="s">
        <v>26</v>
      </c>
      <c r="M636" t="s">
        <v>27</v>
      </c>
      <c r="N636" t="s">
        <v>28</v>
      </c>
      <c r="O636" t="s">
        <v>54</v>
      </c>
      <c r="P636">
        <v>36.769714360000002</v>
      </c>
      <c r="Q636">
        <v>36.819274900000003</v>
      </c>
    </row>
    <row r="637" spans="2:17">
      <c r="B637" t="s">
        <v>17</v>
      </c>
      <c r="C637" t="s">
        <v>18</v>
      </c>
      <c r="D637" t="s">
        <v>19</v>
      </c>
      <c r="E637" t="s">
        <v>88</v>
      </c>
      <c r="F637" t="s">
        <v>21</v>
      </c>
      <c r="G637" t="s">
        <v>22</v>
      </c>
      <c r="H637" t="s">
        <v>23</v>
      </c>
      <c r="I637">
        <v>1</v>
      </c>
      <c r="J637" t="s">
        <v>24</v>
      </c>
      <c r="K637" t="s">
        <v>25</v>
      </c>
      <c r="L637" t="s">
        <v>26</v>
      </c>
      <c r="M637" t="s">
        <v>27</v>
      </c>
      <c r="N637" t="s">
        <v>28</v>
      </c>
      <c r="O637" t="s">
        <v>89</v>
      </c>
      <c r="P637">
        <v>36.755126949999998</v>
      </c>
      <c r="Q637">
        <v>36.91247559</v>
      </c>
    </row>
    <row r="638" spans="2:17">
      <c r="B638" t="s">
        <v>17</v>
      </c>
      <c r="C638" t="s">
        <v>18</v>
      </c>
      <c r="D638" t="s">
        <v>19</v>
      </c>
      <c r="E638" t="s">
        <v>53</v>
      </c>
      <c r="F638" t="s">
        <v>21</v>
      </c>
      <c r="G638" t="s">
        <v>22</v>
      </c>
      <c r="H638" t="s">
        <v>23</v>
      </c>
      <c r="I638">
        <v>1</v>
      </c>
      <c r="J638" t="s">
        <v>24</v>
      </c>
      <c r="K638" t="s">
        <v>25</v>
      </c>
      <c r="L638" t="s">
        <v>26</v>
      </c>
      <c r="M638" t="s">
        <v>27</v>
      </c>
      <c r="N638" t="s">
        <v>28</v>
      </c>
      <c r="O638" t="s">
        <v>54</v>
      </c>
      <c r="P638">
        <v>36.769714360000002</v>
      </c>
      <c r="Q638">
        <v>36.819274900000003</v>
      </c>
    </row>
    <row r="639" spans="2:17">
      <c r="B639" t="s">
        <v>17</v>
      </c>
      <c r="C639" t="s">
        <v>18</v>
      </c>
      <c r="D639" t="s">
        <v>19</v>
      </c>
      <c r="E639" t="s">
        <v>654</v>
      </c>
      <c r="F639" t="s">
        <v>21</v>
      </c>
      <c r="G639" t="s">
        <v>22</v>
      </c>
      <c r="H639" t="s">
        <v>23</v>
      </c>
      <c r="I639">
        <v>1</v>
      </c>
      <c r="J639" t="s">
        <v>24</v>
      </c>
      <c r="K639" t="s">
        <v>25</v>
      </c>
      <c r="L639" t="s">
        <v>26</v>
      </c>
      <c r="M639" t="s">
        <v>27</v>
      </c>
      <c r="N639" t="s">
        <v>28</v>
      </c>
      <c r="O639" t="str">
        <f>_xlfn.XLOOKUP(E639,[1]syr_populatedplaces!$L:$L,[1]syr_populatedplaces!$M:$M)</f>
        <v>C1482</v>
      </c>
      <c r="P639">
        <f>_xlfn.XLOOKUP(E639,[1]syr_populatedplaces!$L:$L,[1]syr_populatedplaces!$AD:$AD)</f>
        <v>36.811706540000003</v>
      </c>
      <c r="Q639">
        <f>_xlfn.XLOOKUP(E639,[1]syr_populatedplaces!$L:$L,[1]syr_populatedplaces!$AC:$AC)</f>
        <v>36.742309570000003</v>
      </c>
    </row>
    <row r="640" spans="2:17">
      <c r="B640" t="s">
        <v>17</v>
      </c>
      <c r="C640" t="s">
        <v>18</v>
      </c>
      <c r="D640" t="s">
        <v>19</v>
      </c>
      <c r="E640" t="s">
        <v>1769</v>
      </c>
      <c r="F640" t="s">
        <v>21</v>
      </c>
      <c r="G640" t="s">
        <v>22</v>
      </c>
      <c r="H640" t="s">
        <v>23</v>
      </c>
      <c r="I640">
        <v>1</v>
      </c>
      <c r="J640" t="s">
        <v>24</v>
      </c>
      <c r="K640" t="s">
        <v>25</v>
      </c>
      <c r="L640" t="s">
        <v>26</v>
      </c>
      <c r="M640" t="s">
        <v>27</v>
      </c>
      <c r="N640" t="s">
        <v>28</v>
      </c>
      <c r="O640" t="str">
        <f>_xlfn.XLOOKUP(E640,[1]syr_populatedplaces!$L:$L,[1]syr_populatedplaces!$M:$M)</f>
        <v>C1552</v>
      </c>
      <c r="P640">
        <f>_xlfn.XLOOKUP(E640,[1]syr_populatedplaces!$L:$L,[1]syr_populatedplaces!$AD:$AD)</f>
        <v>36.563293459999997</v>
      </c>
      <c r="Q640">
        <f>_xlfn.XLOOKUP(E640,[1]syr_populatedplaces!$L:$L,[1]syr_populatedplaces!$AC:$AC)</f>
        <v>36.736877440000001</v>
      </c>
    </row>
    <row r="641" spans="2:17">
      <c r="B641" t="s">
        <v>17</v>
      </c>
      <c r="C641" t="s">
        <v>18</v>
      </c>
      <c r="D641" t="s">
        <v>19</v>
      </c>
      <c r="E641" t="s">
        <v>1780</v>
      </c>
      <c r="F641" t="s">
        <v>21</v>
      </c>
      <c r="G641" t="s">
        <v>22</v>
      </c>
      <c r="H641" t="s">
        <v>23</v>
      </c>
      <c r="I641">
        <v>1</v>
      </c>
      <c r="J641" t="s">
        <v>24</v>
      </c>
      <c r="K641" t="s">
        <v>25</v>
      </c>
      <c r="L641" t="s">
        <v>26</v>
      </c>
      <c r="M641" t="s">
        <v>27</v>
      </c>
      <c r="N641" t="s">
        <v>28</v>
      </c>
      <c r="O641" t="str">
        <f>_xlfn.XLOOKUP(E641,[1]syr_populatedplaces!$L:$L,[1]syr_populatedplaces!$M:$M)</f>
        <v>C1555</v>
      </c>
      <c r="P641">
        <f>_xlfn.XLOOKUP(E641,[1]syr_populatedplaces!$L:$L,[1]syr_populatedplaces!$AD:$AD)</f>
        <v>36.51470947</v>
      </c>
      <c r="Q641">
        <f>_xlfn.XLOOKUP(E641,[1]syr_populatedplaces!$L:$L,[1]syr_populatedplaces!$AC:$AC)</f>
        <v>36.70428467</v>
      </c>
    </row>
    <row r="642" spans="2:17">
      <c r="B642" t="s">
        <v>17</v>
      </c>
      <c r="C642" t="s">
        <v>18</v>
      </c>
      <c r="D642" t="s">
        <v>19</v>
      </c>
      <c r="E642" t="s">
        <v>92</v>
      </c>
      <c r="F642" t="s">
        <v>21</v>
      </c>
      <c r="G642" t="s">
        <v>22</v>
      </c>
      <c r="H642" t="s">
        <v>23</v>
      </c>
      <c r="I642">
        <v>1</v>
      </c>
      <c r="J642" t="s">
        <v>24</v>
      </c>
      <c r="K642" t="s">
        <v>25</v>
      </c>
      <c r="L642" t="s">
        <v>26</v>
      </c>
      <c r="M642" t="s">
        <v>27</v>
      </c>
      <c r="N642" t="s">
        <v>28</v>
      </c>
      <c r="O642" t="s">
        <v>93</v>
      </c>
      <c r="P642">
        <v>36.661499020000001</v>
      </c>
      <c r="Q642">
        <v>37.129089360000002</v>
      </c>
    </row>
    <row r="643" spans="2:17" ht="15">
      <c r="B643" t="s">
        <v>17</v>
      </c>
      <c r="C643" t="s">
        <v>18</v>
      </c>
      <c r="D643" t="s">
        <v>19</v>
      </c>
      <c r="E643" t="s">
        <v>33</v>
      </c>
      <c r="F643" t="s">
        <v>96</v>
      </c>
      <c r="G643" t="s">
        <v>97</v>
      </c>
      <c r="H643" t="s">
        <v>98</v>
      </c>
      <c r="I643">
        <v>1</v>
      </c>
      <c r="J643" t="s">
        <v>99</v>
      </c>
      <c r="K643" t="s">
        <v>100</v>
      </c>
      <c r="L643" t="s">
        <v>101</v>
      </c>
      <c r="M643" t="s">
        <v>27</v>
      </c>
      <c r="N643" t="s">
        <v>24</v>
      </c>
      <c r="O643" t="s">
        <v>34</v>
      </c>
      <c r="P643" s="4">
        <v>35.847526999999999</v>
      </c>
      <c r="Q643" s="4">
        <v>36.009757</v>
      </c>
    </row>
    <row r="644" spans="2:17">
      <c r="B644" t="s">
        <v>17</v>
      </c>
      <c r="C644" t="s">
        <v>18</v>
      </c>
      <c r="D644" t="s">
        <v>19</v>
      </c>
      <c r="E644" t="s">
        <v>104</v>
      </c>
      <c r="F644" t="s">
        <v>96</v>
      </c>
      <c r="G644" t="s">
        <v>97</v>
      </c>
      <c r="H644" t="s">
        <v>98</v>
      </c>
      <c r="I644">
        <v>1</v>
      </c>
      <c r="J644" t="s">
        <v>99</v>
      </c>
      <c r="K644" t="s">
        <v>100</v>
      </c>
      <c r="L644" t="s">
        <v>101</v>
      </c>
      <c r="M644" t="s">
        <v>27</v>
      </c>
      <c r="N644" t="s">
        <v>24</v>
      </c>
      <c r="O644" t="s">
        <v>105</v>
      </c>
      <c r="P644">
        <v>35.995727539999997</v>
      </c>
      <c r="Q644">
        <v>36.938476559999998</v>
      </c>
    </row>
    <row r="645" spans="2:17" ht="15">
      <c r="B645" t="s">
        <v>17</v>
      </c>
      <c r="C645" t="s">
        <v>18</v>
      </c>
      <c r="D645" t="s">
        <v>19</v>
      </c>
      <c r="E645" t="s">
        <v>112</v>
      </c>
      <c r="F645" t="s">
        <v>96</v>
      </c>
      <c r="G645" t="s">
        <v>106</v>
      </c>
      <c r="H645" t="s">
        <v>107</v>
      </c>
      <c r="I645">
        <v>1</v>
      </c>
      <c r="J645" t="s">
        <v>108</v>
      </c>
      <c r="K645" t="s">
        <v>109</v>
      </c>
      <c r="L645" t="s">
        <v>110</v>
      </c>
      <c r="M645" t="s">
        <v>27</v>
      </c>
      <c r="N645" t="s">
        <v>111</v>
      </c>
      <c r="O645" t="str">
        <f>_xlfn.XLOOKUP(E645,[1]syr_populatedplaces!$L:$L,[1]syr_populatedplaces!$M:$M)</f>
        <v>C2512</v>
      </c>
      <c r="P645" s="4">
        <v>35.740583000000001</v>
      </c>
      <c r="Q645" s="4">
        <v>36.128281999999999</v>
      </c>
    </row>
    <row r="646" spans="2:17" ht="15">
      <c r="B646" t="s">
        <v>17</v>
      </c>
      <c r="C646" t="s">
        <v>18</v>
      </c>
      <c r="D646" t="s">
        <v>19</v>
      </c>
      <c r="E646" t="s">
        <v>1783</v>
      </c>
      <c r="F646" t="s">
        <v>96</v>
      </c>
      <c r="G646" t="s">
        <v>106</v>
      </c>
      <c r="H646" t="s">
        <v>107</v>
      </c>
      <c r="I646">
        <v>1</v>
      </c>
      <c r="J646" t="s">
        <v>108</v>
      </c>
      <c r="K646" t="s">
        <v>109</v>
      </c>
      <c r="L646" t="s">
        <v>110</v>
      </c>
      <c r="M646" t="s">
        <v>27</v>
      </c>
      <c r="N646" t="s">
        <v>111</v>
      </c>
      <c r="O646" t="str">
        <f>_xlfn.XLOOKUP(E646,[1]syr_populatedplaces!$L:$L,[1]syr_populatedplaces!$M:$M)</f>
        <v>C1573</v>
      </c>
      <c r="P646" s="4">
        <v>35.522411572762699</v>
      </c>
      <c r="Q646" s="4">
        <v>35.772987743881302</v>
      </c>
    </row>
    <row r="647" spans="2:17" ht="15">
      <c r="B647" t="s">
        <v>17</v>
      </c>
      <c r="C647" t="s">
        <v>18</v>
      </c>
      <c r="D647" t="s">
        <v>19</v>
      </c>
      <c r="E647" t="s">
        <v>114</v>
      </c>
      <c r="F647" t="s">
        <v>96</v>
      </c>
      <c r="G647" t="s">
        <v>106</v>
      </c>
      <c r="H647" t="s">
        <v>107</v>
      </c>
      <c r="I647">
        <v>1</v>
      </c>
      <c r="J647" t="s">
        <v>108</v>
      </c>
      <c r="K647" t="s">
        <v>109</v>
      </c>
      <c r="L647" t="s">
        <v>110</v>
      </c>
      <c r="M647" t="s">
        <v>27</v>
      </c>
      <c r="N647" t="s">
        <v>111</v>
      </c>
      <c r="O647" t="str">
        <f>_xlfn.XLOOKUP(E647,[1]syr_populatedplaces!$L:$L,[1]syr_populatedplaces!$M:$M)</f>
        <v>C1574</v>
      </c>
      <c r="P647" s="4">
        <v>35.506031533277699</v>
      </c>
      <c r="Q647" s="4">
        <v>35.814179572442598</v>
      </c>
    </row>
    <row r="648" spans="2:17" ht="15">
      <c r="B648" t="s">
        <v>17</v>
      </c>
      <c r="C648" t="s">
        <v>18</v>
      </c>
      <c r="D648" t="s">
        <v>19</v>
      </c>
      <c r="E648" t="s">
        <v>1777</v>
      </c>
      <c r="F648" t="s">
        <v>96</v>
      </c>
      <c r="G648" t="s">
        <v>106</v>
      </c>
      <c r="H648" t="s">
        <v>107</v>
      </c>
      <c r="I648">
        <v>1</v>
      </c>
      <c r="J648" t="s">
        <v>108</v>
      </c>
      <c r="K648" t="s">
        <v>109</v>
      </c>
      <c r="L648" t="s">
        <v>110</v>
      </c>
      <c r="M648" t="s">
        <v>27</v>
      </c>
      <c r="N648" t="s">
        <v>111</v>
      </c>
      <c r="O648" t="str">
        <f>_xlfn.XLOOKUP(E648,[1]syr_populatedplaces!$L:$L,[1]syr_populatedplaces!$M:$M)</f>
        <v>C1522</v>
      </c>
      <c r="P648" s="4">
        <v>35.599487000000003</v>
      </c>
      <c r="Q648" s="4">
        <v>36.034911999999998</v>
      </c>
    </row>
    <row r="649" spans="2:17" ht="15">
      <c r="B649" t="s">
        <v>17</v>
      </c>
      <c r="C649" t="s">
        <v>18</v>
      </c>
      <c r="D649" t="s">
        <v>19</v>
      </c>
      <c r="E649" t="s">
        <v>624</v>
      </c>
      <c r="F649" t="s">
        <v>96</v>
      </c>
      <c r="G649" t="s">
        <v>106</v>
      </c>
      <c r="H649" t="s">
        <v>107</v>
      </c>
      <c r="I649">
        <v>1</v>
      </c>
      <c r="J649" t="s">
        <v>108</v>
      </c>
      <c r="K649" t="s">
        <v>109</v>
      </c>
      <c r="L649" t="s">
        <v>110</v>
      </c>
      <c r="M649" t="s">
        <v>27</v>
      </c>
      <c r="N649" t="s">
        <v>111</v>
      </c>
      <c r="O649" t="str">
        <f>_xlfn.XLOOKUP(E649,[1]syr_populatedplaces!$L:$L,[1]syr_populatedplaces!$M:$M)</f>
        <v>C8203</v>
      </c>
      <c r="P649" s="4">
        <v>35.688110000000002</v>
      </c>
      <c r="Q649" s="4">
        <v>36.139710000000001</v>
      </c>
    </row>
    <row r="650" spans="2:17" ht="15">
      <c r="B650" t="s">
        <v>17</v>
      </c>
      <c r="C650" t="s">
        <v>18</v>
      </c>
      <c r="D650" t="s">
        <v>19</v>
      </c>
      <c r="E650" t="s">
        <v>116</v>
      </c>
      <c r="F650" t="s">
        <v>96</v>
      </c>
      <c r="G650" t="s">
        <v>106</v>
      </c>
      <c r="H650" t="s">
        <v>107</v>
      </c>
      <c r="I650">
        <v>1</v>
      </c>
      <c r="J650" t="s">
        <v>108</v>
      </c>
      <c r="K650" t="s">
        <v>109</v>
      </c>
      <c r="L650" t="s">
        <v>110</v>
      </c>
      <c r="M650" t="s">
        <v>27</v>
      </c>
      <c r="N650" t="s">
        <v>111</v>
      </c>
      <c r="O650" t="s">
        <v>117</v>
      </c>
      <c r="P650" s="4">
        <v>35.49353</v>
      </c>
      <c r="Q650" s="4">
        <v>36.171875</v>
      </c>
    </row>
    <row r="651" spans="2:17" ht="15">
      <c r="B651" t="s">
        <v>17</v>
      </c>
      <c r="C651" t="s">
        <v>18</v>
      </c>
      <c r="D651" t="s">
        <v>19</v>
      </c>
      <c r="E651" t="s">
        <v>1784</v>
      </c>
      <c r="F651" t="s">
        <v>96</v>
      </c>
      <c r="G651" t="s">
        <v>106</v>
      </c>
      <c r="H651" t="s">
        <v>107</v>
      </c>
      <c r="I651">
        <v>1</v>
      </c>
      <c r="J651" t="s">
        <v>108</v>
      </c>
      <c r="K651" t="s">
        <v>109</v>
      </c>
      <c r="L651" t="s">
        <v>110</v>
      </c>
      <c r="M651" t="s">
        <v>27</v>
      </c>
      <c r="N651" t="s">
        <v>111</v>
      </c>
      <c r="O651" t="str">
        <f>_xlfn.XLOOKUP(E651,[1]syr_populatedplaces!$L:$L,[1]syr_populatedplaces!$M:$M)</f>
        <v>C6414</v>
      </c>
      <c r="P651" s="4">
        <v>35.847526999999999</v>
      </c>
      <c r="Q651" s="4">
        <v>36.009757</v>
      </c>
    </row>
    <row r="652" spans="2:17" ht="15">
      <c r="B652" t="s">
        <v>17</v>
      </c>
      <c r="C652" t="s">
        <v>18</v>
      </c>
      <c r="D652" t="s">
        <v>19</v>
      </c>
      <c r="E652" t="s">
        <v>1785</v>
      </c>
      <c r="F652" t="s">
        <v>96</v>
      </c>
      <c r="G652" t="s">
        <v>106</v>
      </c>
      <c r="H652" t="s">
        <v>107</v>
      </c>
      <c r="I652">
        <v>1</v>
      </c>
      <c r="J652" t="s">
        <v>108</v>
      </c>
      <c r="K652" t="s">
        <v>109</v>
      </c>
      <c r="L652" t="s">
        <v>110</v>
      </c>
      <c r="M652" t="s">
        <v>27</v>
      </c>
      <c r="N652" t="s">
        <v>111</v>
      </c>
      <c r="O652" t="str">
        <f>_xlfn.XLOOKUP(E652,[1]syr_populatedplaces!$L:$L,[1]syr_populatedplaces!$M:$M)</f>
        <v>C7607</v>
      </c>
      <c r="P652" s="4">
        <v>35.650346480191999</v>
      </c>
      <c r="Q652" s="4">
        <v>36.198970406768296</v>
      </c>
    </row>
    <row r="653" spans="2:17" ht="15">
      <c r="B653" t="s">
        <v>17</v>
      </c>
      <c r="C653" t="s">
        <v>18</v>
      </c>
      <c r="D653" t="s">
        <v>19</v>
      </c>
      <c r="E653" t="s">
        <v>120</v>
      </c>
      <c r="F653" t="s">
        <v>96</v>
      </c>
      <c r="G653" t="s">
        <v>106</v>
      </c>
      <c r="H653" t="s">
        <v>107</v>
      </c>
      <c r="I653">
        <v>1</v>
      </c>
      <c r="J653" t="s">
        <v>108</v>
      </c>
      <c r="K653" t="s">
        <v>109</v>
      </c>
      <c r="L653" t="s">
        <v>110</v>
      </c>
      <c r="M653" t="s">
        <v>27</v>
      </c>
      <c r="N653" t="s">
        <v>111</v>
      </c>
      <c r="O653" t="str">
        <f>_xlfn.XLOOKUP(E653,[1]syr_populatedplaces!$L:$L,[1]syr_populatedplaces!$M:$M)</f>
        <v>C8420</v>
      </c>
      <c r="P653" s="4">
        <v>35.703941215407497</v>
      </c>
      <c r="Q653" s="4">
        <v>36.216792113176503</v>
      </c>
    </row>
    <row r="654" spans="2:17">
      <c r="B654" t="s">
        <v>381</v>
      </c>
      <c r="C654" t="s">
        <v>18</v>
      </c>
      <c r="D654" t="s">
        <v>128</v>
      </c>
      <c r="E654" t="s">
        <v>1764</v>
      </c>
      <c r="F654" t="s">
        <v>96</v>
      </c>
      <c r="G654" t="s">
        <v>392</v>
      </c>
      <c r="H654" t="s">
        <v>393</v>
      </c>
      <c r="I654">
        <v>1</v>
      </c>
      <c r="J654" t="s">
        <v>24</v>
      </c>
      <c r="K654" t="s">
        <v>394</v>
      </c>
      <c r="L654" t="s">
        <v>395</v>
      </c>
      <c r="M654" t="s">
        <v>27</v>
      </c>
      <c r="N654" t="s">
        <v>108</v>
      </c>
      <c r="O654" t="s">
        <v>397</v>
      </c>
      <c r="P654">
        <v>36.13787842</v>
      </c>
      <c r="Q654">
        <v>36.828491210000003</v>
      </c>
    </row>
    <row r="655" spans="2:17">
      <c r="B655" t="s">
        <v>381</v>
      </c>
      <c r="C655" t="s">
        <v>18</v>
      </c>
      <c r="D655" t="s">
        <v>128</v>
      </c>
      <c r="E655" s="2" t="s">
        <v>282</v>
      </c>
      <c r="F655" t="s">
        <v>96</v>
      </c>
      <c r="G655" t="s">
        <v>392</v>
      </c>
      <c r="H655" t="s">
        <v>393</v>
      </c>
      <c r="I655">
        <v>1</v>
      </c>
      <c r="J655" t="s">
        <v>24</v>
      </c>
      <c r="K655" t="s">
        <v>394</v>
      </c>
      <c r="L655" t="s">
        <v>395</v>
      </c>
      <c r="M655" t="s">
        <v>27</v>
      </c>
      <c r="N655" t="s">
        <v>108</v>
      </c>
      <c r="O655" t="s">
        <v>399</v>
      </c>
      <c r="P655">
        <v>36.194274900000003</v>
      </c>
      <c r="Q655">
        <v>36.80950928</v>
      </c>
    </row>
    <row r="656" spans="2:17">
      <c r="B656" t="s">
        <v>381</v>
      </c>
      <c r="C656" t="s">
        <v>18</v>
      </c>
      <c r="D656" t="s">
        <v>128</v>
      </c>
      <c r="E656" s="2" t="s">
        <v>285</v>
      </c>
      <c r="F656" t="s">
        <v>96</v>
      </c>
      <c r="G656" t="s">
        <v>392</v>
      </c>
      <c r="H656" t="s">
        <v>393</v>
      </c>
      <c r="I656">
        <v>1</v>
      </c>
      <c r="J656" t="s">
        <v>24</v>
      </c>
      <c r="K656" t="s">
        <v>394</v>
      </c>
      <c r="L656" t="s">
        <v>395</v>
      </c>
      <c r="M656" t="s">
        <v>27</v>
      </c>
      <c r="N656" t="s">
        <v>108</v>
      </c>
      <c r="O656" t="s">
        <v>401</v>
      </c>
      <c r="P656">
        <v>36.369873050000002</v>
      </c>
      <c r="Q656">
        <v>37.515075680000002</v>
      </c>
    </row>
    <row r="657" spans="2:17">
      <c r="B657" t="s">
        <v>381</v>
      </c>
      <c r="C657" t="s">
        <v>18</v>
      </c>
      <c r="D657" t="s">
        <v>128</v>
      </c>
      <c r="E657" s="2" t="s">
        <v>282</v>
      </c>
      <c r="F657" t="s">
        <v>96</v>
      </c>
      <c r="G657" t="s">
        <v>403</v>
      </c>
      <c r="H657" t="s">
        <v>124</v>
      </c>
      <c r="I657">
        <v>1</v>
      </c>
      <c r="J657" t="s">
        <v>108</v>
      </c>
      <c r="K657" t="s">
        <v>404</v>
      </c>
      <c r="L657" t="s">
        <v>405</v>
      </c>
      <c r="M657" t="s">
        <v>27</v>
      </c>
      <c r="N657" t="s">
        <v>108</v>
      </c>
      <c r="O657" t="str">
        <f>_xlfn.XLOOKUP(E657,[1]syr_populatedplaces!$L:$L,[1]syr_populatedplaces!$M:$M)</f>
        <v>C3114</v>
      </c>
      <c r="P657">
        <f>_xlfn.XLOOKUP(E657,[1]syr_populatedplaces!$L:$L,[1]syr_populatedplaces!$AD:$AD)</f>
        <v>35.361877440000001</v>
      </c>
      <c r="Q657">
        <f>_xlfn.XLOOKUP(E657,[1]syr_populatedplaces!$L:$L,[1]syr_populatedplaces!$AC:$AC)</f>
        <v>36.393920899999998</v>
      </c>
    </row>
    <row r="658" spans="2:17">
      <c r="B658" t="s">
        <v>381</v>
      </c>
      <c r="C658" t="s">
        <v>18</v>
      </c>
      <c r="D658" t="s">
        <v>128</v>
      </c>
      <c r="E658" t="s">
        <v>1768</v>
      </c>
      <c r="F658" t="s">
        <v>96</v>
      </c>
      <c r="G658" t="s">
        <v>403</v>
      </c>
      <c r="H658" t="s">
        <v>124</v>
      </c>
      <c r="I658">
        <v>1</v>
      </c>
      <c r="J658" t="s">
        <v>108</v>
      </c>
      <c r="K658" t="s">
        <v>404</v>
      </c>
      <c r="L658" t="s">
        <v>405</v>
      </c>
      <c r="M658" t="s">
        <v>27</v>
      </c>
      <c r="N658" t="s">
        <v>108</v>
      </c>
      <c r="O658" t="s">
        <v>43</v>
      </c>
      <c r="P658">
        <v>36.392517089999998</v>
      </c>
      <c r="Q658">
        <v>36.689697270000003</v>
      </c>
    </row>
    <row r="659" spans="2:17">
      <c r="B659" t="s">
        <v>381</v>
      </c>
      <c r="C659" t="s">
        <v>18</v>
      </c>
      <c r="D659" t="s">
        <v>128</v>
      </c>
      <c r="E659" t="s">
        <v>33</v>
      </c>
      <c r="F659" t="s">
        <v>96</v>
      </c>
      <c r="G659" t="s">
        <v>403</v>
      </c>
      <c r="H659" t="s">
        <v>124</v>
      </c>
      <c r="I659">
        <v>1</v>
      </c>
      <c r="J659" t="s">
        <v>108</v>
      </c>
      <c r="K659" t="s">
        <v>404</v>
      </c>
      <c r="L659" t="s">
        <v>405</v>
      </c>
      <c r="M659" t="s">
        <v>27</v>
      </c>
      <c r="N659" t="s">
        <v>108</v>
      </c>
      <c r="O659" t="s">
        <v>34</v>
      </c>
      <c r="P659">
        <v>36.525878910000003</v>
      </c>
      <c r="Q659">
        <v>37.951110839999998</v>
      </c>
    </row>
    <row r="660" spans="2:17">
      <c r="B660" t="s">
        <v>381</v>
      </c>
      <c r="C660" t="s">
        <v>18</v>
      </c>
      <c r="D660" t="s">
        <v>128</v>
      </c>
      <c r="E660" t="s">
        <v>18</v>
      </c>
      <c r="F660" t="s">
        <v>96</v>
      </c>
      <c r="G660" t="s">
        <v>403</v>
      </c>
      <c r="H660" t="s">
        <v>124</v>
      </c>
      <c r="I660">
        <v>1</v>
      </c>
      <c r="J660" t="s">
        <v>108</v>
      </c>
      <c r="K660" t="s">
        <v>404</v>
      </c>
      <c r="L660" t="s">
        <v>405</v>
      </c>
      <c r="M660" t="s">
        <v>27</v>
      </c>
      <c r="N660" t="s">
        <v>108</v>
      </c>
      <c r="O660" t="s">
        <v>62</v>
      </c>
      <c r="P660">
        <v>36.20611572</v>
      </c>
      <c r="Q660">
        <v>37.152526860000002</v>
      </c>
    </row>
    <row r="661" spans="2:17">
      <c r="B661" t="s">
        <v>381</v>
      </c>
      <c r="C661" t="s">
        <v>18</v>
      </c>
      <c r="D661" t="s">
        <v>128</v>
      </c>
      <c r="E661" t="s">
        <v>406</v>
      </c>
      <c r="F661" t="s">
        <v>96</v>
      </c>
      <c r="G661" t="s">
        <v>403</v>
      </c>
      <c r="H661" t="s">
        <v>124</v>
      </c>
      <c r="I661">
        <v>1</v>
      </c>
      <c r="J661" t="s">
        <v>108</v>
      </c>
      <c r="K661" t="s">
        <v>404</v>
      </c>
      <c r="L661" t="s">
        <v>405</v>
      </c>
      <c r="M661" t="s">
        <v>27</v>
      </c>
      <c r="N661" t="s">
        <v>108</v>
      </c>
      <c r="O661" t="s">
        <v>407</v>
      </c>
      <c r="P661">
        <v>36.589111330000001</v>
      </c>
      <c r="Q661">
        <v>37.268676759999998</v>
      </c>
    </row>
    <row r="662" spans="2:17">
      <c r="B662" t="s">
        <v>381</v>
      </c>
      <c r="C662" t="s">
        <v>18</v>
      </c>
      <c r="D662" t="s">
        <v>128</v>
      </c>
      <c r="E662" t="s">
        <v>31</v>
      </c>
      <c r="F662" t="s">
        <v>96</v>
      </c>
      <c r="G662" t="s">
        <v>414</v>
      </c>
      <c r="H662" t="s">
        <v>415</v>
      </c>
      <c r="I662">
        <v>1</v>
      </c>
      <c r="J662" t="s">
        <v>24</v>
      </c>
      <c r="K662" t="s">
        <v>100</v>
      </c>
      <c r="L662" t="s">
        <v>110</v>
      </c>
      <c r="M662" t="s">
        <v>27</v>
      </c>
      <c r="N662" t="s">
        <v>108</v>
      </c>
      <c r="O662" t="s">
        <v>32</v>
      </c>
      <c r="P662">
        <v>36.814514160000002</v>
      </c>
      <c r="Q662">
        <v>38.0098877</v>
      </c>
    </row>
    <row r="663" spans="2:17">
      <c r="B663" t="s">
        <v>381</v>
      </c>
      <c r="C663" t="s">
        <v>18</v>
      </c>
      <c r="D663" t="s">
        <v>128</v>
      </c>
      <c r="E663" t="s">
        <v>38</v>
      </c>
      <c r="F663" t="s">
        <v>96</v>
      </c>
      <c r="G663" t="s">
        <v>414</v>
      </c>
      <c r="H663" t="s">
        <v>415</v>
      </c>
      <c r="I663">
        <v>1</v>
      </c>
      <c r="J663" t="s">
        <v>24</v>
      </c>
      <c r="K663" t="s">
        <v>100</v>
      </c>
      <c r="L663" t="s">
        <v>110</v>
      </c>
      <c r="M663" t="s">
        <v>27</v>
      </c>
      <c r="N663" t="s">
        <v>108</v>
      </c>
      <c r="O663" t="s">
        <v>39</v>
      </c>
      <c r="P663">
        <v>36.601074220000001</v>
      </c>
      <c r="Q663">
        <v>37.50872803</v>
      </c>
    </row>
    <row r="664" spans="2:17">
      <c r="B664" t="s">
        <v>381</v>
      </c>
      <c r="C664" t="s">
        <v>18</v>
      </c>
      <c r="D664" t="s">
        <v>128</v>
      </c>
      <c r="E664" t="s">
        <v>42</v>
      </c>
      <c r="F664" t="s">
        <v>96</v>
      </c>
      <c r="G664" t="s">
        <v>414</v>
      </c>
      <c r="H664" t="s">
        <v>415</v>
      </c>
      <c r="I664">
        <v>1</v>
      </c>
      <c r="J664" t="s">
        <v>24</v>
      </c>
      <c r="K664" t="s">
        <v>100</v>
      </c>
      <c r="L664" t="s">
        <v>110</v>
      </c>
      <c r="M664" t="s">
        <v>27</v>
      </c>
      <c r="N664" t="s">
        <v>108</v>
      </c>
      <c r="O664" t="s">
        <v>43</v>
      </c>
      <c r="P664">
        <v>36.392517089999998</v>
      </c>
      <c r="Q664">
        <v>36.689697270000003</v>
      </c>
    </row>
    <row r="665" spans="2:17">
      <c r="B665" t="s">
        <v>614</v>
      </c>
      <c r="C665" t="s">
        <v>18</v>
      </c>
      <c r="D665" t="s">
        <v>128</v>
      </c>
      <c r="E665" t="s">
        <v>619</v>
      </c>
      <c r="F665" t="s">
        <v>346</v>
      </c>
      <c r="G665" t="s">
        <v>347</v>
      </c>
      <c r="H665" t="s">
        <v>124</v>
      </c>
      <c r="I665">
        <v>1</v>
      </c>
      <c r="J665" t="s">
        <v>108</v>
      </c>
      <c r="K665" t="s">
        <v>618</v>
      </c>
      <c r="L665" t="s">
        <v>214</v>
      </c>
      <c r="M665" t="s">
        <v>27</v>
      </c>
      <c r="N665" t="s">
        <v>387</v>
      </c>
      <c r="O665" t="s">
        <v>620</v>
      </c>
      <c r="P665">
        <v>36.469116210000003</v>
      </c>
      <c r="Q665">
        <v>36.606689449999998</v>
      </c>
    </row>
    <row r="666" spans="2:17">
      <c r="B666" t="s">
        <v>614</v>
      </c>
      <c r="C666" t="s">
        <v>18</v>
      </c>
      <c r="D666" t="s">
        <v>128</v>
      </c>
      <c r="E666" t="s">
        <v>20</v>
      </c>
      <c r="F666" t="s">
        <v>346</v>
      </c>
      <c r="G666" t="s">
        <v>347</v>
      </c>
      <c r="H666" t="s">
        <v>124</v>
      </c>
      <c r="I666">
        <v>1</v>
      </c>
      <c r="J666" t="s">
        <v>108</v>
      </c>
      <c r="K666" t="s">
        <v>618</v>
      </c>
      <c r="L666" t="s">
        <v>214</v>
      </c>
      <c r="M666" t="s">
        <v>27</v>
      </c>
      <c r="N666" t="s">
        <v>387</v>
      </c>
      <c r="O666" t="s">
        <v>29</v>
      </c>
      <c r="P666">
        <v>36.584899900000003</v>
      </c>
      <c r="Q666">
        <v>37.043273929999998</v>
      </c>
    </row>
    <row r="667" spans="2:17">
      <c r="B667" t="s">
        <v>614</v>
      </c>
      <c r="C667" t="s">
        <v>18</v>
      </c>
      <c r="D667" t="s">
        <v>128</v>
      </c>
      <c r="E667" t="s">
        <v>114</v>
      </c>
      <c r="F667" t="s">
        <v>346</v>
      </c>
      <c r="G667" t="s">
        <v>347</v>
      </c>
      <c r="H667" t="s">
        <v>124</v>
      </c>
      <c r="I667">
        <v>1</v>
      </c>
      <c r="J667" t="s">
        <v>108</v>
      </c>
      <c r="K667" t="s">
        <v>618</v>
      </c>
      <c r="L667" t="s">
        <v>214</v>
      </c>
      <c r="M667" t="s">
        <v>27</v>
      </c>
      <c r="N667" t="s">
        <v>387</v>
      </c>
      <c r="O667" t="str">
        <f>_xlfn.XLOOKUP(E667,[1]syr_populatedplaces!$L:$L,[1]syr_populatedplaces!$M:$M)</f>
        <v>C1574</v>
      </c>
      <c r="P667">
        <f>_xlfn.XLOOKUP(E667,[1]syr_populatedplaces!$L:$L,[1]syr_populatedplaces!$AD:$AD)</f>
        <v>36.621887209999997</v>
      </c>
      <c r="Q667">
        <f>_xlfn.XLOOKUP(E667,[1]syr_populatedplaces!$L:$L,[1]syr_populatedplaces!$AC:$AC)</f>
        <v>37.030700680000002</v>
      </c>
    </row>
    <row r="668" spans="2:17">
      <c r="B668" t="s">
        <v>614</v>
      </c>
      <c r="C668" t="s">
        <v>18</v>
      </c>
      <c r="D668" t="s">
        <v>128</v>
      </c>
      <c r="E668" t="s">
        <v>63</v>
      </c>
      <c r="F668" t="s">
        <v>346</v>
      </c>
      <c r="G668" t="s">
        <v>347</v>
      </c>
      <c r="H668" t="s">
        <v>124</v>
      </c>
      <c r="I668">
        <v>1</v>
      </c>
      <c r="J668" t="s">
        <v>108</v>
      </c>
      <c r="K668" t="s">
        <v>618</v>
      </c>
      <c r="L668" t="s">
        <v>214</v>
      </c>
      <c r="M668" t="s">
        <v>27</v>
      </c>
      <c r="N668" t="s">
        <v>387</v>
      </c>
      <c r="O668" t="s">
        <v>64</v>
      </c>
      <c r="P668">
        <v>36.285095220000002</v>
      </c>
      <c r="Q668">
        <v>36.851074220000001</v>
      </c>
    </row>
    <row r="669" spans="2:17">
      <c r="B669" t="s">
        <v>614</v>
      </c>
      <c r="C669" t="s">
        <v>18</v>
      </c>
      <c r="D669" t="s">
        <v>128</v>
      </c>
      <c r="E669" t="s">
        <v>31</v>
      </c>
      <c r="F669" t="s">
        <v>346</v>
      </c>
      <c r="G669" t="s">
        <v>347</v>
      </c>
      <c r="H669" t="s">
        <v>124</v>
      </c>
      <c r="I669">
        <v>1</v>
      </c>
      <c r="J669" t="s">
        <v>108</v>
      </c>
      <c r="K669" t="s">
        <v>618</v>
      </c>
      <c r="L669" t="s">
        <v>214</v>
      </c>
      <c r="M669" t="s">
        <v>27</v>
      </c>
      <c r="N669" t="s">
        <v>387</v>
      </c>
      <c r="O669" t="s">
        <v>32</v>
      </c>
      <c r="P669">
        <v>36.814514160000002</v>
      </c>
      <c r="Q669">
        <v>38.0098877</v>
      </c>
    </row>
    <row r="670" spans="2:17">
      <c r="B670" t="s">
        <v>614</v>
      </c>
      <c r="C670" t="s">
        <v>18</v>
      </c>
      <c r="D670" t="s">
        <v>128</v>
      </c>
      <c r="E670" t="s">
        <v>37</v>
      </c>
      <c r="F670" t="s">
        <v>346</v>
      </c>
      <c r="G670" t="s">
        <v>347</v>
      </c>
      <c r="H670" t="s">
        <v>124</v>
      </c>
      <c r="I670">
        <v>1</v>
      </c>
      <c r="J670" t="s">
        <v>108</v>
      </c>
      <c r="K670" t="s">
        <v>618</v>
      </c>
      <c r="L670" t="s">
        <v>214</v>
      </c>
      <c r="M670" t="s">
        <v>27</v>
      </c>
      <c r="N670" t="s">
        <v>387</v>
      </c>
      <c r="O670" t="str">
        <f>_xlfn.XLOOKUP(E670,[1]syr_populatedplaces!$L:$L,[1]syr_populatedplaces!$M:$M)</f>
        <v>C2220</v>
      </c>
      <c r="P670">
        <f>_xlfn.XLOOKUP(E670,[1]syr_populatedplaces!$L:$L,[1]syr_populatedplaces!$AD:$AD)</f>
        <v>36.750671390000001</v>
      </c>
      <c r="Q670">
        <f>_xlfn.XLOOKUP(E670,[1]syr_populatedplaces!$L:$L,[1]syr_populatedplaces!$AC:$AC)</f>
        <v>37.807312009999997</v>
      </c>
    </row>
    <row r="671" spans="2:17">
      <c r="B671" t="s">
        <v>614</v>
      </c>
      <c r="C671" t="s">
        <v>18</v>
      </c>
      <c r="D671" t="s">
        <v>128</v>
      </c>
      <c r="E671" t="s">
        <v>47</v>
      </c>
      <c r="F671" t="s">
        <v>346</v>
      </c>
      <c r="G671" t="s">
        <v>347</v>
      </c>
      <c r="H671" t="s">
        <v>124</v>
      </c>
      <c r="I671">
        <v>1</v>
      </c>
      <c r="J671" t="s">
        <v>108</v>
      </c>
      <c r="K671" t="s">
        <v>618</v>
      </c>
      <c r="L671" t="s">
        <v>214</v>
      </c>
      <c r="M671" t="s">
        <v>27</v>
      </c>
      <c r="N671" t="s">
        <v>387</v>
      </c>
      <c r="O671" t="s">
        <v>48</v>
      </c>
      <c r="P671">
        <v>36.676879880000001</v>
      </c>
      <c r="Q671">
        <v>36.664489750000001</v>
      </c>
    </row>
    <row r="672" spans="2:17">
      <c r="B672" t="s">
        <v>614</v>
      </c>
      <c r="C672" t="s">
        <v>18</v>
      </c>
      <c r="D672" t="s">
        <v>128</v>
      </c>
      <c r="E672" t="s">
        <v>623</v>
      </c>
      <c r="F672" t="s">
        <v>346</v>
      </c>
      <c r="G672" t="s">
        <v>347</v>
      </c>
      <c r="H672" t="s">
        <v>124</v>
      </c>
      <c r="I672">
        <v>1</v>
      </c>
      <c r="J672" t="s">
        <v>108</v>
      </c>
      <c r="K672" t="s">
        <v>618</v>
      </c>
      <c r="L672" t="s">
        <v>214</v>
      </c>
      <c r="M672" t="s">
        <v>27</v>
      </c>
      <c r="N672" t="s">
        <v>387</v>
      </c>
      <c r="O672" t="str">
        <f>_xlfn.XLOOKUP(E672,[1]syr_populatedplaces!$L:$L,[1]syr_populatedplaces!$M:$M)</f>
        <v>C1514</v>
      </c>
      <c r="P672">
        <f>_xlfn.XLOOKUP(E672,[1]syr_populatedplaces!$L:$L,[1]syr_populatedplaces!$AD:$AD)</f>
        <v>36.549072270000003</v>
      </c>
      <c r="Q672">
        <f>_xlfn.XLOOKUP(E672,[1]syr_populatedplaces!$L:$L,[1]syr_populatedplaces!$AC:$AC)</f>
        <v>36.878112790000003</v>
      </c>
    </row>
    <row r="673" spans="2:17">
      <c r="B673" t="s">
        <v>614</v>
      </c>
      <c r="C673" t="s">
        <v>18</v>
      </c>
      <c r="D673" t="s">
        <v>128</v>
      </c>
      <c r="E673" t="s">
        <v>624</v>
      </c>
      <c r="F673" t="s">
        <v>346</v>
      </c>
      <c r="G673" t="s">
        <v>347</v>
      </c>
      <c r="H673" t="s">
        <v>124</v>
      </c>
      <c r="I673">
        <v>1</v>
      </c>
      <c r="J673" t="s">
        <v>108</v>
      </c>
      <c r="K673" t="s">
        <v>618</v>
      </c>
      <c r="L673" t="s">
        <v>214</v>
      </c>
      <c r="M673" t="s">
        <v>27</v>
      </c>
      <c r="N673" t="s">
        <v>387</v>
      </c>
      <c r="O673" t="s">
        <v>625</v>
      </c>
      <c r="P673">
        <v>36.556884770000003</v>
      </c>
      <c r="Q673">
        <v>37.652893069999998</v>
      </c>
    </row>
    <row r="674" spans="2:17">
      <c r="B674" t="s">
        <v>614</v>
      </c>
      <c r="C674" t="s">
        <v>18</v>
      </c>
      <c r="D674" t="s">
        <v>128</v>
      </c>
      <c r="E674" t="s">
        <v>626</v>
      </c>
      <c r="F674" t="s">
        <v>346</v>
      </c>
      <c r="G674" t="s">
        <v>347</v>
      </c>
      <c r="H674" t="s">
        <v>124</v>
      </c>
      <c r="I674">
        <v>1</v>
      </c>
      <c r="J674" t="s">
        <v>108</v>
      </c>
      <c r="K674" t="s">
        <v>618</v>
      </c>
      <c r="L674" t="s">
        <v>214</v>
      </c>
      <c r="M674" t="s">
        <v>27</v>
      </c>
      <c r="N674" t="s">
        <v>387</v>
      </c>
      <c r="O674" t="s">
        <v>627</v>
      </c>
      <c r="P674">
        <v>35.095520020000002</v>
      </c>
      <c r="Q674">
        <v>36.690673830000001</v>
      </c>
    </row>
    <row r="675" spans="2:17">
      <c r="B675" t="s">
        <v>614</v>
      </c>
      <c r="C675" t="s">
        <v>18</v>
      </c>
      <c r="D675" t="s">
        <v>128</v>
      </c>
      <c r="E675" t="s">
        <v>33</v>
      </c>
      <c r="F675" t="s">
        <v>346</v>
      </c>
      <c r="G675" t="s">
        <v>347</v>
      </c>
      <c r="H675" t="s">
        <v>124</v>
      </c>
      <c r="I675">
        <v>1</v>
      </c>
      <c r="J675" t="s">
        <v>108</v>
      </c>
      <c r="K675" t="s">
        <v>618</v>
      </c>
      <c r="L675" t="s">
        <v>214</v>
      </c>
      <c r="M675" t="s">
        <v>27</v>
      </c>
      <c r="N675" t="s">
        <v>387</v>
      </c>
      <c r="O675" t="s">
        <v>34</v>
      </c>
      <c r="P675">
        <v>36.525878910000003</v>
      </c>
      <c r="Q675">
        <v>37.951110839999998</v>
      </c>
    </row>
    <row r="676" spans="2:17">
      <c r="B676" t="s">
        <v>614</v>
      </c>
      <c r="C676" t="s">
        <v>18</v>
      </c>
      <c r="D676" t="s">
        <v>128</v>
      </c>
      <c r="E676" t="s">
        <v>400</v>
      </c>
      <c r="F676" t="s">
        <v>346</v>
      </c>
      <c r="G676" t="s">
        <v>347</v>
      </c>
      <c r="H676" t="s">
        <v>124</v>
      </c>
      <c r="I676">
        <v>1</v>
      </c>
      <c r="J676" t="s">
        <v>108</v>
      </c>
      <c r="K676" t="s">
        <v>618</v>
      </c>
      <c r="L676" t="s">
        <v>214</v>
      </c>
      <c r="M676" t="s">
        <v>27</v>
      </c>
      <c r="N676" t="s">
        <v>387</v>
      </c>
      <c r="O676" t="s">
        <v>401</v>
      </c>
      <c r="P676">
        <v>36.369873050000002</v>
      </c>
      <c r="Q676">
        <v>37.515075680000002</v>
      </c>
    </row>
    <row r="677" spans="2:17">
      <c r="B677" t="s">
        <v>614</v>
      </c>
      <c r="C677" t="s">
        <v>18</v>
      </c>
      <c r="D677" t="s">
        <v>128</v>
      </c>
      <c r="E677" t="s">
        <v>18</v>
      </c>
      <c r="F677" t="s">
        <v>346</v>
      </c>
      <c r="G677" t="s">
        <v>347</v>
      </c>
      <c r="H677" t="s">
        <v>124</v>
      </c>
      <c r="I677">
        <v>1</v>
      </c>
      <c r="J677" t="s">
        <v>108</v>
      </c>
      <c r="K677" t="s">
        <v>618</v>
      </c>
      <c r="L677" t="s">
        <v>214</v>
      </c>
      <c r="M677" t="s">
        <v>27</v>
      </c>
      <c r="N677" t="s">
        <v>387</v>
      </c>
      <c r="O677" t="s">
        <v>62</v>
      </c>
      <c r="P677">
        <v>36.20611572</v>
      </c>
      <c r="Q677">
        <v>37.152526860000002</v>
      </c>
    </row>
    <row r="678" spans="2:17">
      <c r="B678" t="s">
        <v>614</v>
      </c>
      <c r="C678" t="s">
        <v>18</v>
      </c>
      <c r="D678" t="s">
        <v>128</v>
      </c>
      <c r="E678" t="s">
        <v>30</v>
      </c>
      <c r="F678" t="s">
        <v>346</v>
      </c>
      <c r="G678" t="s">
        <v>347</v>
      </c>
      <c r="H678" t="s">
        <v>124</v>
      </c>
      <c r="I678">
        <v>1</v>
      </c>
      <c r="J678" t="s">
        <v>108</v>
      </c>
      <c r="K678" t="s">
        <v>618</v>
      </c>
      <c r="L678" t="s">
        <v>214</v>
      </c>
      <c r="M678" t="s">
        <v>27</v>
      </c>
      <c r="N678" t="s">
        <v>387</v>
      </c>
      <c r="O678" t="str">
        <f>_xlfn.XLOOKUP(E678,[1]syr_populatedplaces!$L:$L,[1]syr_populatedplaces!$M:$M)</f>
        <v>C1131</v>
      </c>
      <c r="P678">
        <f>_xlfn.XLOOKUP(E678,[1]syr_populatedplaces!$L:$L,[1]syr_populatedplaces!$AD:$AD)</f>
        <v>36.226074220000001</v>
      </c>
      <c r="Q678">
        <f>_xlfn.XLOOKUP(E678,[1]syr_populatedplaces!$L:$L,[1]syr_populatedplaces!$AC:$AC)</f>
        <v>37.326110839999998</v>
      </c>
    </row>
    <row r="679" spans="2:17">
      <c r="B679" t="s">
        <v>614</v>
      </c>
      <c r="C679" t="s">
        <v>18</v>
      </c>
      <c r="D679" t="s">
        <v>128</v>
      </c>
      <c r="E679" t="s">
        <v>42</v>
      </c>
      <c r="F679" t="s">
        <v>346</v>
      </c>
      <c r="G679" t="s">
        <v>347</v>
      </c>
      <c r="H679" t="s">
        <v>124</v>
      </c>
      <c r="I679">
        <v>1</v>
      </c>
      <c r="J679" t="s">
        <v>108</v>
      </c>
      <c r="K679" t="s">
        <v>618</v>
      </c>
      <c r="L679" t="s">
        <v>214</v>
      </c>
      <c r="M679" t="s">
        <v>27</v>
      </c>
      <c r="N679" t="s">
        <v>387</v>
      </c>
      <c r="O679" t="s">
        <v>43</v>
      </c>
      <c r="P679">
        <v>36.392517089999998</v>
      </c>
      <c r="Q679">
        <v>36.689697270000003</v>
      </c>
    </row>
    <row r="680" spans="2:17">
      <c r="B680" t="s">
        <v>614</v>
      </c>
      <c r="C680" t="s">
        <v>18</v>
      </c>
      <c r="D680" t="s">
        <v>128</v>
      </c>
      <c r="E680" t="s">
        <v>47</v>
      </c>
      <c r="F680" t="s">
        <v>346</v>
      </c>
      <c r="G680" t="s">
        <v>347</v>
      </c>
      <c r="H680" t="s">
        <v>124</v>
      </c>
      <c r="I680">
        <v>1</v>
      </c>
      <c r="J680" t="s">
        <v>108</v>
      </c>
      <c r="K680" t="s">
        <v>618</v>
      </c>
      <c r="L680" t="s">
        <v>214</v>
      </c>
      <c r="M680" t="s">
        <v>27</v>
      </c>
      <c r="N680" t="s">
        <v>387</v>
      </c>
      <c r="O680" t="s">
        <v>48</v>
      </c>
      <c r="P680">
        <v>36.676879880000001</v>
      </c>
      <c r="Q680">
        <v>36.664489750000001</v>
      </c>
    </row>
    <row r="681" spans="2:17">
      <c r="B681" t="s">
        <v>614</v>
      </c>
      <c r="C681" t="s">
        <v>18</v>
      </c>
      <c r="D681" t="s">
        <v>128</v>
      </c>
      <c r="E681" t="s">
        <v>628</v>
      </c>
      <c r="F681" t="s">
        <v>346</v>
      </c>
      <c r="G681" t="s">
        <v>347</v>
      </c>
      <c r="H681" t="s">
        <v>124</v>
      </c>
      <c r="I681">
        <v>1</v>
      </c>
      <c r="J681" t="s">
        <v>108</v>
      </c>
      <c r="K681" t="s">
        <v>618</v>
      </c>
      <c r="L681" t="s">
        <v>214</v>
      </c>
      <c r="M681" t="s">
        <v>27</v>
      </c>
      <c r="N681" t="s">
        <v>387</v>
      </c>
      <c r="O681" t="s">
        <v>629</v>
      </c>
      <c r="P681">
        <v>36.626708979999997</v>
      </c>
      <c r="Q681">
        <v>36.76171875</v>
      </c>
    </row>
    <row r="682" spans="2:17">
      <c r="B682" t="s">
        <v>614</v>
      </c>
      <c r="C682" t="s">
        <v>18</v>
      </c>
      <c r="D682" t="s">
        <v>128</v>
      </c>
      <c r="E682" t="s">
        <v>20</v>
      </c>
      <c r="F682" t="s">
        <v>346</v>
      </c>
      <c r="G682" t="s">
        <v>347</v>
      </c>
      <c r="H682" t="s">
        <v>124</v>
      </c>
      <c r="I682">
        <v>1</v>
      </c>
      <c r="J682" t="s">
        <v>108</v>
      </c>
      <c r="K682" t="s">
        <v>618</v>
      </c>
      <c r="L682" t="s">
        <v>214</v>
      </c>
      <c r="M682" t="s">
        <v>27</v>
      </c>
      <c r="N682" t="s">
        <v>387</v>
      </c>
      <c r="O682" t="s">
        <v>29</v>
      </c>
      <c r="P682">
        <v>36.584899900000003</v>
      </c>
      <c r="Q682">
        <v>37.043273929999998</v>
      </c>
    </row>
    <row r="683" spans="2:17">
      <c r="B683" t="s">
        <v>614</v>
      </c>
      <c r="C683" t="s">
        <v>18</v>
      </c>
      <c r="D683" t="s">
        <v>128</v>
      </c>
      <c r="E683" t="s">
        <v>630</v>
      </c>
      <c r="F683" t="s">
        <v>346</v>
      </c>
      <c r="G683" t="s">
        <v>347</v>
      </c>
      <c r="H683" t="s">
        <v>124</v>
      </c>
      <c r="I683">
        <v>1</v>
      </c>
      <c r="J683" t="s">
        <v>108</v>
      </c>
      <c r="K683" t="s">
        <v>618</v>
      </c>
      <c r="L683" t="s">
        <v>214</v>
      </c>
      <c r="M683" t="s">
        <v>27</v>
      </c>
      <c r="N683" t="s">
        <v>387</v>
      </c>
      <c r="O683" t="s">
        <v>631</v>
      </c>
      <c r="P683">
        <v>36.288696289999997</v>
      </c>
      <c r="Q683">
        <v>37.159728999999999</v>
      </c>
    </row>
    <row r="684" spans="2:17">
      <c r="B684" t="s">
        <v>614</v>
      </c>
      <c r="C684" t="s">
        <v>18</v>
      </c>
      <c r="D684" t="s">
        <v>128</v>
      </c>
      <c r="E684" t="s">
        <v>38</v>
      </c>
      <c r="F684" t="s">
        <v>346</v>
      </c>
      <c r="G684" t="s">
        <v>347</v>
      </c>
      <c r="H684" t="s">
        <v>124</v>
      </c>
      <c r="I684">
        <v>1</v>
      </c>
      <c r="J684" t="s">
        <v>108</v>
      </c>
      <c r="K684" t="s">
        <v>618</v>
      </c>
      <c r="L684" t="s">
        <v>214</v>
      </c>
      <c r="M684" t="s">
        <v>27</v>
      </c>
      <c r="N684" t="s">
        <v>387</v>
      </c>
      <c r="O684" t="s">
        <v>39</v>
      </c>
      <c r="P684">
        <v>36.601074220000001</v>
      </c>
      <c r="Q684">
        <v>37.50872803</v>
      </c>
    </row>
    <row r="685" spans="2:17">
      <c r="B685" t="s">
        <v>614</v>
      </c>
      <c r="C685" t="s">
        <v>18</v>
      </c>
      <c r="D685" t="s">
        <v>128</v>
      </c>
      <c r="E685" t="s">
        <v>633</v>
      </c>
      <c r="F685" t="s">
        <v>346</v>
      </c>
      <c r="G685" t="s">
        <v>347</v>
      </c>
      <c r="H685" t="s">
        <v>124</v>
      </c>
      <c r="I685">
        <v>1</v>
      </c>
      <c r="J685" t="s">
        <v>108</v>
      </c>
      <c r="K685" t="s">
        <v>618</v>
      </c>
      <c r="L685" t="s">
        <v>214</v>
      </c>
      <c r="M685" t="s">
        <v>27</v>
      </c>
      <c r="N685" t="s">
        <v>387</v>
      </c>
      <c r="O685" t="s">
        <v>634</v>
      </c>
      <c r="P685">
        <v>36.541076660000002</v>
      </c>
      <c r="Q685">
        <v>37.416687009999997</v>
      </c>
    </row>
    <row r="686" spans="2:17">
      <c r="B686" t="s">
        <v>614</v>
      </c>
      <c r="C686" t="s">
        <v>18</v>
      </c>
      <c r="D686" t="s">
        <v>128</v>
      </c>
      <c r="E686" t="s">
        <v>633</v>
      </c>
      <c r="F686" t="s">
        <v>346</v>
      </c>
      <c r="G686" t="s">
        <v>347</v>
      </c>
      <c r="H686" t="s">
        <v>124</v>
      </c>
      <c r="I686">
        <v>1</v>
      </c>
      <c r="J686" t="s">
        <v>108</v>
      </c>
      <c r="K686" t="s">
        <v>618</v>
      </c>
      <c r="L686" t="s">
        <v>214</v>
      </c>
      <c r="M686" t="s">
        <v>27</v>
      </c>
      <c r="N686" t="s">
        <v>387</v>
      </c>
      <c r="O686" t="s">
        <v>634</v>
      </c>
      <c r="P686">
        <v>36.541076660000002</v>
      </c>
      <c r="Q686">
        <v>37.416687009999997</v>
      </c>
    </row>
    <row r="687" spans="2:17">
      <c r="B687" t="s">
        <v>614</v>
      </c>
      <c r="C687" t="s">
        <v>18</v>
      </c>
      <c r="D687" t="s">
        <v>128</v>
      </c>
      <c r="E687" t="s">
        <v>70</v>
      </c>
      <c r="F687" t="s">
        <v>346</v>
      </c>
      <c r="G687" t="s">
        <v>347</v>
      </c>
      <c r="H687" t="s">
        <v>124</v>
      </c>
      <c r="I687">
        <v>1</v>
      </c>
      <c r="J687" t="s">
        <v>108</v>
      </c>
      <c r="K687" t="s">
        <v>618</v>
      </c>
      <c r="L687" t="s">
        <v>214</v>
      </c>
      <c r="M687" t="s">
        <v>27</v>
      </c>
      <c r="N687" t="s">
        <v>387</v>
      </c>
      <c r="O687" t="s">
        <v>71</v>
      </c>
      <c r="P687">
        <v>36.509704589999998</v>
      </c>
      <c r="Q687">
        <v>37.335876470000002</v>
      </c>
    </row>
    <row r="688" spans="2:17">
      <c r="B688" t="s">
        <v>614</v>
      </c>
      <c r="C688" t="s">
        <v>18</v>
      </c>
      <c r="D688" t="s">
        <v>128</v>
      </c>
      <c r="E688" t="s">
        <v>633</v>
      </c>
      <c r="F688" t="s">
        <v>346</v>
      </c>
      <c r="G688" t="s">
        <v>347</v>
      </c>
      <c r="H688" t="s">
        <v>124</v>
      </c>
      <c r="I688">
        <v>1</v>
      </c>
      <c r="J688" t="s">
        <v>108</v>
      </c>
      <c r="K688" t="s">
        <v>618</v>
      </c>
      <c r="L688" t="s">
        <v>214</v>
      </c>
      <c r="M688" t="s">
        <v>27</v>
      </c>
      <c r="N688" t="s">
        <v>387</v>
      </c>
      <c r="O688" t="s">
        <v>634</v>
      </c>
      <c r="P688">
        <v>36.541076660000002</v>
      </c>
      <c r="Q688">
        <v>37.416687009999997</v>
      </c>
    </row>
    <row r="689" spans="2:17">
      <c r="B689" t="s">
        <v>614</v>
      </c>
      <c r="C689" t="s">
        <v>18</v>
      </c>
      <c r="D689" t="s">
        <v>128</v>
      </c>
      <c r="E689" t="s">
        <v>20</v>
      </c>
      <c r="F689" t="s">
        <v>346</v>
      </c>
      <c r="G689" t="s">
        <v>347</v>
      </c>
      <c r="H689" t="s">
        <v>124</v>
      </c>
      <c r="I689">
        <v>1</v>
      </c>
      <c r="J689" t="s">
        <v>108</v>
      </c>
      <c r="K689" t="s">
        <v>618</v>
      </c>
      <c r="L689" t="s">
        <v>214</v>
      </c>
      <c r="M689" t="s">
        <v>27</v>
      </c>
      <c r="N689" t="s">
        <v>387</v>
      </c>
      <c r="O689" t="s">
        <v>29</v>
      </c>
      <c r="P689">
        <v>36.584899900000003</v>
      </c>
      <c r="Q689">
        <v>37.043273929999998</v>
      </c>
    </row>
    <row r="690" spans="2:17">
      <c r="B690" t="s">
        <v>614</v>
      </c>
      <c r="C690" t="s">
        <v>18</v>
      </c>
      <c r="D690" t="s">
        <v>128</v>
      </c>
      <c r="E690" t="s">
        <v>33</v>
      </c>
      <c r="F690" t="s">
        <v>346</v>
      </c>
      <c r="G690" t="s">
        <v>347</v>
      </c>
      <c r="H690" t="s">
        <v>124</v>
      </c>
      <c r="I690">
        <v>1</v>
      </c>
      <c r="J690" t="s">
        <v>108</v>
      </c>
      <c r="K690" t="s">
        <v>618</v>
      </c>
      <c r="L690" t="s">
        <v>214</v>
      </c>
      <c r="M690" t="s">
        <v>27</v>
      </c>
      <c r="N690" t="s">
        <v>387</v>
      </c>
      <c r="O690" t="s">
        <v>34</v>
      </c>
      <c r="P690">
        <v>36.525878910000003</v>
      </c>
      <c r="Q690">
        <v>37.951110839999998</v>
      </c>
    </row>
    <row r="691" spans="2:17">
      <c r="B691" t="s">
        <v>614</v>
      </c>
      <c r="C691" t="s">
        <v>18</v>
      </c>
      <c r="D691" t="s">
        <v>128</v>
      </c>
      <c r="E691" t="s">
        <v>33</v>
      </c>
      <c r="F691" t="s">
        <v>346</v>
      </c>
      <c r="G691" t="s">
        <v>347</v>
      </c>
      <c r="H691" t="s">
        <v>124</v>
      </c>
      <c r="I691">
        <v>1</v>
      </c>
      <c r="J691" t="s">
        <v>108</v>
      </c>
      <c r="K691" t="s">
        <v>618</v>
      </c>
      <c r="L691" t="s">
        <v>214</v>
      </c>
      <c r="M691" t="s">
        <v>27</v>
      </c>
      <c r="N691" t="s">
        <v>387</v>
      </c>
      <c r="O691" t="s">
        <v>34</v>
      </c>
      <c r="P691">
        <v>36.525878910000003</v>
      </c>
      <c r="Q691">
        <v>37.951110839999998</v>
      </c>
    </row>
    <row r="692" spans="2:17">
      <c r="B692" t="s">
        <v>614</v>
      </c>
      <c r="C692" t="s">
        <v>18</v>
      </c>
      <c r="D692" t="s">
        <v>128</v>
      </c>
      <c r="E692" t="s">
        <v>624</v>
      </c>
      <c r="F692" t="s">
        <v>346</v>
      </c>
      <c r="G692" t="s">
        <v>347</v>
      </c>
      <c r="H692" t="s">
        <v>124</v>
      </c>
      <c r="I692">
        <v>1</v>
      </c>
      <c r="J692" t="s">
        <v>108</v>
      </c>
      <c r="K692" t="s">
        <v>618</v>
      </c>
      <c r="L692" t="s">
        <v>214</v>
      </c>
      <c r="M692" t="s">
        <v>27</v>
      </c>
      <c r="N692" t="s">
        <v>387</v>
      </c>
      <c r="O692" t="s">
        <v>625</v>
      </c>
      <c r="P692">
        <v>36.556884770000003</v>
      </c>
      <c r="Q692">
        <v>37.652893069999998</v>
      </c>
    </row>
    <row r="693" spans="2:17">
      <c r="B693" t="s">
        <v>614</v>
      </c>
      <c r="C693" t="s">
        <v>18</v>
      </c>
      <c r="D693" t="s">
        <v>128</v>
      </c>
      <c r="E693" t="s">
        <v>33</v>
      </c>
      <c r="F693" t="s">
        <v>346</v>
      </c>
      <c r="G693" t="s">
        <v>347</v>
      </c>
      <c r="H693" t="s">
        <v>124</v>
      </c>
      <c r="I693">
        <v>1</v>
      </c>
      <c r="J693" t="s">
        <v>108</v>
      </c>
      <c r="K693" t="s">
        <v>618</v>
      </c>
      <c r="L693" t="s">
        <v>214</v>
      </c>
      <c r="M693" t="s">
        <v>27</v>
      </c>
      <c r="N693" t="s">
        <v>387</v>
      </c>
      <c r="O693" t="s">
        <v>34</v>
      </c>
      <c r="P693">
        <v>36.525878910000003</v>
      </c>
      <c r="Q693">
        <v>37.951110839999998</v>
      </c>
    </row>
    <row r="694" spans="2:17">
      <c r="B694" t="s">
        <v>614</v>
      </c>
      <c r="C694" t="s">
        <v>18</v>
      </c>
      <c r="D694" t="s">
        <v>128</v>
      </c>
      <c r="E694" t="s">
        <v>267</v>
      </c>
      <c r="F694" t="s">
        <v>346</v>
      </c>
      <c r="G694" t="s">
        <v>347</v>
      </c>
      <c r="H694" t="s">
        <v>124</v>
      </c>
      <c r="I694">
        <v>1</v>
      </c>
      <c r="J694" t="s">
        <v>108</v>
      </c>
      <c r="K694" t="s">
        <v>618</v>
      </c>
      <c r="L694" t="s">
        <v>214</v>
      </c>
      <c r="M694" t="s">
        <v>27</v>
      </c>
      <c r="N694" t="s">
        <v>387</v>
      </c>
      <c r="O694" t="str">
        <f>_xlfn.XLOOKUP(E694,[1]syr_populatedplaces!$L:$L,[1]syr_populatedplaces!$M:$M)</f>
        <v>C1329</v>
      </c>
      <c r="P694">
        <f>_xlfn.XLOOKUP(E694,[1]syr_populatedplaces!$L:$L,[1]syr_populatedplaces!$AD:$AD)</f>
        <v>36.472290039999997</v>
      </c>
      <c r="Q694">
        <f>_xlfn.XLOOKUP(E694,[1]syr_populatedplaces!$L:$L,[1]syr_populatedplaces!$AC:$AC)</f>
        <v>37.723083500000001</v>
      </c>
    </row>
    <row r="695" spans="2:17">
      <c r="B695" t="s">
        <v>614</v>
      </c>
      <c r="C695" t="s">
        <v>18</v>
      </c>
      <c r="D695" t="s">
        <v>128</v>
      </c>
      <c r="E695" t="s">
        <v>42</v>
      </c>
      <c r="F695" t="s">
        <v>346</v>
      </c>
      <c r="G695" t="s">
        <v>347</v>
      </c>
      <c r="H695" t="s">
        <v>124</v>
      </c>
      <c r="I695">
        <v>1</v>
      </c>
      <c r="J695" t="s">
        <v>108</v>
      </c>
      <c r="K695" t="s">
        <v>618</v>
      </c>
      <c r="L695" t="s">
        <v>214</v>
      </c>
      <c r="M695" t="s">
        <v>27</v>
      </c>
      <c r="N695" t="s">
        <v>387</v>
      </c>
      <c r="O695" t="s">
        <v>43</v>
      </c>
      <c r="P695">
        <v>36.392517089999998</v>
      </c>
      <c r="Q695">
        <v>36.689697270000003</v>
      </c>
    </row>
    <row r="696" spans="2:17">
      <c r="B696" t="s">
        <v>614</v>
      </c>
      <c r="C696" t="s">
        <v>18</v>
      </c>
      <c r="D696" t="s">
        <v>128</v>
      </c>
      <c r="E696" t="s">
        <v>44</v>
      </c>
      <c r="F696" t="s">
        <v>346</v>
      </c>
      <c r="G696" t="s">
        <v>347</v>
      </c>
      <c r="H696" t="s">
        <v>124</v>
      </c>
      <c r="I696">
        <v>1</v>
      </c>
      <c r="J696" t="s">
        <v>108</v>
      </c>
      <c r="K696" t="s">
        <v>618</v>
      </c>
      <c r="L696" t="s">
        <v>214</v>
      </c>
      <c r="M696" t="s">
        <v>27</v>
      </c>
      <c r="N696" t="s">
        <v>387</v>
      </c>
      <c r="O696" t="s">
        <v>45</v>
      </c>
      <c r="P696">
        <v>35.353515629999997</v>
      </c>
      <c r="Q696">
        <v>36.483703609999999</v>
      </c>
    </row>
    <row r="697" spans="2:17">
      <c r="B697" t="s">
        <v>614</v>
      </c>
      <c r="C697" t="s">
        <v>18</v>
      </c>
      <c r="D697" t="s">
        <v>128</v>
      </c>
      <c r="E697" t="s">
        <v>400</v>
      </c>
      <c r="F697" t="s">
        <v>346</v>
      </c>
      <c r="G697" t="s">
        <v>347</v>
      </c>
      <c r="H697" t="s">
        <v>124</v>
      </c>
      <c r="I697">
        <v>1</v>
      </c>
      <c r="J697" t="s">
        <v>108</v>
      </c>
      <c r="K697" t="s">
        <v>618</v>
      </c>
      <c r="L697" t="s">
        <v>214</v>
      </c>
      <c r="M697" t="s">
        <v>27</v>
      </c>
      <c r="N697" t="s">
        <v>387</v>
      </c>
      <c r="O697" t="s">
        <v>401</v>
      </c>
      <c r="P697">
        <v>36.369873050000002</v>
      </c>
      <c r="Q697">
        <v>37.515075680000002</v>
      </c>
    </row>
    <row r="698" spans="2:17">
      <c r="B698" t="s">
        <v>614</v>
      </c>
      <c r="C698" t="s">
        <v>18</v>
      </c>
      <c r="D698" t="s">
        <v>128</v>
      </c>
      <c r="E698" t="s">
        <v>33</v>
      </c>
      <c r="F698" t="s">
        <v>346</v>
      </c>
      <c r="G698" t="s">
        <v>347</v>
      </c>
      <c r="H698" t="s">
        <v>124</v>
      </c>
      <c r="I698">
        <v>1</v>
      </c>
      <c r="J698" t="s">
        <v>108</v>
      </c>
      <c r="K698" t="s">
        <v>618</v>
      </c>
      <c r="L698" t="s">
        <v>214</v>
      </c>
      <c r="M698" t="s">
        <v>27</v>
      </c>
      <c r="N698" t="s">
        <v>387</v>
      </c>
      <c r="O698" t="s">
        <v>34</v>
      </c>
      <c r="P698">
        <v>36.525878910000003</v>
      </c>
      <c r="Q698">
        <v>37.951110839999998</v>
      </c>
    </row>
    <row r="699" spans="2:17">
      <c r="B699" t="s">
        <v>614</v>
      </c>
      <c r="C699" t="s">
        <v>18</v>
      </c>
      <c r="D699" t="s">
        <v>128</v>
      </c>
      <c r="E699" t="s">
        <v>400</v>
      </c>
      <c r="F699" t="s">
        <v>346</v>
      </c>
      <c r="G699" t="s">
        <v>347</v>
      </c>
      <c r="H699" t="s">
        <v>124</v>
      </c>
      <c r="I699">
        <v>1</v>
      </c>
      <c r="J699" t="s">
        <v>108</v>
      </c>
      <c r="K699" t="s">
        <v>618</v>
      </c>
      <c r="L699" t="s">
        <v>214</v>
      </c>
      <c r="M699" t="s">
        <v>27</v>
      </c>
      <c r="N699" t="s">
        <v>387</v>
      </c>
      <c r="O699" t="s">
        <v>401</v>
      </c>
      <c r="P699">
        <v>36.369873050000002</v>
      </c>
      <c r="Q699">
        <v>37.515075680000002</v>
      </c>
    </row>
    <row r="700" spans="2:17">
      <c r="B700" t="s">
        <v>614</v>
      </c>
      <c r="C700" t="s">
        <v>18</v>
      </c>
      <c r="D700" t="s">
        <v>128</v>
      </c>
      <c r="E700" t="s">
        <v>38</v>
      </c>
      <c r="F700" t="s">
        <v>346</v>
      </c>
      <c r="G700" t="s">
        <v>347</v>
      </c>
      <c r="H700" t="s">
        <v>124</v>
      </c>
      <c r="I700">
        <v>1</v>
      </c>
      <c r="J700" t="s">
        <v>108</v>
      </c>
      <c r="K700" t="s">
        <v>618</v>
      </c>
      <c r="L700" t="s">
        <v>214</v>
      </c>
      <c r="M700" t="s">
        <v>27</v>
      </c>
      <c r="N700" t="s">
        <v>387</v>
      </c>
      <c r="O700" t="s">
        <v>39</v>
      </c>
      <c r="P700">
        <v>36.601074220000001</v>
      </c>
      <c r="Q700">
        <v>37.50872803</v>
      </c>
    </row>
    <row r="701" spans="2:17">
      <c r="B701" t="s">
        <v>614</v>
      </c>
      <c r="C701" t="s">
        <v>18</v>
      </c>
      <c r="D701" t="s">
        <v>128</v>
      </c>
      <c r="E701" t="s">
        <v>42</v>
      </c>
      <c r="F701" t="s">
        <v>346</v>
      </c>
      <c r="G701" t="s">
        <v>347</v>
      </c>
      <c r="H701" t="s">
        <v>124</v>
      </c>
      <c r="I701">
        <v>1</v>
      </c>
      <c r="J701" t="s">
        <v>108</v>
      </c>
      <c r="K701" t="s">
        <v>618</v>
      </c>
      <c r="L701" t="s">
        <v>214</v>
      </c>
      <c r="M701" t="s">
        <v>27</v>
      </c>
      <c r="N701" t="s">
        <v>387</v>
      </c>
      <c r="O701" t="s">
        <v>43</v>
      </c>
      <c r="P701">
        <v>36.392517089999998</v>
      </c>
      <c r="Q701">
        <v>36.689697270000003</v>
      </c>
    </row>
    <row r="702" spans="2:17">
      <c r="B702" t="s">
        <v>614</v>
      </c>
      <c r="C702" t="s">
        <v>18</v>
      </c>
      <c r="D702" t="s">
        <v>128</v>
      </c>
      <c r="E702" t="s">
        <v>635</v>
      </c>
      <c r="F702" t="s">
        <v>346</v>
      </c>
      <c r="G702" t="s">
        <v>347</v>
      </c>
      <c r="H702" t="s">
        <v>124</v>
      </c>
      <c r="I702">
        <v>1</v>
      </c>
      <c r="J702" t="s">
        <v>108</v>
      </c>
      <c r="K702" t="s">
        <v>618</v>
      </c>
      <c r="L702" t="s">
        <v>214</v>
      </c>
      <c r="M702" t="s">
        <v>27</v>
      </c>
      <c r="N702" t="s">
        <v>387</v>
      </c>
      <c r="O702" t="s">
        <v>636</v>
      </c>
      <c r="P702">
        <v>36.427673339999998</v>
      </c>
      <c r="Q702">
        <v>36.661926270000002</v>
      </c>
    </row>
    <row r="703" spans="2:17">
      <c r="B703" t="s">
        <v>614</v>
      </c>
      <c r="C703" t="s">
        <v>18</v>
      </c>
      <c r="D703" t="s">
        <v>128</v>
      </c>
      <c r="E703" t="s">
        <v>31</v>
      </c>
      <c r="F703" t="s">
        <v>346</v>
      </c>
      <c r="G703" t="s">
        <v>347</v>
      </c>
      <c r="H703" t="s">
        <v>124</v>
      </c>
      <c r="I703">
        <v>1</v>
      </c>
      <c r="J703" t="s">
        <v>108</v>
      </c>
      <c r="K703" t="s">
        <v>618</v>
      </c>
      <c r="L703" t="s">
        <v>214</v>
      </c>
      <c r="M703" t="s">
        <v>27</v>
      </c>
      <c r="N703" t="s">
        <v>387</v>
      </c>
      <c r="O703" t="s">
        <v>32</v>
      </c>
      <c r="P703">
        <v>36.814514160000002</v>
      </c>
      <c r="Q703">
        <v>38.0098877</v>
      </c>
    </row>
    <row r="704" spans="2:17">
      <c r="B704" t="s">
        <v>614</v>
      </c>
      <c r="C704" t="s">
        <v>18</v>
      </c>
      <c r="D704" t="s">
        <v>128</v>
      </c>
      <c r="E704" t="s">
        <v>637</v>
      </c>
      <c r="F704" t="s">
        <v>346</v>
      </c>
      <c r="G704" t="s">
        <v>347</v>
      </c>
      <c r="H704" t="s">
        <v>124</v>
      </c>
      <c r="I704">
        <v>1</v>
      </c>
      <c r="J704" t="s">
        <v>108</v>
      </c>
      <c r="K704" t="s">
        <v>618</v>
      </c>
      <c r="L704" t="s">
        <v>214</v>
      </c>
      <c r="M704" t="s">
        <v>27</v>
      </c>
      <c r="N704" t="s">
        <v>387</v>
      </c>
      <c r="O704" t="s">
        <v>638</v>
      </c>
      <c r="P704">
        <v>35.662719729999999</v>
      </c>
      <c r="Q704">
        <v>35.890686039999999</v>
      </c>
    </row>
    <row r="705" spans="2:17">
      <c r="B705" t="s">
        <v>614</v>
      </c>
      <c r="C705" t="s">
        <v>18</v>
      </c>
      <c r="D705" t="s">
        <v>128</v>
      </c>
      <c r="E705" t="s">
        <v>44</v>
      </c>
      <c r="F705" t="s">
        <v>346</v>
      </c>
      <c r="G705" t="s">
        <v>347</v>
      </c>
      <c r="H705" t="s">
        <v>124</v>
      </c>
      <c r="I705">
        <v>1</v>
      </c>
      <c r="J705" t="s">
        <v>108</v>
      </c>
      <c r="K705" t="s">
        <v>618</v>
      </c>
      <c r="L705" t="s">
        <v>214</v>
      </c>
      <c r="M705" t="s">
        <v>27</v>
      </c>
      <c r="N705" t="s">
        <v>387</v>
      </c>
      <c r="O705" t="s">
        <v>45</v>
      </c>
      <c r="P705">
        <v>35.353515629999997</v>
      </c>
      <c r="Q705">
        <v>36.483703609999999</v>
      </c>
    </row>
    <row r="706" spans="2:17">
      <c r="B706" t="s">
        <v>614</v>
      </c>
      <c r="C706" t="s">
        <v>18</v>
      </c>
      <c r="D706" t="s">
        <v>128</v>
      </c>
      <c r="E706" t="s">
        <v>20</v>
      </c>
      <c r="F706" t="s">
        <v>346</v>
      </c>
      <c r="G706" t="s">
        <v>347</v>
      </c>
      <c r="H706" t="s">
        <v>124</v>
      </c>
      <c r="I706">
        <v>1</v>
      </c>
      <c r="J706" t="s">
        <v>108</v>
      </c>
      <c r="K706" t="s">
        <v>618</v>
      </c>
      <c r="L706" t="s">
        <v>214</v>
      </c>
      <c r="M706" t="s">
        <v>27</v>
      </c>
      <c r="N706" t="s">
        <v>387</v>
      </c>
      <c r="O706" t="s">
        <v>29</v>
      </c>
      <c r="P706">
        <v>36.584899900000003</v>
      </c>
      <c r="Q706">
        <v>37.043273929999998</v>
      </c>
    </row>
    <row r="707" spans="2:17">
      <c r="B707" t="s">
        <v>614</v>
      </c>
      <c r="C707" t="s">
        <v>18</v>
      </c>
      <c r="D707" t="s">
        <v>128</v>
      </c>
      <c r="E707" t="s">
        <v>639</v>
      </c>
      <c r="F707" t="s">
        <v>346</v>
      </c>
      <c r="G707" t="s">
        <v>347</v>
      </c>
      <c r="H707" t="s">
        <v>124</v>
      </c>
      <c r="I707">
        <v>1</v>
      </c>
      <c r="J707" t="s">
        <v>108</v>
      </c>
      <c r="K707" t="s">
        <v>618</v>
      </c>
      <c r="L707" t="s">
        <v>214</v>
      </c>
      <c r="M707" t="s">
        <v>27</v>
      </c>
      <c r="N707" t="s">
        <v>387</v>
      </c>
      <c r="O707" t="str">
        <f>_xlfn.XLOOKUP(E707,[1]syr_populatedplaces!$L:$L,[1]syr_populatedplaces!$M:$M)</f>
        <v>C1672</v>
      </c>
      <c r="P707">
        <f>_xlfn.XLOOKUP(E707,[1]syr_populatedplaces!$L:$L,[1]syr_populatedplaces!$AD:$AD)</f>
        <v>36.567687990000003</v>
      </c>
      <c r="Q707">
        <f>_xlfn.XLOOKUP(E707,[1]syr_populatedplaces!$L:$L,[1]syr_populatedplaces!$AC:$AC)</f>
        <v>37.16247559</v>
      </c>
    </row>
    <row r="708" spans="2:17">
      <c r="B708" t="s">
        <v>614</v>
      </c>
      <c r="C708" t="s">
        <v>18</v>
      </c>
      <c r="D708" t="s">
        <v>128</v>
      </c>
      <c r="E708" t="s">
        <v>31</v>
      </c>
      <c r="F708" t="s">
        <v>346</v>
      </c>
      <c r="G708" t="s">
        <v>347</v>
      </c>
      <c r="H708" t="s">
        <v>124</v>
      </c>
      <c r="I708">
        <v>1</v>
      </c>
      <c r="J708" t="s">
        <v>108</v>
      </c>
      <c r="K708" t="s">
        <v>618</v>
      </c>
      <c r="L708" t="s">
        <v>214</v>
      </c>
      <c r="M708" t="s">
        <v>27</v>
      </c>
      <c r="N708" t="s">
        <v>387</v>
      </c>
      <c r="O708" t="s">
        <v>32</v>
      </c>
      <c r="P708">
        <v>36.814514160000002</v>
      </c>
      <c r="Q708">
        <v>38.0098877</v>
      </c>
    </row>
    <row r="709" spans="2:17">
      <c r="B709" t="s">
        <v>614</v>
      </c>
      <c r="C709" t="s">
        <v>18</v>
      </c>
      <c r="D709" t="s">
        <v>128</v>
      </c>
      <c r="E709" t="s">
        <v>35</v>
      </c>
      <c r="F709" t="s">
        <v>346</v>
      </c>
      <c r="G709" t="s">
        <v>347</v>
      </c>
      <c r="H709" t="s">
        <v>124</v>
      </c>
      <c r="I709">
        <v>1</v>
      </c>
      <c r="J709" t="s">
        <v>108</v>
      </c>
      <c r="K709" t="s">
        <v>618</v>
      </c>
      <c r="L709" t="s">
        <v>214</v>
      </c>
      <c r="M709" t="s">
        <v>27</v>
      </c>
      <c r="N709" t="s">
        <v>387</v>
      </c>
      <c r="O709" t="s">
        <v>36</v>
      </c>
      <c r="P709">
        <v>36.677124020000001</v>
      </c>
      <c r="Q709">
        <v>37.755676270000002</v>
      </c>
    </row>
    <row r="710" spans="2:17">
      <c r="B710" t="s">
        <v>614</v>
      </c>
      <c r="C710" t="s">
        <v>18</v>
      </c>
      <c r="D710" t="s">
        <v>128</v>
      </c>
      <c r="E710" t="s">
        <v>63</v>
      </c>
      <c r="F710" t="s">
        <v>346</v>
      </c>
      <c r="G710" t="s">
        <v>347</v>
      </c>
      <c r="H710" t="s">
        <v>124</v>
      </c>
      <c r="I710">
        <v>1</v>
      </c>
      <c r="J710" t="s">
        <v>108</v>
      </c>
      <c r="K710" t="s">
        <v>618</v>
      </c>
      <c r="L710" t="s">
        <v>214</v>
      </c>
      <c r="M710" t="s">
        <v>27</v>
      </c>
      <c r="N710" t="s">
        <v>387</v>
      </c>
      <c r="O710" t="s">
        <v>64</v>
      </c>
      <c r="P710">
        <v>36.285095220000002</v>
      </c>
      <c r="Q710">
        <v>36.851074220000001</v>
      </c>
    </row>
    <row r="711" spans="2:17">
      <c r="B711" t="s">
        <v>614</v>
      </c>
      <c r="C711" t="s">
        <v>18</v>
      </c>
      <c r="D711" t="s">
        <v>128</v>
      </c>
      <c r="E711" t="s">
        <v>30</v>
      </c>
      <c r="F711" t="s">
        <v>346</v>
      </c>
      <c r="G711" t="s">
        <v>347</v>
      </c>
      <c r="H711" t="s">
        <v>124</v>
      </c>
      <c r="I711">
        <v>1</v>
      </c>
      <c r="J711" t="s">
        <v>108</v>
      </c>
      <c r="K711" t="s">
        <v>618</v>
      </c>
      <c r="L711" t="s">
        <v>214</v>
      </c>
      <c r="M711" t="s">
        <v>27</v>
      </c>
      <c r="N711" t="s">
        <v>387</v>
      </c>
      <c r="O711" t="str">
        <f>_xlfn.XLOOKUP(E711,[1]syr_populatedplaces!$L:$L,[1]syr_populatedplaces!$M:$M)</f>
        <v>C1131</v>
      </c>
      <c r="P711">
        <f>_xlfn.XLOOKUP(E711,[1]syr_populatedplaces!$L:$L,[1]syr_populatedplaces!$AD:$AD)</f>
        <v>36.226074220000001</v>
      </c>
      <c r="Q711">
        <f>_xlfn.XLOOKUP(E711,[1]syr_populatedplaces!$L:$L,[1]syr_populatedplaces!$AC:$AC)</f>
        <v>37.326110839999998</v>
      </c>
    </row>
    <row r="712" spans="2:17">
      <c r="B712" t="s">
        <v>614</v>
      </c>
      <c r="C712" t="s">
        <v>18</v>
      </c>
      <c r="D712" t="s">
        <v>128</v>
      </c>
      <c r="E712" t="s">
        <v>31</v>
      </c>
      <c r="F712" t="s">
        <v>346</v>
      </c>
      <c r="G712" t="s">
        <v>347</v>
      </c>
      <c r="H712" t="s">
        <v>124</v>
      </c>
      <c r="I712">
        <v>1</v>
      </c>
      <c r="J712" t="s">
        <v>108</v>
      </c>
      <c r="K712" t="s">
        <v>618</v>
      </c>
      <c r="L712" t="s">
        <v>214</v>
      </c>
      <c r="M712" t="s">
        <v>27</v>
      </c>
      <c r="N712" t="s">
        <v>387</v>
      </c>
      <c r="O712" t="s">
        <v>32</v>
      </c>
      <c r="P712">
        <v>36.814514160000002</v>
      </c>
      <c r="Q712">
        <v>38.0098877</v>
      </c>
    </row>
    <row r="713" spans="2:17">
      <c r="B713" t="s">
        <v>614</v>
      </c>
      <c r="C713" t="s">
        <v>18</v>
      </c>
      <c r="D713" t="s">
        <v>128</v>
      </c>
      <c r="E713" t="s">
        <v>33</v>
      </c>
      <c r="F713" t="s">
        <v>346</v>
      </c>
      <c r="G713" t="s">
        <v>347</v>
      </c>
      <c r="H713" t="s">
        <v>124</v>
      </c>
      <c r="I713">
        <v>1</v>
      </c>
      <c r="J713" t="s">
        <v>108</v>
      </c>
      <c r="K713" t="s">
        <v>618</v>
      </c>
      <c r="L713" t="s">
        <v>214</v>
      </c>
      <c r="M713" t="s">
        <v>27</v>
      </c>
      <c r="N713" t="s">
        <v>387</v>
      </c>
      <c r="O713" t="s">
        <v>34</v>
      </c>
      <c r="P713">
        <v>36.525878910000003</v>
      </c>
      <c r="Q713">
        <v>37.951110839999998</v>
      </c>
    </row>
    <row r="714" spans="2:17">
      <c r="B714" t="s">
        <v>614</v>
      </c>
      <c r="C714" t="s">
        <v>18</v>
      </c>
      <c r="D714" t="s">
        <v>128</v>
      </c>
      <c r="E714" t="s">
        <v>18</v>
      </c>
      <c r="F714" t="s">
        <v>346</v>
      </c>
      <c r="G714" t="s">
        <v>347</v>
      </c>
      <c r="H714" t="s">
        <v>124</v>
      </c>
      <c r="I714">
        <v>1</v>
      </c>
      <c r="J714" t="s">
        <v>108</v>
      </c>
      <c r="K714" t="s">
        <v>618</v>
      </c>
      <c r="L714" t="s">
        <v>214</v>
      </c>
      <c r="M714" t="s">
        <v>27</v>
      </c>
      <c r="N714" t="s">
        <v>387</v>
      </c>
      <c r="O714" t="s">
        <v>62</v>
      </c>
      <c r="P714">
        <v>36.20611572</v>
      </c>
      <c r="Q714">
        <v>37.152526860000002</v>
      </c>
    </row>
    <row r="715" spans="2:17">
      <c r="B715" t="s">
        <v>614</v>
      </c>
      <c r="C715" t="s">
        <v>18</v>
      </c>
      <c r="D715" t="s">
        <v>128</v>
      </c>
      <c r="E715" t="s">
        <v>33</v>
      </c>
      <c r="F715" t="s">
        <v>346</v>
      </c>
      <c r="G715" t="s">
        <v>347</v>
      </c>
      <c r="H715" t="s">
        <v>124</v>
      </c>
      <c r="I715">
        <v>1</v>
      </c>
      <c r="J715" t="s">
        <v>108</v>
      </c>
      <c r="K715" t="s">
        <v>618</v>
      </c>
      <c r="L715" t="s">
        <v>214</v>
      </c>
      <c r="M715" t="s">
        <v>27</v>
      </c>
      <c r="N715" t="s">
        <v>387</v>
      </c>
      <c r="O715" t="s">
        <v>34</v>
      </c>
      <c r="P715">
        <v>36.525878910000003</v>
      </c>
      <c r="Q715">
        <v>37.951110839999998</v>
      </c>
    </row>
    <row r="716" spans="2:17">
      <c r="B716" t="s">
        <v>614</v>
      </c>
      <c r="C716" t="s">
        <v>18</v>
      </c>
      <c r="D716" t="s">
        <v>128</v>
      </c>
      <c r="E716" t="s">
        <v>20</v>
      </c>
      <c r="F716" t="s">
        <v>346</v>
      </c>
      <c r="G716" t="s">
        <v>347</v>
      </c>
      <c r="H716" t="s">
        <v>124</v>
      </c>
      <c r="I716">
        <v>1</v>
      </c>
      <c r="J716" t="s">
        <v>108</v>
      </c>
      <c r="K716" t="s">
        <v>618</v>
      </c>
      <c r="L716" t="s">
        <v>214</v>
      </c>
      <c r="M716" t="s">
        <v>27</v>
      </c>
      <c r="N716" t="s">
        <v>387</v>
      </c>
      <c r="O716" t="s">
        <v>29</v>
      </c>
      <c r="P716">
        <v>36.584899900000003</v>
      </c>
      <c r="Q716">
        <v>37.043273929999998</v>
      </c>
    </row>
    <row r="717" spans="2:17">
      <c r="B717" t="s">
        <v>614</v>
      </c>
      <c r="C717" t="s">
        <v>18</v>
      </c>
      <c r="D717" t="s">
        <v>128</v>
      </c>
      <c r="E717" t="s">
        <v>640</v>
      </c>
      <c r="F717" t="s">
        <v>346</v>
      </c>
      <c r="G717" t="s">
        <v>347</v>
      </c>
      <c r="H717" t="s">
        <v>124</v>
      </c>
      <c r="I717">
        <v>1</v>
      </c>
      <c r="J717" t="s">
        <v>108</v>
      </c>
      <c r="K717" t="s">
        <v>618</v>
      </c>
      <c r="L717" t="s">
        <v>214</v>
      </c>
      <c r="M717" t="s">
        <v>27</v>
      </c>
      <c r="N717" t="s">
        <v>387</v>
      </c>
      <c r="O717" t="s">
        <v>641</v>
      </c>
      <c r="P717">
        <v>36.482727050000001</v>
      </c>
      <c r="Q717">
        <v>37.19647217</v>
      </c>
    </row>
    <row r="718" spans="2:17">
      <c r="B718" t="s">
        <v>614</v>
      </c>
      <c r="C718" t="s">
        <v>18</v>
      </c>
      <c r="D718" t="s">
        <v>128</v>
      </c>
      <c r="E718" t="s">
        <v>53</v>
      </c>
      <c r="F718" t="s">
        <v>346</v>
      </c>
      <c r="G718" t="s">
        <v>347</v>
      </c>
      <c r="H718" t="s">
        <v>124</v>
      </c>
      <c r="I718">
        <v>1</v>
      </c>
      <c r="J718" t="s">
        <v>108</v>
      </c>
      <c r="K718" t="s">
        <v>618</v>
      </c>
      <c r="L718" t="s">
        <v>214</v>
      </c>
      <c r="M718" t="s">
        <v>27</v>
      </c>
      <c r="N718" t="s">
        <v>387</v>
      </c>
      <c r="O718" t="s">
        <v>54</v>
      </c>
      <c r="P718">
        <v>36.769714360000002</v>
      </c>
      <c r="Q718">
        <v>36.819274900000003</v>
      </c>
    </row>
    <row r="719" spans="2:17">
      <c r="B719" t="s">
        <v>614</v>
      </c>
      <c r="C719" t="s">
        <v>18</v>
      </c>
      <c r="D719" t="s">
        <v>128</v>
      </c>
      <c r="E719" t="s">
        <v>47</v>
      </c>
      <c r="F719" t="s">
        <v>346</v>
      </c>
      <c r="G719" t="s">
        <v>347</v>
      </c>
      <c r="H719" t="s">
        <v>124</v>
      </c>
      <c r="I719">
        <v>1</v>
      </c>
      <c r="J719" t="s">
        <v>108</v>
      </c>
      <c r="K719" t="s">
        <v>618</v>
      </c>
      <c r="L719" t="s">
        <v>214</v>
      </c>
      <c r="M719" t="s">
        <v>27</v>
      </c>
      <c r="N719" t="s">
        <v>387</v>
      </c>
      <c r="O719" t="s">
        <v>48</v>
      </c>
      <c r="P719">
        <v>36.676879880000001</v>
      </c>
      <c r="Q719">
        <v>36.664489750000001</v>
      </c>
    </row>
    <row r="720" spans="2:17">
      <c r="B720" t="s">
        <v>614</v>
      </c>
      <c r="C720" t="s">
        <v>18</v>
      </c>
      <c r="D720" t="s">
        <v>128</v>
      </c>
      <c r="E720" t="s">
        <v>42</v>
      </c>
      <c r="F720" t="s">
        <v>346</v>
      </c>
      <c r="G720" t="s">
        <v>347</v>
      </c>
      <c r="H720" t="s">
        <v>124</v>
      </c>
      <c r="I720">
        <v>1</v>
      </c>
      <c r="J720" t="s">
        <v>108</v>
      </c>
      <c r="K720" t="s">
        <v>618</v>
      </c>
      <c r="L720" t="s">
        <v>214</v>
      </c>
      <c r="M720" t="s">
        <v>27</v>
      </c>
      <c r="N720" t="s">
        <v>387</v>
      </c>
      <c r="O720" t="s">
        <v>43</v>
      </c>
      <c r="P720">
        <v>36.392517089999998</v>
      </c>
      <c r="Q720">
        <v>36.689697270000003</v>
      </c>
    </row>
    <row r="721" spans="2:17">
      <c r="B721" t="s">
        <v>614</v>
      </c>
      <c r="C721" t="s">
        <v>18</v>
      </c>
      <c r="D721" t="s">
        <v>128</v>
      </c>
      <c r="E721" t="s">
        <v>63</v>
      </c>
      <c r="F721" t="s">
        <v>346</v>
      </c>
      <c r="G721" t="s">
        <v>347</v>
      </c>
      <c r="H721" t="s">
        <v>124</v>
      </c>
      <c r="I721">
        <v>1</v>
      </c>
      <c r="J721" t="s">
        <v>108</v>
      </c>
      <c r="K721" t="s">
        <v>618</v>
      </c>
      <c r="L721" t="s">
        <v>214</v>
      </c>
      <c r="M721" t="s">
        <v>27</v>
      </c>
      <c r="N721" t="s">
        <v>387</v>
      </c>
      <c r="O721" t="s">
        <v>64</v>
      </c>
      <c r="P721">
        <v>36.285095220000002</v>
      </c>
      <c r="Q721">
        <v>36.851074220000001</v>
      </c>
    </row>
    <row r="722" spans="2:17">
      <c r="B722" t="s">
        <v>614</v>
      </c>
      <c r="C722" t="s">
        <v>18</v>
      </c>
      <c r="D722" t="s">
        <v>128</v>
      </c>
      <c r="E722" t="s">
        <v>30</v>
      </c>
      <c r="F722" t="s">
        <v>346</v>
      </c>
      <c r="G722" t="s">
        <v>347</v>
      </c>
      <c r="H722" t="s">
        <v>124</v>
      </c>
      <c r="I722">
        <v>1</v>
      </c>
      <c r="J722" t="s">
        <v>108</v>
      </c>
      <c r="K722" t="s">
        <v>618</v>
      </c>
      <c r="L722" t="s">
        <v>214</v>
      </c>
      <c r="M722" t="s">
        <v>27</v>
      </c>
      <c r="N722" t="s">
        <v>387</v>
      </c>
      <c r="O722" t="str">
        <f>_xlfn.XLOOKUP(E722,[1]syr_populatedplaces!$L:$L,[1]syr_populatedplaces!$M:$M)</f>
        <v>C1131</v>
      </c>
      <c r="P722">
        <f>_xlfn.XLOOKUP(E722,[1]syr_populatedplaces!$L:$L,[1]syr_populatedplaces!$AD:$AD)</f>
        <v>36.226074220000001</v>
      </c>
      <c r="Q722">
        <f>_xlfn.XLOOKUP(E722,[1]syr_populatedplaces!$L:$L,[1]syr_populatedplaces!$AC:$AC)</f>
        <v>37.326110839999998</v>
      </c>
    </row>
    <row r="723" spans="2:17">
      <c r="B723" t="s">
        <v>614</v>
      </c>
      <c r="C723" t="s">
        <v>18</v>
      </c>
      <c r="D723" t="s">
        <v>128</v>
      </c>
      <c r="E723" t="s">
        <v>73</v>
      </c>
      <c r="F723" t="s">
        <v>346</v>
      </c>
      <c r="G723" t="s">
        <v>347</v>
      </c>
      <c r="H723" t="s">
        <v>124</v>
      </c>
      <c r="I723">
        <v>1</v>
      </c>
      <c r="J723" t="s">
        <v>108</v>
      </c>
      <c r="K723" t="s">
        <v>618</v>
      </c>
      <c r="L723" t="s">
        <v>214</v>
      </c>
      <c r="M723" t="s">
        <v>27</v>
      </c>
      <c r="N723" t="s">
        <v>387</v>
      </c>
      <c r="O723" t="s">
        <v>74</v>
      </c>
      <c r="P723">
        <v>36.58111572</v>
      </c>
      <c r="Q723">
        <v>37.570922850000002</v>
      </c>
    </row>
    <row r="724" spans="2:17">
      <c r="B724" t="s">
        <v>614</v>
      </c>
      <c r="C724" t="s">
        <v>18</v>
      </c>
      <c r="D724" t="s">
        <v>128</v>
      </c>
      <c r="E724" t="s">
        <v>30</v>
      </c>
      <c r="F724" t="s">
        <v>346</v>
      </c>
      <c r="G724" t="s">
        <v>347</v>
      </c>
      <c r="H724" t="s">
        <v>124</v>
      </c>
      <c r="I724">
        <v>1</v>
      </c>
      <c r="J724" t="s">
        <v>108</v>
      </c>
      <c r="K724" t="s">
        <v>618</v>
      </c>
      <c r="L724" t="s">
        <v>214</v>
      </c>
      <c r="M724" t="s">
        <v>27</v>
      </c>
      <c r="N724" t="s">
        <v>387</v>
      </c>
      <c r="O724" t="str">
        <f>_xlfn.XLOOKUP(E724,[1]syr_populatedplaces!$L:$L,[1]syr_populatedplaces!$M:$M)</f>
        <v>C1131</v>
      </c>
      <c r="P724">
        <f>_xlfn.XLOOKUP(E724,[1]syr_populatedplaces!$L:$L,[1]syr_populatedplaces!$AD:$AD)</f>
        <v>36.226074220000001</v>
      </c>
      <c r="Q724">
        <f>_xlfn.XLOOKUP(E724,[1]syr_populatedplaces!$L:$L,[1]syr_populatedplaces!$AC:$AC)</f>
        <v>37.326110839999998</v>
      </c>
    </row>
    <row r="725" spans="2:17">
      <c r="B725" t="s">
        <v>614</v>
      </c>
      <c r="C725" t="s">
        <v>18</v>
      </c>
      <c r="D725" t="s">
        <v>128</v>
      </c>
      <c r="E725" t="s">
        <v>646</v>
      </c>
      <c r="F725" t="s">
        <v>346</v>
      </c>
      <c r="G725" t="s">
        <v>347</v>
      </c>
      <c r="H725" t="s">
        <v>124</v>
      </c>
      <c r="I725">
        <v>1</v>
      </c>
      <c r="J725" t="s">
        <v>108</v>
      </c>
      <c r="K725" t="s">
        <v>618</v>
      </c>
      <c r="L725" t="s">
        <v>214</v>
      </c>
      <c r="M725" t="s">
        <v>27</v>
      </c>
      <c r="N725" t="s">
        <v>387</v>
      </c>
      <c r="O725" t="str">
        <f>_xlfn.XLOOKUP(E725,[1]syr_populatedplaces!$L:$L,[1]syr_populatedplaces!$M:$M)</f>
        <v>C1214</v>
      </c>
      <c r="P725">
        <f>_xlfn.XLOOKUP(E725,[1]syr_populatedplaces!$L:$L,[1]syr_populatedplaces!$AD:$AD)</f>
        <v>36.462707520000002</v>
      </c>
      <c r="Q725">
        <f>_xlfn.XLOOKUP(E725,[1]syr_populatedplaces!$L:$L,[1]syr_populatedplaces!$AC:$AC)</f>
        <v>37.501525880000003</v>
      </c>
    </row>
    <row r="726" spans="2:17">
      <c r="B726" t="s">
        <v>614</v>
      </c>
      <c r="C726" t="s">
        <v>18</v>
      </c>
      <c r="D726" t="s">
        <v>128</v>
      </c>
      <c r="E726" t="s">
        <v>63</v>
      </c>
      <c r="F726" t="s">
        <v>346</v>
      </c>
      <c r="G726" t="s">
        <v>347</v>
      </c>
      <c r="H726" t="s">
        <v>124</v>
      </c>
      <c r="I726">
        <v>1</v>
      </c>
      <c r="J726" t="s">
        <v>108</v>
      </c>
      <c r="K726" t="s">
        <v>618</v>
      </c>
      <c r="L726" t="s">
        <v>214</v>
      </c>
      <c r="M726" t="s">
        <v>27</v>
      </c>
      <c r="N726" t="s">
        <v>387</v>
      </c>
      <c r="O726" t="s">
        <v>64</v>
      </c>
      <c r="P726">
        <v>36.285095220000002</v>
      </c>
      <c r="Q726">
        <v>36.851074220000001</v>
      </c>
    </row>
    <row r="727" spans="2:17">
      <c r="B727" t="s">
        <v>614</v>
      </c>
      <c r="C727" t="s">
        <v>18</v>
      </c>
      <c r="D727" t="s">
        <v>128</v>
      </c>
      <c r="E727" t="s">
        <v>647</v>
      </c>
      <c r="F727" t="s">
        <v>346</v>
      </c>
      <c r="G727" t="s">
        <v>347</v>
      </c>
      <c r="H727" t="s">
        <v>124</v>
      </c>
      <c r="I727">
        <v>1</v>
      </c>
      <c r="J727" t="s">
        <v>108</v>
      </c>
      <c r="K727" t="s">
        <v>618</v>
      </c>
      <c r="L727" t="s">
        <v>214</v>
      </c>
      <c r="M727" t="s">
        <v>27</v>
      </c>
      <c r="N727" t="s">
        <v>387</v>
      </c>
      <c r="O727" t="s">
        <v>648</v>
      </c>
      <c r="P727">
        <v>36.341125490000003</v>
      </c>
      <c r="Q727">
        <v>36.873718259999997</v>
      </c>
    </row>
    <row r="728" spans="2:17">
      <c r="B728" t="s">
        <v>614</v>
      </c>
      <c r="C728" t="s">
        <v>18</v>
      </c>
      <c r="D728" t="s">
        <v>128</v>
      </c>
      <c r="E728" t="s">
        <v>649</v>
      </c>
      <c r="F728" t="s">
        <v>346</v>
      </c>
      <c r="G728" t="s">
        <v>347</v>
      </c>
      <c r="H728" t="s">
        <v>124</v>
      </c>
      <c r="I728">
        <v>1</v>
      </c>
      <c r="J728" t="s">
        <v>108</v>
      </c>
      <c r="K728" t="s">
        <v>618</v>
      </c>
      <c r="L728" t="s">
        <v>214</v>
      </c>
      <c r="M728" t="s">
        <v>27</v>
      </c>
      <c r="N728" t="s">
        <v>387</v>
      </c>
      <c r="O728" t="s">
        <v>650</v>
      </c>
      <c r="P728">
        <v>36.343078609999999</v>
      </c>
      <c r="Q728">
        <v>36.902893069999998</v>
      </c>
    </row>
    <row r="729" spans="2:17">
      <c r="B729" t="s">
        <v>614</v>
      </c>
      <c r="C729" t="s">
        <v>18</v>
      </c>
      <c r="D729" t="s">
        <v>128</v>
      </c>
      <c r="E729" t="s">
        <v>30</v>
      </c>
      <c r="F729" t="s">
        <v>346</v>
      </c>
      <c r="G729" t="s">
        <v>347</v>
      </c>
      <c r="H729" t="s">
        <v>124</v>
      </c>
      <c r="I729">
        <v>1</v>
      </c>
      <c r="J729" t="s">
        <v>108</v>
      </c>
      <c r="K729" t="s">
        <v>618</v>
      </c>
      <c r="L729" t="s">
        <v>214</v>
      </c>
      <c r="M729" t="s">
        <v>27</v>
      </c>
      <c r="N729" t="s">
        <v>387</v>
      </c>
      <c r="O729" t="str">
        <f>_xlfn.XLOOKUP(E729,[1]syr_populatedplaces!$L:$L,[1]syr_populatedplaces!$M:$M)</f>
        <v>C1131</v>
      </c>
      <c r="P729">
        <f>_xlfn.XLOOKUP(E729,[1]syr_populatedplaces!$L:$L,[1]syr_populatedplaces!$AD:$AD)</f>
        <v>36.226074220000001</v>
      </c>
      <c r="Q729">
        <f>_xlfn.XLOOKUP(E729,[1]syr_populatedplaces!$L:$L,[1]syr_populatedplaces!$AC:$AC)</f>
        <v>37.326110839999998</v>
      </c>
    </row>
    <row r="730" spans="2:17">
      <c r="B730" t="s">
        <v>614</v>
      </c>
      <c r="C730" t="s">
        <v>18</v>
      </c>
      <c r="D730" t="s">
        <v>128</v>
      </c>
      <c r="E730" t="s">
        <v>47</v>
      </c>
      <c r="F730" t="s">
        <v>346</v>
      </c>
      <c r="G730" t="s">
        <v>347</v>
      </c>
      <c r="H730" t="s">
        <v>124</v>
      </c>
      <c r="I730">
        <v>1</v>
      </c>
      <c r="J730" t="s">
        <v>108</v>
      </c>
      <c r="K730" t="s">
        <v>618</v>
      </c>
      <c r="L730" t="s">
        <v>214</v>
      </c>
      <c r="M730" t="s">
        <v>27</v>
      </c>
      <c r="N730" t="s">
        <v>387</v>
      </c>
      <c r="O730" t="s">
        <v>48</v>
      </c>
      <c r="P730">
        <v>36.676879880000001</v>
      </c>
      <c r="Q730">
        <v>36.664489750000001</v>
      </c>
    </row>
    <row r="731" spans="2:17">
      <c r="B731" t="s">
        <v>614</v>
      </c>
      <c r="C731" t="s">
        <v>18</v>
      </c>
      <c r="D731" t="s">
        <v>128</v>
      </c>
      <c r="E731" t="s">
        <v>53</v>
      </c>
      <c r="F731" t="s">
        <v>346</v>
      </c>
      <c r="G731" t="s">
        <v>347</v>
      </c>
      <c r="H731" t="s">
        <v>124</v>
      </c>
      <c r="I731">
        <v>1</v>
      </c>
      <c r="J731" t="s">
        <v>108</v>
      </c>
      <c r="K731" t="s">
        <v>618</v>
      </c>
      <c r="L731" t="s">
        <v>214</v>
      </c>
      <c r="M731" t="s">
        <v>27</v>
      </c>
      <c r="N731" t="s">
        <v>387</v>
      </c>
      <c r="O731" t="s">
        <v>54</v>
      </c>
      <c r="P731">
        <v>36.769714360000002</v>
      </c>
      <c r="Q731">
        <v>36.819274900000003</v>
      </c>
    </row>
    <row r="732" spans="2:17">
      <c r="B732" t="s">
        <v>614</v>
      </c>
      <c r="C732" t="s">
        <v>18</v>
      </c>
      <c r="D732" t="s">
        <v>128</v>
      </c>
      <c r="E732" t="s">
        <v>652</v>
      </c>
      <c r="F732" t="s">
        <v>346</v>
      </c>
      <c r="G732" t="s">
        <v>347</v>
      </c>
      <c r="H732" t="s">
        <v>124</v>
      </c>
      <c r="I732">
        <v>1</v>
      </c>
      <c r="J732" t="s">
        <v>108</v>
      </c>
      <c r="K732" t="s">
        <v>618</v>
      </c>
      <c r="L732" t="s">
        <v>214</v>
      </c>
      <c r="M732" t="s">
        <v>27</v>
      </c>
      <c r="N732" t="s">
        <v>387</v>
      </c>
      <c r="O732" t="s">
        <v>653</v>
      </c>
      <c r="P732">
        <v>36.785522460000003</v>
      </c>
      <c r="Q732">
        <v>36.803283690000001</v>
      </c>
    </row>
    <row r="733" spans="2:17">
      <c r="B733" t="s">
        <v>614</v>
      </c>
      <c r="C733" t="s">
        <v>18</v>
      </c>
      <c r="D733" t="s">
        <v>128</v>
      </c>
      <c r="E733" t="s">
        <v>654</v>
      </c>
      <c r="F733" t="s">
        <v>346</v>
      </c>
      <c r="G733" t="s">
        <v>347</v>
      </c>
      <c r="H733" t="s">
        <v>124</v>
      </c>
      <c r="I733">
        <v>1</v>
      </c>
      <c r="J733" t="s">
        <v>108</v>
      </c>
      <c r="K733" t="s">
        <v>618</v>
      </c>
      <c r="L733" t="s">
        <v>214</v>
      </c>
      <c r="M733" t="s">
        <v>27</v>
      </c>
      <c r="N733" t="s">
        <v>387</v>
      </c>
      <c r="O733" t="s">
        <v>655</v>
      </c>
      <c r="P733">
        <v>36.811706540000003</v>
      </c>
      <c r="Q733">
        <v>36.742309570000003</v>
      </c>
    </row>
    <row r="734" spans="2:17">
      <c r="B734" t="s">
        <v>614</v>
      </c>
      <c r="C734" t="s">
        <v>18</v>
      </c>
      <c r="D734" t="s">
        <v>128</v>
      </c>
      <c r="E734" t="s">
        <v>658</v>
      </c>
      <c r="F734" t="s">
        <v>346</v>
      </c>
      <c r="G734" t="s">
        <v>347</v>
      </c>
      <c r="H734" t="s">
        <v>124</v>
      </c>
      <c r="I734">
        <v>1</v>
      </c>
      <c r="J734" t="s">
        <v>108</v>
      </c>
      <c r="K734" t="s">
        <v>618</v>
      </c>
      <c r="L734" t="s">
        <v>214</v>
      </c>
      <c r="M734" t="s">
        <v>27</v>
      </c>
      <c r="N734" t="s">
        <v>387</v>
      </c>
      <c r="O734" t="s">
        <v>659</v>
      </c>
      <c r="P734">
        <v>36.686706540000003</v>
      </c>
      <c r="Q734">
        <v>36.834472660000003</v>
      </c>
    </row>
    <row r="735" spans="2:17">
      <c r="B735" t="s">
        <v>614</v>
      </c>
      <c r="C735" t="s">
        <v>18</v>
      </c>
      <c r="D735" t="s">
        <v>128</v>
      </c>
      <c r="E735" t="s">
        <v>40</v>
      </c>
      <c r="F735" t="s">
        <v>346</v>
      </c>
      <c r="G735" t="s">
        <v>347</v>
      </c>
      <c r="H735" t="s">
        <v>124</v>
      </c>
      <c r="I735">
        <v>1</v>
      </c>
      <c r="J735" t="s">
        <v>108</v>
      </c>
      <c r="K735" t="s">
        <v>618</v>
      </c>
      <c r="L735" t="s">
        <v>214</v>
      </c>
      <c r="M735" t="s">
        <v>27</v>
      </c>
      <c r="N735" t="s">
        <v>387</v>
      </c>
      <c r="O735" t="s">
        <v>41</v>
      </c>
      <c r="P735">
        <v>36.501708979999997</v>
      </c>
      <c r="Q735">
        <v>36.599304199999999</v>
      </c>
    </row>
    <row r="736" spans="2:17">
      <c r="B736" t="s">
        <v>614</v>
      </c>
      <c r="C736" t="s">
        <v>18</v>
      </c>
      <c r="D736" t="s">
        <v>128</v>
      </c>
      <c r="E736" t="s">
        <v>47</v>
      </c>
      <c r="F736" t="s">
        <v>346</v>
      </c>
      <c r="G736" t="s">
        <v>347</v>
      </c>
      <c r="H736" t="s">
        <v>124</v>
      </c>
      <c r="I736">
        <v>1</v>
      </c>
      <c r="J736" t="s">
        <v>108</v>
      </c>
      <c r="K736" t="s">
        <v>618</v>
      </c>
      <c r="L736" t="s">
        <v>214</v>
      </c>
      <c r="M736" t="s">
        <v>27</v>
      </c>
      <c r="N736" t="s">
        <v>387</v>
      </c>
      <c r="O736" t="s">
        <v>48</v>
      </c>
      <c r="P736">
        <v>36.676879880000001</v>
      </c>
      <c r="Q736">
        <v>36.664489750000001</v>
      </c>
    </row>
    <row r="737" spans="2:17">
      <c r="B737" t="s">
        <v>614</v>
      </c>
      <c r="C737" t="s">
        <v>18</v>
      </c>
      <c r="D737" t="s">
        <v>128</v>
      </c>
      <c r="E737" t="s">
        <v>665</v>
      </c>
      <c r="F737" t="s">
        <v>346</v>
      </c>
      <c r="G737" t="s">
        <v>347</v>
      </c>
      <c r="H737" t="s">
        <v>124</v>
      </c>
      <c r="I737">
        <v>1</v>
      </c>
      <c r="J737" t="s">
        <v>108</v>
      </c>
      <c r="K737" t="s">
        <v>618</v>
      </c>
      <c r="L737" t="s">
        <v>214</v>
      </c>
      <c r="M737" t="s">
        <v>27</v>
      </c>
      <c r="N737" t="s">
        <v>387</v>
      </c>
      <c r="O737" t="s">
        <v>666</v>
      </c>
      <c r="P737">
        <v>36.773071289999997</v>
      </c>
      <c r="Q737">
        <v>36.841674810000001</v>
      </c>
    </row>
    <row r="738" spans="2:17">
      <c r="B738" t="s">
        <v>614</v>
      </c>
      <c r="C738" t="s">
        <v>18</v>
      </c>
      <c r="D738" t="s">
        <v>128</v>
      </c>
      <c r="E738" t="s">
        <v>40</v>
      </c>
      <c r="F738" t="s">
        <v>346</v>
      </c>
      <c r="G738" t="s">
        <v>347</v>
      </c>
      <c r="H738" t="s">
        <v>124</v>
      </c>
      <c r="I738">
        <v>1</v>
      </c>
      <c r="J738" t="s">
        <v>108</v>
      </c>
      <c r="K738" t="s">
        <v>618</v>
      </c>
      <c r="L738" t="s">
        <v>214</v>
      </c>
      <c r="M738" t="s">
        <v>27</v>
      </c>
      <c r="N738" t="s">
        <v>387</v>
      </c>
      <c r="O738" t="s">
        <v>41</v>
      </c>
      <c r="P738">
        <v>36.501708979999997</v>
      </c>
      <c r="Q738">
        <v>36.599304199999999</v>
      </c>
    </row>
    <row r="739" spans="2:17">
      <c r="B739" t="s">
        <v>614</v>
      </c>
      <c r="C739" t="s">
        <v>18</v>
      </c>
      <c r="D739" t="s">
        <v>675</v>
      </c>
      <c r="E739" t="s">
        <v>680</v>
      </c>
      <c r="F739" t="s">
        <v>346</v>
      </c>
      <c r="G739" t="s">
        <v>677</v>
      </c>
      <c r="H739" t="s">
        <v>124</v>
      </c>
      <c r="I739">
        <v>1</v>
      </c>
      <c r="J739" t="s">
        <v>108</v>
      </c>
      <c r="K739" t="s">
        <v>678</v>
      </c>
      <c r="L739" t="s">
        <v>679</v>
      </c>
      <c r="M739" t="s">
        <v>27</v>
      </c>
      <c r="N739" t="s">
        <v>24</v>
      </c>
      <c r="O739" t="s">
        <v>681</v>
      </c>
      <c r="P739">
        <v>36.168518069999998</v>
      </c>
      <c r="Q739">
        <v>37.672302250000001</v>
      </c>
    </row>
    <row r="740" spans="2:17">
      <c r="B740" t="s">
        <v>614</v>
      </c>
      <c r="C740" t="s">
        <v>18</v>
      </c>
      <c r="D740" t="s">
        <v>682</v>
      </c>
      <c r="E740" t="s">
        <v>682</v>
      </c>
      <c r="F740" t="s">
        <v>346</v>
      </c>
      <c r="G740" t="s">
        <v>378</v>
      </c>
      <c r="H740" t="s">
        <v>124</v>
      </c>
      <c r="I740">
        <v>1</v>
      </c>
      <c r="J740" t="s">
        <v>99</v>
      </c>
      <c r="K740" t="s">
        <v>379</v>
      </c>
      <c r="L740" t="s">
        <v>420</v>
      </c>
      <c r="M740" t="s">
        <v>27</v>
      </c>
      <c r="N740" t="s">
        <v>99</v>
      </c>
      <c r="O740" t="s">
        <v>683</v>
      </c>
      <c r="P740">
        <v>36.20910645</v>
      </c>
      <c r="Q740">
        <v>37.185485839999998</v>
      </c>
    </row>
    <row r="741" spans="2:17">
      <c r="B741" t="s">
        <v>809</v>
      </c>
      <c r="C741" t="s">
        <v>18</v>
      </c>
      <c r="D741" t="s">
        <v>810</v>
      </c>
      <c r="E741" t="s">
        <v>811</v>
      </c>
      <c r="F741" t="s">
        <v>812</v>
      </c>
      <c r="G741" t="s">
        <v>813</v>
      </c>
      <c r="H741" t="s">
        <v>814</v>
      </c>
      <c r="I741">
        <v>1</v>
      </c>
      <c r="J741" t="s">
        <v>99</v>
      </c>
      <c r="K741" t="s">
        <v>815</v>
      </c>
      <c r="L741" t="s">
        <v>278</v>
      </c>
      <c r="M741" t="s">
        <v>816</v>
      </c>
      <c r="N741" t="s">
        <v>99</v>
      </c>
      <c r="O741" t="s">
        <v>817</v>
      </c>
      <c r="P741">
        <v>36.202514649999998</v>
      </c>
      <c r="Q741">
        <v>36.910522460000003</v>
      </c>
    </row>
    <row r="742" spans="2:17">
      <c r="B742" t="s">
        <v>809</v>
      </c>
      <c r="C742" t="s">
        <v>18</v>
      </c>
      <c r="D742" t="s">
        <v>835</v>
      </c>
      <c r="E742" t="s">
        <v>835</v>
      </c>
      <c r="F742" t="s">
        <v>812</v>
      </c>
      <c r="G742" t="s">
        <v>832</v>
      </c>
      <c r="H742" t="s">
        <v>477</v>
      </c>
      <c r="I742">
        <v>1</v>
      </c>
      <c r="J742" t="s">
        <v>108</v>
      </c>
      <c r="K742" t="s">
        <v>833</v>
      </c>
      <c r="L742" t="s">
        <v>834</v>
      </c>
      <c r="M742" t="s">
        <v>27</v>
      </c>
      <c r="N742" t="s">
        <v>108</v>
      </c>
      <c r="O742" t="s">
        <v>836</v>
      </c>
      <c r="P742">
        <v>36.070129399999999</v>
      </c>
      <c r="Q742">
        <v>36.97888184</v>
      </c>
    </row>
    <row r="743" spans="2:17">
      <c r="B743" t="s">
        <v>809</v>
      </c>
      <c r="C743" t="s">
        <v>18</v>
      </c>
      <c r="D743" t="s">
        <v>30</v>
      </c>
      <c r="E743" t="s">
        <v>30</v>
      </c>
      <c r="F743" t="s">
        <v>812</v>
      </c>
      <c r="G743" t="s">
        <v>224</v>
      </c>
      <c r="H743" t="s">
        <v>578</v>
      </c>
      <c r="I743">
        <v>1</v>
      </c>
      <c r="J743" t="s">
        <v>108</v>
      </c>
      <c r="K743" t="s">
        <v>837</v>
      </c>
      <c r="L743" t="s">
        <v>360</v>
      </c>
      <c r="M743" t="s">
        <v>27</v>
      </c>
      <c r="N743" t="s">
        <v>108</v>
      </c>
      <c r="O743" t="str">
        <f>_xlfn.XLOOKUP(E743,[1]syr_populatedplaces!$L:$L,[1]syr_populatedplaces!$M:$M)</f>
        <v>C1131</v>
      </c>
      <c r="P743">
        <f>_xlfn.XLOOKUP(E743,[1]syr_populatedplaces!$L:$L,[1]syr_populatedplaces!$AD:$AD)</f>
        <v>36.226074220000001</v>
      </c>
      <c r="Q743">
        <f>_xlfn.XLOOKUP(E743,[1]syr_populatedplaces!$L:$L,[1]syr_populatedplaces!$AC:$AC)</f>
        <v>37.326110839999998</v>
      </c>
    </row>
    <row r="744" spans="2:17">
      <c r="B744" t="s">
        <v>809</v>
      </c>
      <c r="C744" t="s">
        <v>18</v>
      </c>
      <c r="D744" t="s">
        <v>30</v>
      </c>
      <c r="E744" t="s">
        <v>30</v>
      </c>
      <c r="F744" t="s">
        <v>812</v>
      </c>
      <c r="G744" t="s">
        <v>243</v>
      </c>
      <c r="H744" t="s">
        <v>422</v>
      </c>
      <c r="I744">
        <v>1</v>
      </c>
      <c r="J744" t="s">
        <v>108</v>
      </c>
      <c r="K744" t="s">
        <v>838</v>
      </c>
      <c r="L744" t="s">
        <v>278</v>
      </c>
      <c r="M744" t="s">
        <v>27</v>
      </c>
      <c r="N744" t="s">
        <v>108</v>
      </c>
      <c r="O744" t="str">
        <f>_xlfn.XLOOKUP(E744,[1]syr_populatedplaces!$L:$L,[1]syr_populatedplaces!$M:$M)</f>
        <v>C1131</v>
      </c>
      <c r="P744">
        <f>_xlfn.XLOOKUP(E744,[1]syr_populatedplaces!$L:$L,[1]syr_populatedplaces!$AD:$AD)</f>
        <v>36.226074220000001</v>
      </c>
      <c r="Q744">
        <f>_xlfn.XLOOKUP(E744,[1]syr_populatedplaces!$L:$L,[1]syr_populatedplaces!$AC:$AC)</f>
        <v>37.326110839999998</v>
      </c>
    </row>
    <row r="745" spans="2:17">
      <c r="B745" t="s">
        <v>809</v>
      </c>
      <c r="C745" t="s">
        <v>18</v>
      </c>
      <c r="D745" t="s">
        <v>835</v>
      </c>
      <c r="E745" t="s">
        <v>835</v>
      </c>
      <c r="F745" t="s">
        <v>812</v>
      </c>
      <c r="G745" t="s">
        <v>839</v>
      </c>
      <c r="H745" t="s">
        <v>840</v>
      </c>
      <c r="I745">
        <v>1</v>
      </c>
      <c r="J745" t="s">
        <v>108</v>
      </c>
      <c r="K745" t="s">
        <v>786</v>
      </c>
      <c r="L745" t="s">
        <v>519</v>
      </c>
      <c r="M745" t="s">
        <v>841</v>
      </c>
      <c r="N745" t="s">
        <v>108</v>
      </c>
      <c r="O745" t="s">
        <v>836</v>
      </c>
      <c r="P745">
        <v>36.070129399999999</v>
      </c>
      <c r="Q745">
        <v>36.97888184</v>
      </c>
    </row>
    <row r="746" spans="2:17">
      <c r="B746" t="s">
        <v>17</v>
      </c>
      <c r="C746" t="s">
        <v>18</v>
      </c>
      <c r="D746" t="s">
        <v>19</v>
      </c>
      <c r="E746" t="s">
        <v>31</v>
      </c>
      <c r="F746" t="s">
        <v>21</v>
      </c>
      <c r="G746" t="s">
        <v>22</v>
      </c>
      <c r="H746" t="s">
        <v>23</v>
      </c>
      <c r="I746">
        <v>1</v>
      </c>
      <c r="J746" t="s">
        <v>24</v>
      </c>
      <c r="K746" t="s">
        <v>25</v>
      </c>
      <c r="L746" t="s">
        <v>26</v>
      </c>
      <c r="M746" t="s">
        <v>27</v>
      </c>
      <c r="N746" t="s">
        <v>28</v>
      </c>
      <c r="O746" t="str">
        <f>_xlfn.XLOOKUP(E746,[1]syr_populatedplaces!$L:$L,[1]syr_populatedplaces!$M:$M)</f>
        <v>C2227</v>
      </c>
      <c r="P746">
        <f>_xlfn.XLOOKUP(E746,[1]syr_populatedplaces!$L:$L,[1]syr_populatedplaces!$AD:$AD)</f>
        <v>36.814514160000002</v>
      </c>
      <c r="Q746">
        <f>_xlfn.XLOOKUP(E746,[1]syr_populatedplaces!$L:$L,[1]syr_populatedplaces!$AC:$AC)</f>
        <v>38.0098877</v>
      </c>
    </row>
    <row r="747" spans="2:17" ht="15">
      <c r="B747" t="s">
        <v>17</v>
      </c>
      <c r="C747" t="s">
        <v>18</v>
      </c>
      <c r="D747" t="s">
        <v>19</v>
      </c>
      <c r="E747" t="s">
        <v>46</v>
      </c>
      <c r="F747" t="s">
        <v>21</v>
      </c>
      <c r="G747" t="s">
        <v>22</v>
      </c>
      <c r="H747" t="s">
        <v>23</v>
      </c>
      <c r="I747">
        <v>1</v>
      </c>
      <c r="J747" t="s">
        <v>24</v>
      </c>
      <c r="K747" t="s">
        <v>25</v>
      </c>
      <c r="L747" t="s">
        <v>26</v>
      </c>
      <c r="M747" t="s">
        <v>27</v>
      </c>
      <c r="N747" t="s">
        <v>28</v>
      </c>
      <c r="O747" t="e">
        <f>_xlfn.XLOOKUP(E747,[1]syr_populatedplaces!$L:$L,[1]syr_populatedplaces!$M:$M)</f>
        <v>#N/A</v>
      </c>
      <c r="P747" s="4" t="e">
        <f>_xlfn.XLOOKUP(الجدول1[[#This Row],[القرية– البلدة]],[1]syr_populatedplaces!$L:$L,[1]syr_populatedplaces!$AD:$AD)</f>
        <v>#N/A</v>
      </c>
      <c r="Q747" s="4" t="e">
        <f>_xlfn.XLOOKUP(الجدول1[[#This Row],[القرية– البلدة]],[1]syr_populatedplaces!$L:$L,[1]syr_populatedplaces!$AC:$AC)</f>
        <v>#N/A</v>
      </c>
    </row>
    <row r="748" spans="2:17">
      <c r="B748" t="s">
        <v>17</v>
      </c>
      <c r="C748" t="s">
        <v>18</v>
      </c>
      <c r="D748" t="s">
        <v>19</v>
      </c>
      <c r="E748" t="s">
        <v>57</v>
      </c>
      <c r="F748" t="s">
        <v>21</v>
      </c>
      <c r="G748" t="s">
        <v>22</v>
      </c>
      <c r="H748" t="s">
        <v>23</v>
      </c>
      <c r="I748">
        <v>1</v>
      </c>
      <c r="J748" t="s">
        <v>24</v>
      </c>
      <c r="K748" t="s">
        <v>25</v>
      </c>
      <c r="L748" t="s">
        <v>26</v>
      </c>
      <c r="M748" t="s">
        <v>27</v>
      </c>
      <c r="N748" t="s">
        <v>28</v>
      </c>
      <c r="O748" t="e">
        <f>_xlfn.XLOOKUP(E748,[1]syr_populatedplaces!$L:$L,[1]syr_populatedplaces!$M:$M)</f>
        <v>#N/A</v>
      </c>
      <c r="P748">
        <f>_xlfn.XLOOKUP(الجدول1[[#This Row],[القرية– البلدة]],[2]!الجدول1[القرية– البلدة],[2]!الجدول1[Latitude])</f>
        <v>36.654349457540299</v>
      </c>
      <c r="Q748">
        <f>_xlfn.XLOOKUP(الجدول1[[#This Row],[القرية– البلدة]],[2]!الجدول1[القرية– البلدة],[2]!الجدول1[Longitude])</f>
        <v>37.047990845338099</v>
      </c>
    </row>
    <row r="749" spans="2:17" ht="15">
      <c r="B749" t="s">
        <v>17</v>
      </c>
      <c r="C749" t="s">
        <v>18</v>
      </c>
      <c r="D749" t="s">
        <v>19</v>
      </c>
      <c r="E749" t="s">
        <v>59</v>
      </c>
      <c r="F749" t="s">
        <v>21</v>
      </c>
      <c r="G749" t="s">
        <v>22</v>
      </c>
      <c r="H749" t="s">
        <v>23</v>
      </c>
      <c r="I749">
        <v>1</v>
      </c>
      <c r="J749" t="s">
        <v>24</v>
      </c>
      <c r="K749" t="s">
        <v>25</v>
      </c>
      <c r="L749" t="s">
        <v>26</v>
      </c>
      <c r="M749" t="s">
        <v>27</v>
      </c>
      <c r="N749" t="s">
        <v>28</v>
      </c>
      <c r="O749" t="e">
        <f>_xlfn.XLOOKUP(E749,[1]syr_populatedplaces!$L:$L,[1]syr_populatedplaces!$M:$M)</f>
        <v>#N/A</v>
      </c>
      <c r="P749" s="4" t="e">
        <f>_xlfn.XLOOKUP(الجدول1[[#This Row],[القرية– البلدة]],[1]syr_populatedplaces!$L:$L,[1]syr_populatedplaces!$AD:$AD)</f>
        <v>#N/A</v>
      </c>
      <c r="Q749" s="4" t="e">
        <f>_xlfn.XLOOKUP(الجدول1[[#This Row],[القرية– البلدة]],[1]syr_populatedplaces!$L:$L,[1]syr_populatedplaces!$AC:$AC)</f>
        <v>#N/A</v>
      </c>
    </row>
    <row r="750" spans="2:17">
      <c r="B750" t="s">
        <v>17</v>
      </c>
      <c r="C750" t="s">
        <v>18</v>
      </c>
      <c r="D750" t="s">
        <v>19</v>
      </c>
      <c r="E750" t="s">
        <v>65</v>
      </c>
      <c r="F750" t="s">
        <v>21</v>
      </c>
      <c r="G750" t="s">
        <v>22</v>
      </c>
      <c r="H750" t="s">
        <v>23</v>
      </c>
      <c r="I750">
        <v>1</v>
      </c>
      <c r="J750" t="s">
        <v>24</v>
      </c>
      <c r="K750" t="s">
        <v>25</v>
      </c>
      <c r="L750" t="s">
        <v>26</v>
      </c>
      <c r="M750" t="s">
        <v>27</v>
      </c>
      <c r="N750" t="s">
        <v>28</v>
      </c>
      <c r="O750" t="e">
        <f>_xlfn.XLOOKUP(E750,[1]syr_populatedplaces!$L:$L,[1]syr_populatedplaces!$M:$M)</f>
        <v>#N/A</v>
      </c>
      <c r="P750">
        <f>_xlfn.XLOOKUP(الجدول1[[#This Row],[القرية– البلدة]],[2]!الجدول1[القرية– البلدة],[2]!الجدول1[Latitude])</f>
        <v>36.275538823018699</v>
      </c>
      <c r="Q750">
        <f>_xlfn.XLOOKUP(الجدول1[[#This Row],[القرية– البلدة]],[2]!الجدول1[القرية– البلدة],[2]!الجدول1[Longitude])</f>
        <v>36.821110055341997</v>
      </c>
    </row>
    <row r="751" spans="2:17">
      <c r="B751" t="s">
        <v>17</v>
      </c>
      <c r="C751" t="s">
        <v>18</v>
      </c>
      <c r="D751" t="s">
        <v>19</v>
      </c>
      <c r="E751" t="s">
        <v>66</v>
      </c>
      <c r="F751" t="s">
        <v>21</v>
      </c>
      <c r="G751" t="s">
        <v>22</v>
      </c>
      <c r="H751" t="s">
        <v>23</v>
      </c>
      <c r="I751">
        <v>1</v>
      </c>
      <c r="J751" t="s">
        <v>24</v>
      </c>
      <c r="K751" t="s">
        <v>25</v>
      </c>
      <c r="L751" t="s">
        <v>26</v>
      </c>
      <c r="M751" t="s">
        <v>27</v>
      </c>
      <c r="N751" t="s">
        <v>28</v>
      </c>
      <c r="O751" t="e">
        <f>_xlfn.XLOOKUP(E751,[1]syr_populatedplaces!$L:$L,[1]syr_populatedplaces!$M:$M)</f>
        <v>#N/A</v>
      </c>
      <c r="P751">
        <f>_xlfn.XLOOKUP(الجدول1[[#This Row],[القرية– البلدة]],[2]!الجدول1[القرية– البلدة],[2]!الجدول1[Latitude])</f>
        <v>36.652497244057699</v>
      </c>
      <c r="Q751">
        <f>_xlfn.XLOOKUP(الجدول1[[#This Row],[القرية– البلدة]],[2]!الجدول1[القرية– البلدة],[2]!الجدول1[Longitude])</f>
        <v>36.911815987107303</v>
      </c>
    </row>
    <row r="752" spans="2:17">
      <c r="B752" t="s">
        <v>17</v>
      </c>
      <c r="C752" t="s">
        <v>18</v>
      </c>
      <c r="D752" t="s">
        <v>19</v>
      </c>
      <c r="E752" t="s">
        <v>66</v>
      </c>
      <c r="F752" t="s">
        <v>21</v>
      </c>
      <c r="G752" t="s">
        <v>22</v>
      </c>
      <c r="H752" t="s">
        <v>23</v>
      </c>
      <c r="I752">
        <v>1</v>
      </c>
      <c r="J752" t="s">
        <v>24</v>
      </c>
      <c r="K752" t="s">
        <v>25</v>
      </c>
      <c r="L752" t="s">
        <v>26</v>
      </c>
      <c r="M752" t="s">
        <v>27</v>
      </c>
      <c r="N752" t="s">
        <v>28</v>
      </c>
      <c r="O752" t="e">
        <f>_xlfn.XLOOKUP(E752,[1]syr_populatedplaces!$L:$L,[1]syr_populatedplaces!$M:$M)</f>
        <v>#N/A</v>
      </c>
      <c r="P752">
        <f>_xlfn.XLOOKUP(الجدول1[[#This Row],[القرية– البلدة]],[2]!الجدول1[القرية– البلدة],[2]!الجدول1[Latitude])</f>
        <v>36.652497244057699</v>
      </c>
      <c r="Q752">
        <f>_xlfn.XLOOKUP(الجدول1[[#This Row],[القرية– البلدة]],[2]!الجدول1[القرية– البلدة],[2]!الجدول1[Longitude])</f>
        <v>36.911815987107303</v>
      </c>
    </row>
    <row r="753" spans="2:17">
      <c r="B753" t="s">
        <v>17</v>
      </c>
      <c r="C753" t="s">
        <v>18</v>
      </c>
      <c r="D753" t="s">
        <v>19</v>
      </c>
      <c r="E753" t="s">
        <v>72</v>
      </c>
      <c r="F753" t="s">
        <v>21</v>
      </c>
      <c r="G753" t="s">
        <v>22</v>
      </c>
      <c r="H753" t="s">
        <v>23</v>
      </c>
      <c r="I753">
        <v>1</v>
      </c>
      <c r="J753" t="s">
        <v>24</v>
      </c>
      <c r="K753" t="s">
        <v>25</v>
      </c>
      <c r="L753" t="s">
        <v>26</v>
      </c>
      <c r="M753" t="s">
        <v>27</v>
      </c>
      <c r="N753" t="s">
        <v>28</v>
      </c>
      <c r="O753" t="e">
        <f>_xlfn.XLOOKUP(E753,[1]syr_populatedplaces!$L:$L,[1]syr_populatedplaces!$M:$M)</f>
        <v>#N/A</v>
      </c>
      <c r="P753">
        <f>_xlfn.XLOOKUP(الجدول1[[#This Row],[القرية– البلدة]],[2]!الجدول1[القرية– البلدة],[2]!الجدول1[Latitude])</f>
        <v>36.411429064127198</v>
      </c>
      <c r="Q753">
        <f>_xlfn.XLOOKUP(الجدول1[[#This Row],[القرية– البلدة]],[2]!الجدول1[القرية– البلدة],[2]!الجدول1[Longitude])</f>
        <v>36.690805675093699</v>
      </c>
    </row>
    <row r="754" spans="2:17" ht="15">
      <c r="B754" t="s">
        <v>17</v>
      </c>
      <c r="C754" t="s">
        <v>18</v>
      </c>
      <c r="D754" t="s">
        <v>19</v>
      </c>
      <c r="E754" t="s">
        <v>80</v>
      </c>
      <c r="F754" t="s">
        <v>21</v>
      </c>
      <c r="G754" t="s">
        <v>22</v>
      </c>
      <c r="H754" t="s">
        <v>23</v>
      </c>
      <c r="I754">
        <v>1</v>
      </c>
      <c r="J754" t="s">
        <v>24</v>
      </c>
      <c r="K754" t="s">
        <v>25</v>
      </c>
      <c r="L754" t="s">
        <v>26</v>
      </c>
      <c r="M754" t="s">
        <v>27</v>
      </c>
      <c r="N754" t="s">
        <v>28</v>
      </c>
      <c r="O754" t="e">
        <f>_xlfn.XLOOKUP(E754,[1]syr_populatedplaces!$L:$L,[1]syr_populatedplaces!$M:$M)</f>
        <v>#N/A</v>
      </c>
      <c r="P754" s="4" t="e">
        <f>_xlfn.XLOOKUP(الجدول1[[#This Row],[القرية– البلدة]],[1]syr_populatedplaces!$L:$L,[1]syr_populatedplaces!$AD:$AD)</f>
        <v>#N/A</v>
      </c>
      <c r="Q754" s="4" t="e">
        <f>_xlfn.XLOOKUP(الجدول1[[#This Row],[القرية– البلدة]],[1]syr_populatedplaces!$L:$L,[1]syr_populatedplaces!$AC:$AC)</f>
        <v>#N/A</v>
      </c>
    </row>
    <row r="755" spans="2:17" ht="15">
      <c r="B755" t="s">
        <v>17</v>
      </c>
      <c r="C755" t="s">
        <v>18</v>
      </c>
      <c r="D755" t="s">
        <v>19</v>
      </c>
      <c r="E755" t="s">
        <v>86</v>
      </c>
      <c r="F755" t="s">
        <v>21</v>
      </c>
      <c r="G755" t="s">
        <v>22</v>
      </c>
      <c r="H755" t="s">
        <v>23</v>
      </c>
      <c r="I755">
        <v>1</v>
      </c>
      <c r="J755" t="s">
        <v>24</v>
      </c>
      <c r="K755" t="s">
        <v>25</v>
      </c>
      <c r="L755" t="s">
        <v>26</v>
      </c>
      <c r="M755" t="s">
        <v>27</v>
      </c>
      <c r="N755" t="s">
        <v>28</v>
      </c>
      <c r="O755" t="e">
        <f>_xlfn.XLOOKUP(E755,[1]syr_populatedplaces!$L:$L,[1]syr_populatedplaces!$M:$M)</f>
        <v>#N/A</v>
      </c>
      <c r="P755" s="4" t="e">
        <f>_xlfn.XLOOKUP(الجدول1[[#This Row],[القرية– البلدة]],[1]syr_populatedplaces!$L:$L,[1]syr_populatedplaces!$AD:$AD)</f>
        <v>#N/A</v>
      </c>
      <c r="Q755" s="4" t="e">
        <f>_xlfn.XLOOKUP(الجدول1[[#This Row],[القرية– البلدة]],[1]syr_populatedplaces!$L:$L,[1]syr_populatedplaces!$AC:$AC)</f>
        <v>#N/A</v>
      </c>
    </row>
    <row r="756" spans="2:17">
      <c r="B756" t="s">
        <v>17</v>
      </c>
      <c r="C756" t="s">
        <v>18</v>
      </c>
      <c r="D756" t="s">
        <v>19</v>
      </c>
      <c r="E756" t="s">
        <v>75</v>
      </c>
      <c r="F756" t="s">
        <v>21</v>
      </c>
      <c r="G756" t="s">
        <v>22</v>
      </c>
      <c r="H756" t="s">
        <v>23</v>
      </c>
      <c r="I756">
        <v>1</v>
      </c>
      <c r="J756" t="s">
        <v>24</v>
      </c>
      <c r="K756" t="s">
        <v>25</v>
      </c>
      <c r="L756" t="s">
        <v>26</v>
      </c>
      <c r="M756" t="s">
        <v>27</v>
      </c>
      <c r="N756" t="s">
        <v>28</v>
      </c>
      <c r="O756" t="e">
        <f>_xlfn.XLOOKUP(E756,[1]syr_populatedplaces!$L:$L,[1]syr_populatedplaces!$M:$M)</f>
        <v>#N/A</v>
      </c>
      <c r="P756">
        <f>_xlfn.XLOOKUP(الجدول1[[#This Row],[القرية– البلدة]],[2]!الجدول1[القرية– البلدة],[2]!الجدول1[Latitude])</f>
        <v>36.548895000000002</v>
      </c>
      <c r="Q756">
        <f>_xlfn.XLOOKUP(الجدول1[[#This Row],[القرية– البلدة]],[2]!الجدول1[القرية– البلدة],[2]!الجدول1[Longitude])</f>
        <v>36.877927999999997</v>
      </c>
    </row>
    <row r="757" spans="2:17" ht="15">
      <c r="B757" t="s">
        <v>17</v>
      </c>
      <c r="C757" t="s">
        <v>18</v>
      </c>
      <c r="D757" t="s">
        <v>19</v>
      </c>
      <c r="E757" t="s">
        <v>87</v>
      </c>
      <c r="F757" t="s">
        <v>21</v>
      </c>
      <c r="G757" t="s">
        <v>22</v>
      </c>
      <c r="H757" t="s">
        <v>23</v>
      </c>
      <c r="I757">
        <v>1</v>
      </c>
      <c r="J757" t="s">
        <v>24</v>
      </c>
      <c r="K757" t="s">
        <v>25</v>
      </c>
      <c r="L757" t="s">
        <v>26</v>
      </c>
      <c r="M757" t="s">
        <v>27</v>
      </c>
      <c r="N757" t="s">
        <v>28</v>
      </c>
      <c r="O757" t="e">
        <f>_xlfn.XLOOKUP(E757,[1]syr_populatedplaces!$L:$L,[1]syr_populatedplaces!$M:$M)</f>
        <v>#N/A</v>
      </c>
      <c r="P757" s="4" t="e">
        <f>_xlfn.XLOOKUP(الجدول1[[#This Row],[القرية– البلدة]],[1]syr_populatedplaces!$L:$L,[1]syr_populatedplaces!$AD:$AD)</f>
        <v>#N/A</v>
      </c>
      <c r="Q757" s="4" t="e">
        <f>_xlfn.XLOOKUP(الجدول1[[#This Row],[القرية– البلدة]],[1]syr_populatedplaces!$L:$L,[1]syr_populatedplaces!$AC:$AC)</f>
        <v>#N/A</v>
      </c>
    </row>
    <row r="758" spans="2:17">
      <c r="B758" t="s">
        <v>17</v>
      </c>
      <c r="C758" t="s">
        <v>18</v>
      </c>
      <c r="D758" t="s">
        <v>19</v>
      </c>
      <c r="E758" t="s">
        <v>90</v>
      </c>
      <c r="F758" t="s">
        <v>21</v>
      </c>
      <c r="G758" t="s">
        <v>22</v>
      </c>
      <c r="H758" t="s">
        <v>23</v>
      </c>
      <c r="I758">
        <v>1</v>
      </c>
      <c r="J758" t="s">
        <v>24</v>
      </c>
      <c r="K758" t="s">
        <v>25</v>
      </c>
      <c r="L758" t="s">
        <v>26</v>
      </c>
      <c r="M758" t="s">
        <v>27</v>
      </c>
      <c r="N758" t="s">
        <v>28</v>
      </c>
      <c r="O758" t="e">
        <f>_xlfn.XLOOKUP(E758,[1]syr_populatedplaces!$L:$L,[1]syr_populatedplaces!$M:$M)</f>
        <v>#N/A</v>
      </c>
      <c r="P758">
        <f>_xlfn.XLOOKUP(الجدول1[[#This Row],[القرية– البلدة]],[2]!الجدول1[القرية– البلدة],[2]!الجدول1[Latitude])</f>
        <v>36.744053130159699</v>
      </c>
      <c r="Q758">
        <f>_xlfn.XLOOKUP(الجدول1[[#This Row],[القرية– البلدة]],[2]!الجدول1[القرية– البلدة],[2]!الجدول1[Longitude])</f>
        <v>36.959173918846297</v>
      </c>
    </row>
    <row r="759" spans="2:17">
      <c r="B759" t="s">
        <v>17</v>
      </c>
      <c r="C759" t="s">
        <v>18</v>
      </c>
      <c r="D759" t="s">
        <v>19</v>
      </c>
      <c r="E759" t="s">
        <v>1781</v>
      </c>
      <c r="F759" t="s">
        <v>21</v>
      </c>
      <c r="G759" t="s">
        <v>22</v>
      </c>
      <c r="H759" t="s">
        <v>23</v>
      </c>
      <c r="I759">
        <v>1</v>
      </c>
      <c r="J759" t="s">
        <v>24</v>
      </c>
      <c r="K759" t="s">
        <v>25</v>
      </c>
      <c r="L759" t="s">
        <v>26</v>
      </c>
      <c r="M759" t="s">
        <v>27</v>
      </c>
      <c r="N759" t="s">
        <v>28</v>
      </c>
      <c r="O759" t="e">
        <f>_xlfn.XLOOKUP(E759,[1]syr_populatedplaces!$L:$L,[1]syr_populatedplaces!$M:$M)</f>
        <v>#N/A</v>
      </c>
      <c r="P759">
        <f>_xlfn.XLOOKUP(الجدول1[[#This Row],[القرية– البلدة]],[2]!الجدول1[القرية– البلدة],[2]!الجدول1[Latitude])</f>
        <v>36.785469186983697</v>
      </c>
      <c r="Q759">
        <f>_xlfn.XLOOKUP(الجدول1[[#This Row],[القرية– البلدة]],[2]!الجدول1[القرية– البلدة],[2]!الجدول1[Longitude])</f>
        <v>36.8008947396061</v>
      </c>
    </row>
    <row r="760" spans="2:17" ht="15">
      <c r="B760" t="s">
        <v>17</v>
      </c>
      <c r="C760" t="s">
        <v>18</v>
      </c>
      <c r="D760" t="s">
        <v>19</v>
      </c>
      <c r="E760" t="s">
        <v>1782</v>
      </c>
      <c r="F760" t="s">
        <v>21</v>
      </c>
      <c r="G760" t="s">
        <v>22</v>
      </c>
      <c r="H760" t="s">
        <v>23</v>
      </c>
      <c r="I760">
        <v>1</v>
      </c>
      <c r="J760" t="s">
        <v>24</v>
      </c>
      <c r="K760" t="s">
        <v>25</v>
      </c>
      <c r="L760" t="s">
        <v>26</v>
      </c>
      <c r="M760" t="s">
        <v>27</v>
      </c>
      <c r="N760" t="s">
        <v>28</v>
      </c>
      <c r="O760" t="e">
        <f>_xlfn.XLOOKUP(E760,[1]syr_populatedplaces!$L:$L,[1]syr_populatedplaces!$M:$M)</f>
        <v>#N/A</v>
      </c>
      <c r="P760" s="4" t="e">
        <f>_xlfn.XLOOKUP(الجدول1[[#This Row],[القرية– البلدة]],[1]syr_populatedplaces!$L:$L,[1]syr_populatedplaces!$AD:$AD)</f>
        <v>#N/A</v>
      </c>
      <c r="Q760" s="4" t="e">
        <f>_xlfn.XLOOKUP(الجدول1[[#This Row],[القرية– البلدة]],[1]syr_populatedplaces!$L:$L,[1]syr_populatedplaces!$AC:$AC)</f>
        <v>#N/A</v>
      </c>
    </row>
    <row r="761" spans="2:17" ht="15">
      <c r="B761" t="s">
        <v>17</v>
      </c>
      <c r="C761" t="s">
        <v>18</v>
      </c>
      <c r="D761" t="s">
        <v>19</v>
      </c>
      <c r="E761" t="s">
        <v>91</v>
      </c>
      <c r="F761" t="s">
        <v>21</v>
      </c>
      <c r="G761" t="s">
        <v>22</v>
      </c>
      <c r="H761" t="s">
        <v>23</v>
      </c>
      <c r="I761">
        <v>1</v>
      </c>
      <c r="J761" t="s">
        <v>24</v>
      </c>
      <c r="K761" t="s">
        <v>25</v>
      </c>
      <c r="L761" t="s">
        <v>26</v>
      </c>
      <c r="M761" t="s">
        <v>27</v>
      </c>
      <c r="N761" t="s">
        <v>28</v>
      </c>
      <c r="O761" t="e">
        <f>_xlfn.XLOOKUP(E761,[1]syr_populatedplaces!$L:$L,[1]syr_populatedplaces!$M:$M)</f>
        <v>#N/A</v>
      </c>
      <c r="P761" s="4" t="e">
        <f>_xlfn.XLOOKUP(الجدول1[[#This Row],[القرية– البلدة]],[1]syr_populatedplaces!$L:$L,[1]syr_populatedplaces!$AD:$AD)</f>
        <v>#N/A</v>
      </c>
      <c r="Q761" s="4" t="e">
        <f>_xlfn.XLOOKUP(الجدول1[[#This Row],[القرية– البلدة]],[1]syr_populatedplaces!$L:$L,[1]syr_populatedplaces!$AC:$AC)</f>
        <v>#N/A</v>
      </c>
    </row>
    <row r="762" spans="2:17">
      <c r="B762" t="s">
        <v>17</v>
      </c>
      <c r="C762" t="s">
        <v>18</v>
      </c>
      <c r="D762" t="s">
        <v>19</v>
      </c>
      <c r="E762" t="s">
        <v>1779</v>
      </c>
      <c r="F762" t="s">
        <v>21</v>
      </c>
      <c r="G762" t="s">
        <v>22</v>
      </c>
      <c r="H762" t="s">
        <v>23</v>
      </c>
      <c r="I762">
        <v>1</v>
      </c>
      <c r="J762" t="s">
        <v>24</v>
      </c>
      <c r="K762" t="s">
        <v>25</v>
      </c>
      <c r="L762" t="s">
        <v>26</v>
      </c>
      <c r="M762" t="s">
        <v>27</v>
      </c>
      <c r="N762" t="s">
        <v>28</v>
      </c>
      <c r="O762" t="str">
        <f>_xlfn.XLOOKUP(E762,[1]syr_populatedplaces!$L:$L,[1]syr_populatedplaces!$M:$M)</f>
        <v>C1540</v>
      </c>
      <c r="P762">
        <f>_xlfn.XLOOKUP(الجدول1[[#This Row],[القرية– البلدة]],[2]!الجدول1[القرية– البلدة],[2]!الجدول1[Latitude])</f>
        <v>36.531508000000002</v>
      </c>
      <c r="Q762">
        <f>_xlfn.XLOOKUP(الجدول1[[#This Row],[القرية– البلدة]],[2]!الجدول1[القرية– البلدة],[2]!الجدول1[Longitude])</f>
        <v>36.713188000000002</v>
      </c>
    </row>
    <row r="763" spans="2:17">
      <c r="B763" t="s">
        <v>17</v>
      </c>
      <c r="C763" t="s">
        <v>18</v>
      </c>
      <c r="D763" t="s">
        <v>19</v>
      </c>
      <c r="E763" t="s">
        <v>94</v>
      </c>
      <c r="F763" t="s">
        <v>21</v>
      </c>
      <c r="G763" t="s">
        <v>22</v>
      </c>
      <c r="H763" t="s">
        <v>23</v>
      </c>
      <c r="I763">
        <v>1</v>
      </c>
      <c r="J763" t="s">
        <v>24</v>
      </c>
      <c r="K763" t="s">
        <v>25</v>
      </c>
      <c r="L763" t="s">
        <v>26</v>
      </c>
      <c r="M763" t="s">
        <v>27</v>
      </c>
      <c r="N763" t="s">
        <v>28</v>
      </c>
      <c r="O763" t="e">
        <f>_xlfn.XLOOKUP(E763,[1]syr_populatedplaces!$L:$L,[1]syr_populatedplaces!$M:$M)</f>
        <v>#N/A</v>
      </c>
      <c r="P763">
        <f>_xlfn.XLOOKUP(الجدول1[[#This Row],[القرية– البلدة]],[2]!الجدول1[القرية– البلدة],[2]!الجدول1[Latitude])</f>
        <v>36.6652857276164</v>
      </c>
      <c r="Q763">
        <f>_xlfn.XLOOKUP(الجدول1[[#This Row],[القرية– البلدة]],[2]!الجدول1[القرية– البلدة],[2]!الجدول1[Longitude])</f>
        <v>37.111906196525602</v>
      </c>
    </row>
    <row r="764" spans="2:17" ht="15">
      <c r="B764" t="s">
        <v>17</v>
      </c>
      <c r="C764" t="s">
        <v>18</v>
      </c>
      <c r="D764" t="s">
        <v>19</v>
      </c>
      <c r="E764" t="s">
        <v>95</v>
      </c>
      <c r="F764" t="s">
        <v>96</v>
      </c>
      <c r="G764" t="s">
        <v>97</v>
      </c>
      <c r="H764" t="s">
        <v>98</v>
      </c>
      <c r="I764">
        <v>1</v>
      </c>
      <c r="J764" t="s">
        <v>99</v>
      </c>
      <c r="K764" t="s">
        <v>100</v>
      </c>
      <c r="L764" t="s">
        <v>101</v>
      </c>
      <c r="M764" t="s">
        <v>27</v>
      </c>
      <c r="N764" t="s">
        <v>24</v>
      </c>
      <c r="O764" t="e">
        <f>_xlfn.XLOOKUP(E764,[1]syr_populatedplaces!$L:$L,[1]syr_populatedplaces!$M:$M)</f>
        <v>#N/A</v>
      </c>
      <c r="P764" s="4" t="e">
        <f>_xlfn.XLOOKUP(الجدول1[[#This Row],[القرية– البلدة]],[1]syr_populatedplaces!$L:$L,[1]syr_populatedplaces!$AD:$AD)</f>
        <v>#N/A</v>
      </c>
      <c r="Q764" s="4" t="e">
        <f>_xlfn.XLOOKUP(الجدول1[[#This Row],[القرية– البلدة]],[1]syr_populatedplaces!$L:$L,[1]syr_populatedplaces!$AC:$AC)</f>
        <v>#N/A</v>
      </c>
    </row>
    <row r="765" spans="2:17">
      <c r="B765" t="s">
        <v>17</v>
      </c>
      <c r="C765" t="s">
        <v>18</v>
      </c>
      <c r="D765" t="s">
        <v>19</v>
      </c>
      <c r="E765" t="s">
        <v>102</v>
      </c>
      <c r="F765" t="s">
        <v>96</v>
      </c>
      <c r="G765" t="s">
        <v>97</v>
      </c>
      <c r="H765" t="s">
        <v>98</v>
      </c>
      <c r="I765">
        <v>1</v>
      </c>
      <c r="J765" t="s">
        <v>99</v>
      </c>
      <c r="K765" t="s">
        <v>100</v>
      </c>
      <c r="L765" t="s">
        <v>101</v>
      </c>
      <c r="M765" t="s">
        <v>27</v>
      </c>
      <c r="N765" t="s">
        <v>24</v>
      </c>
      <c r="O765" t="e">
        <f>_xlfn.XLOOKUP(E765,[1]syr_populatedplaces!$L:$L,[1]syr_populatedplaces!$M:$M)</f>
        <v>#N/A</v>
      </c>
      <c r="P765">
        <f>_xlfn.XLOOKUP(الجدول1[[#This Row],[القرية– البلدة]],[2]!الجدول1[القرية– البلدة],[2]!الجدول1[Latitude])</f>
        <v>35.92277</v>
      </c>
      <c r="Q765">
        <f>_xlfn.XLOOKUP(الجدول1[[#This Row],[القرية– البلدة]],[2]!الجدول1[القرية– البلدة],[2]!الجدول1[Longitude])</f>
        <v>36.923077999999997</v>
      </c>
    </row>
    <row r="766" spans="2:17">
      <c r="B766" t="s">
        <v>17</v>
      </c>
      <c r="C766" t="s">
        <v>18</v>
      </c>
      <c r="D766" t="s">
        <v>19</v>
      </c>
      <c r="E766" t="s">
        <v>103</v>
      </c>
      <c r="F766" t="s">
        <v>96</v>
      </c>
      <c r="G766" t="s">
        <v>97</v>
      </c>
      <c r="H766" t="s">
        <v>98</v>
      </c>
      <c r="I766">
        <v>1</v>
      </c>
      <c r="J766" t="s">
        <v>99</v>
      </c>
      <c r="K766" t="s">
        <v>100</v>
      </c>
      <c r="L766" t="s">
        <v>101</v>
      </c>
      <c r="M766" t="s">
        <v>27</v>
      </c>
      <c r="N766" t="s">
        <v>24</v>
      </c>
      <c r="O766" t="e">
        <f>_xlfn.XLOOKUP(E766,[1]syr_populatedplaces!$L:$L,[1]syr_populatedplaces!$M:$M)</f>
        <v>#N/A</v>
      </c>
      <c r="P766">
        <f>_xlfn.XLOOKUP(الجدول1[[#This Row],[القرية– البلدة]],[2]!الجدول1[القرية– البلدة],[2]!الجدول1[Latitude])</f>
        <v>34.908502072854603</v>
      </c>
      <c r="Q766">
        <f>_xlfn.XLOOKUP(الجدول1[[#This Row],[القرية– البلدة]],[2]!الجدول1[القرية– البلدة],[2]!الجدول1[Longitude])</f>
        <v>35.9010585451962</v>
      </c>
    </row>
    <row r="767" spans="2:17">
      <c r="B767" t="s">
        <v>17</v>
      </c>
      <c r="C767" t="s">
        <v>18</v>
      </c>
      <c r="D767" t="s">
        <v>19</v>
      </c>
      <c r="E767" t="s">
        <v>58</v>
      </c>
      <c r="F767" t="s">
        <v>96</v>
      </c>
      <c r="G767" t="s">
        <v>106</v>
      </c>
      <c r="H767" t="s">
        <v>107</v>
      </c>
      <c r="I767">
        <v>1</v>
      </c>
      <c r="J767" t="s">
        <v>108</v>
      </c>
      <c r="K767" t="s">
        <v>109</v>
      </c>
      <c r="L767" t="s">
        <v>110</v>
      </c>
      <c r="M767" t="s">
        <v>27</v>
      </c>
      <c r="N767" t="s">
        <v>111</v>
      </c>
      <c r="O767" t="e">
        <f>_xlfn.XLOOKUP(E767,[1]syr_populatedplaces!$L:$L,[1]syr_populatedplaces!$M:$M)</f>
        <v>#N/A</v>
      </c>
      <c r="P767">
        <f>_xlfn.XLOOKUP(الجدول1[[#This Row],[القرية– البلدة]],[2]!الجدول1[القرية– البلدة],[2]!الجدول1[Latitude])</f>
        <v>36.619952917972398</v>
      </c>
      <c r="Q767">
        <f>_xlfn.XLOOKUP(الجدول1[[#This Row],[القرية– البلدة]],[2]!الجدول1[القرية– البلدة],[2]!الجدول1[Longitude])</f>
        <v>37.077017547365301</v>
      </c>
    </row>
    <row r="768" spans="2:17" ht="15">
      <c r="B768" t="s">
        <v>17</v>
      </c>
      <c r="C768" t="s">
        <v>18</v>
      </c>
      <c r="D768" t="s">
        <v>19</v>
      </c>
      <c r="E768" t="s">
        <v>113</v>
      </c>
      <c r="F768" t="s">
        <v>96</v>
      </c>
      <c r="G768" t="s">
        <v>106</v>
      </c>
      <c r="H768" t="s">
        <v>107</v>
      </c>
      <c r="I768">
        <v>1</v>
      </c>
      <c r="J768" t="s">
        <v>108</v>
      </c>
      <c r="K768" t="s">
        <v>109</v>
      </c>
      <c r="L768" t="s">
        <v>110</v>
      </c>
      <c r="M768" t="s">
        <v>27</v>
      </c>
      <c r="N768" t="s">
        <v>111</v>
      </c>
      <c r="O768" t="e">
        <f>_xlfn.XLOOKUP(E768,[1]syr_populatedplaces!$L:$L,[1]syr_populatedplaces!$M:$M)</f>
        <v>#N/A</v>
      </c>
      <c r="P768" s="4" t="e">
        <f>_xlfn.XLOOKUP(الجدول1[[#This Row],[القرية– البلدة]],[1]syr_populatedplaces!$L:$L,[1]syr_populatedplaces!$AD:$AD)</f>
        <v>#N/A</v>
      </c>
      <c r="Q768" s="4" t="e">
        <f>_xlfn.XLOOKUP(الجدول1[[#This Row],[القرية– البلدة]],[1]syr_populatedplaces!$L:$L,[1]syr_populatedplaces!$AC:$AC)</f>
        <v>#N/A</v>
      </c>
    </row>
    <row r="769" spans="2:17">
      <c r="B769" t="s">
        <v>17</v>
      </c>
      <c r="C769" t="s">
        <v>18</v>
      </c>
      <c r="D769" t="s">
        <v>19</v>
      </c>
      <c r="E769" t="s">
        <v>115</v>
      </c>
      <c r="F769" t="s">
        <v>96</v>
      </c>
      <c r="G769" t="s">
        <v>106</v>
      </c>
      <c r="H769" t="s">
        <v>107</v>
      </c>
      <c r="I769">
        <v>1</v>
      </c>
      <c r="J769" t="s">
        <v>108</v>
      </c>
      <c r="K769" t="s">
        <v>109</v>
      </c>
      <c r="L769" t="s">
        <v>110</v>
      </c>
      <c r="M769" t="s">
        <v>27</v>
      </c>
      <c r="N769" t="s">
        <v>111</v>
      </c>
      <c r="O769" t="e">
        <f>_xlfn.XLOOKUP(E769,[1]syr_populatedplaces!$L:$L,[1]syr_populatedplaces!$M:$M)</f>
        <v>#N/A</v>
      </c>
      <c r="P769">
        <f>_xlfn.XLOOKUP(الجدول1[[#This Row],[القرية– البلدة]],[2]!الجدول1[القرية– البلدة],[2]!الجدول1[Latitude])</f>
        <v>36.396733866790903</v>
      </c>
      <c r="Q769">
        <f>_xlfn.XLOOKUP(الجدول1[[#This Row],[القرية– البلدة]],[2]!الجدول1[القرية– البلدة],[2]!الجدول1[Longitude])</f>
        <v>36.711309267873801</v>
      </c>
    </row>
    <row r="770" spans="2:17" ht="15">
      <c r="B770" t="s">
        <v>17</v>
      </c>
      <c r="C770" t="s">
        <v>18</v>
      </c>
      <c r="D770" t="s">
        <v>19</v>
      </c>
      <c r="E770" t="s">
        <v>118</v>
      </c>
      <c r="F770" t="s">
        <v>96</v>
      </c>
      <c r="G770" t="s">
        <v>106</v>
      </c>
      <c r="H770" t="s">
        <v>107</v>
      </c>
      <c r="I770">
        <v>1</v>
      </c>
      <c r="J770" t="s">
        <v>108</v>
      </c>
      <c r="K770" t="s">
        <v>109</v>
      </c>
      <c r="L770" t="s">
        <v>110</v>
      </c>
      <c r="M770" t="s">
        <v>27</v>
      </c>
      <c r="N770" t="s">
        <v>111</v>
      </c>
      <c r="O770" t="e">
        <f>_xlfn.XLOOKUP(E770,[1]syr_populatedplaces!$L:$L,[1]syr_populatedplaces!$M:$M)</f>
        <v>#N/A</v>
      </c>
      <c r="P770" s="4" t="e">
        <f>_xlfn.XLOOKUP(الجدول1[[#This Row],[القرية– البلدة]],[1]syr_populatedplaces!$L:$L,[1]syr_populatedplaces!$AD:$AD)</f>
        <v>#N/A</v>
      </c>
      <c r="Q770" s="4" t="e">
        <f>_xlfn.XLOOKUP(الجدول1[[#This Row],[القرية– البلدة]],[1]syr_populatedplaces!$L:$L,[1]syr_populatedplaces!$AC:$AC)</f>
        <v>#N/A</v>
      </c>
    </row>
    <row r="771" spans="2:17" ht="15">
      <c r="B771" t="s">
        <v>17</v>
      </c>
      <c r="C771" t="s">
        <v>18</v>
      </c>
      <c r="D771" t="s">
        <v>19</v>
      </c>
      <c r="E771" t="s">
        <v>119</v>
      </c>
      <c r="F771" t="s">
        <v>96</v>
      </c>
      <c r="G771" t="s">
        <v>106</v>
      </c>
      <c r="H771" t="s">
        <v>107</v>
      </c>
      <c r="I771">
        <v>1</v>
      </c>
      <c r="J771" t="s">
        <v>108</v>
      </c>
      <c r="K771" t="s">
        <v>109</v>
      </c>
      <c r="L771" t="s">
        <v>110</v>
      </c>
      <c r="M771" t="s">
        <v>27</v>
      </c>
      <c r="N771" t="s">
        <v>111</v>
      </c>
      <c r="O771" t="e">
        <f>_xlfn.XLOOKUP(E771,[1]syr_populatedplaces!$L:$L,[1]syr_populatedplaces!$M:$M)</f>
        <v>#N/A</v>
      </c>
      <c r="P771" s="4" t="e">
        <f>_xlfn.XLOOKUP(الجدول1[[#This Row],[القرية– البلدة]],[1]syr_populatedplaces!$L:$L,[1]syr_populatedplaces!$AD:$AD)</f>
        <v>#N/A</v>
      </c>
      <c r="Q771" s="4" t="e">
        <f>_xlfn.XLOOKUP(الجدول1[[#This Row],[القرية– البلدة]],[1]syr_populatedplaces!$L:$L,[1]syr_populatedplaces!$AC:$AC)</f>
        <v>#N/A</v>
      </c>
    </row>
    <row r="772" spans="2:17">
      <c r="B772" t="s">
        <v>17</v>
      </c>
      <c r="C772" t="s">
        <v>18</v>
      </c>
      <c r="D772" t="s">
        <v>19</v>
      </c>
      <c r="E772" t="s">
        <v>121</v>
      </c>
      <c r="F772" t="s">
        <v>96</v>
      </c>
      <c r="G772" t="s">
        <v>106</v>
      </c>
      <c r="H772" t="s">
        <v>107</v>
      </c>
      <c r="I772">
        <v>1</v>
      </c>
      <c r="J772" t="s">
        <v>108</v>
      </c>
      <c r="K772" t="s">
        <v>109</v>
      </c>
      <c r="L772" t="s">
        <v>110</v>
      </c>
      <c r="M772" t="s">
        <v>27</v>
      </c>
      <c r="N772" t="s">
        <v>111</v>
      </c>
      <c r="O772" t="e">
        <f>_xlfn.XLOOKUP(E772,[1]syr_populatedplaces!$L:$L,[1]syr_populatedplaces!$M:$M)</f>
        <v>#N/A</v>
      </c>
      <c r="P772">
        <f>_xlfn.XLOOKUP(الجدول1[[#This Row],[القرية– البلدة]],[2]!الجدول1[القرية– البلدة],[2]!الجدول1[Latitude])</f>
        <v>36.127718638186401</v>
      </c>
      <c r="Q772">
        <f>_xlfn.XLOOKUP(الجدول1[[#This Row],[القرية– البلدة]],[2]!الجدول1[القرية– البلدة],[2]!الجدول1[Longitude])</f>
        <v>36.745597581379997</v>
      </c>
    </row>
    <row r="773" spans="2:17">
      <c r="B773" t="s">
        <v>17</v>
      </c>
      <c r="C773" t="s">
        <v>18</v>
      </c>
      <c r="D773" t="s">
        <v>19</v>
      </c>
      <c r="E773" t="s">
        <v>122</v>
      </c>
      <c r="F773" t="s">
        <v>96</v>
      </c>
      <c r="G773" t="s">
        <v>123</v>
      </c>
      <c r="H773" t="s">
        <v>124</v>
      </c>
      <c r="I773">
        <v>1</v>
      </c>
      <c r="J773" t="s">
        <v>99</v>
      </c>
      <c r="K773" t="s">
        <v>125</v>
      </c>
      <c r="L773" t="s">
        <v>126</v>
      </c>
      <c r="M773" t="s">
        <v>27</v>
      </c>
      <c r="N773" t="s">
        <v>99</v>
      </c>
      <c r="O773" t="e">
        <f>_xlfn.XLOOKUP(E773,[1]syr_populatedplaces!$L:$L,[1]syr_populatedplaces!$M:$M)</f>
        <v>#N/A</v>
      </c>
      <c r="P773">
        <f>_xlfn.XLOOKUP(الجدول1[[#This Row],[القرية– البلدة]],[2]!الجدول1[القرية– البلدة],[2]!الجدول1[Latitude])</f>
        <v>34.908502072854603</v>
      </c>
      <c r="Q773">
        <f>_xlfn.XLOOKUP(الجدول1[[#This Row],[القرية– البلدة]],[2]!الجدول1[القرية– البلدة],[2]!الجدول1[Longitude])</f>
        <v>35.9010585451962</v>
      </c>
    </row>
    <row r="774" spans="2:17" ht="15">
      <c r="B774" t="s">
        <v>381</v>
      </c>
      <c r="C774" t="s">
        <v>18</v>
      </c>
      <c r="D774" t="s">
        <v>128</v>
      </c>
      <c r="E774" t="s">
        <v>391</v>
      </c>
      <c r="F774" t="s">
        <v>96</v>
      </c>
      <c r="G774" t="s">
        <v>392</v>
      </c>
      <c r="H774" t="s">
        <v>393</v>
      </c>
      <c r="I774">
        <v>1</v>
      </c>
      <c r="J774" t="s">
        <v>24</v>
      </c>
      <c r="K774" t="s">
        <v>394</v>
      </c>
      <c r="L774" t="s">
        <v>395</v>
      </c>
      <c r="M774" t="s">
        <v>27</v>
      </c>
      <c r="N774" t="s">
        <v>108</v>
      </c>
      <c r="O774" t="e">
        <f>_xlfn.XLOOKUP(E774,[1]syr_populatedplaces!$L:$L,[1]syr_populatedplaces!$M:$M)</f>
        <v>#N/A</v>
      </c>
      <c r="P774" s="4" t="e">
        <f>_xlfn.XLOOKUP(الجدول1[[#This Row],[القرية– البلدة]],[1]syr_populatedplaces!$L:$L,[1]syr_populatedplaces!$AD:$AD)</f>
        <v>#N/A</v>
      </c>
      <c r="Q774" s="4" t="e">
        <f>_xlfn.XLOOKUP(الجدول1[[#This Row],[القرية– البلدة]],[1]syr_populatedplaces!$L:$L,[1]syr_populatedplaces!$AC:$AC)</f>
        <v>#N/A</v>
      </c>
    </row>
    <row r="775" spans="2:17" ht="15">
      <c r="B775" t="s">
        <v>381</v>
      </c>
      <c r="C775" t="s">
        <v>18</v>
      </c>
      <c r="D775" t="s">
        <v>128</v>
      </c>
      <c r="E775" t="s">
        <v>402</v>
      </c>
      <c r="F775" t="s">
        <v>96</v>
      </c>
      <c r="G775" t="s">
        <v>392</v>
      </c>
      <c r="H775" t="s">
        <v>393</v>
      </c>
      <c r="I775">
        <v>1</v>
      </c>
      <c r="J775" t="s">
        <v>24</v>
      </c>
      <c r="K775" t="s">
        <v>394</v>
      </c>
      <c r="L775" t="s">
        <v>395</v>
      </c>
      <c r="M775" t="s">
        <v>27</v>
      </c>
      <c r="N775" t="s">
        <v>108</v>
      </c>
      <c r="O775" t="e">
        <f>_xlfn.XLOOKUP(E775,[1]syr_populatedplaces!$L:$L,[1]syr_populatedplaces!$M:$M)</f>
        <v>#N/A</v>
      </c>
      <c r="P775" s="4" t="e">
        <f>_xlfn.XLOOKUP(الجدول1[[#This Row],[القرية– البلدة]],[1]syr_populatedplaces!$L:$L,[1]syr_populatedplaces!$AD:$AD)</f>
        <v>#N/A</v>
      </c>
      <c r="Q775" s="4" t="e">
        <f>_xlfn.XLOOKUP(الجدول1[[#This Row],[القرية– البلدة]],[1]syr_populatedplaces!$L:$L,[1]syr_populatedplaces!$AC:$AC)</f>
        <v>#N/A</v>
      </c>
    </row>
    <row r="776" spans="2:17" ht="15">
      <c r="B776" t="s">
        <v>381</v>
      </c>
      <c r="C776" t="s">
        <v>18</v>
      </c>
      <c r="D776" t="s">
        <v>128</v>
      </c>
      <c r="E776" t="s">
        <v>408</v>
      </c>
      <c r="F776" t="s">
        <v>96</v>
      </c>
      <c r="G776" t="s">
        <v>403</v>
      </c>
      <c r="H776" t="s">
        <v>124</v>
      </c>
      <c r="I776">
        <v>1</v>
      </c>
      <c r="J776" t="s">
        <v>108</v>
      </c>
      <c r="K776" t="s">
        <v>404</v>
      </c>
      <c r="L776" t="s">
        <v>405</v>
      </c>
      <c r="M776" t="s">
        <v>27</v>
      </c>
      <c r="N776" t="s">
        <v>108</v>
      </c>
      <c r="O776" t="e">
        <f>_xlfn.XLOOKUP(E776,[1]syr_populatedplaces!$L:$L,[1]syr_populatedplaces!$M:$M)</f>
        <v>#N/A</v>
      </c>
      <c r="P776" s="4" t="e">
        <f>_xlfn.XLOOKUP(الجدول1[[#This Row],[القرية– البلدة]],[1]syr_populatedplaces!$L:$L,[1]syr_populatedplaces!$AD:$AD)</f>
        <v>#N/A</v>
      </c>
      <c r="Q776" s="4" t="e">
        <f>_xlfn.XLOOKUP(الجدول1[[#This Row],[القرية– البلدة]],[1]syr_populatedplaces!$L:$L,[1]syr_populatedplaces!$AC:$AC)</f>
        <v>#N/A</v>
      </c>
    </row>
    <row r="777" spans="2:17">
      <c r="B777" t="s">
        <v>381</v>
      </c>
      <c r="C777" t="s">
        <v>18</v>
      </c>
      <c r="D777" t="s">
        <v>409</v>
      </c>
      <c r="E777" t="s">
        <v>410</v>
      </c>
      <c r="F777" t="s">
        <v>96</v>
      </c>
      <c r="G777" t="s">
        <v>318</v>
      </c>
      <c r="H777" t="s">
        <v>411</v>
      </c>
      <c r="I777">
        <v>4</v>
      </c>
      <c r="J777" t="s">
        <v>24</v>
      </c>
      <c r="K777" t="s">
        <v>412</v>
      </c>
      <c r="L777" t="s">
        <v>360</v>
      </c>
      <c r="M777" t="s">
        <v>27</v>
      </c>
      <c r="N777" t="s">
        <v>24</v>
      </c>
      <c r="O777" t="e">
        <f>_xlfn.XLOOKUP(E777,[1]syr_populatedplaces!$L:$L,[1]syr_populatedplaces!$M:$M)</f>
        <v>#N/A</v>
      </c>
      <c r="P777">
        <f>_xlfn.XLOOKUP(الجدول1[[#This Row],[القرية– البلدة]],[2]!الجدول1[القرية– البلدة],[2]!الجدول1[Latitude])</f>
        <v>36.196488859146001</v>
      </c>
      <c r="Q777">
        <f>_xlfn.XLOOKUP(الجدول1[[#This Row],[القرية– البلدة]],[2]!الجدول1[القرية– البلدة],[2]!الجدول1[Longitude])</f>
        <v>37.131363506769901</v>
      </c>
    </row>
    <row r="778" spans="2:17">
      <c r="B778" t="s">
        <v>381</v>
      </c>
      <c r="C778" t="s">
        <v>18</v>
      </c>
      <c r="D778" t="s">
        <v>409</v>
      </c>
      <c r="E778" t="s">
        <v>413</v>
      </c>
      <c r="F778" t="s">
        <v>96</v>
      </c>
      <c r="G778" t="s">
        <v>318</v>
      </c>
      <c r="H778" t="s">
        <v>411</v>
      </c>
      <c r="I778">
        <v>4</v>
      </c>
      <c r="J778" t="s">
        <v>24</v>
      </c>
      <c r="K778" t="s">
        <v>412</v>
      </c>
      <c r="L778" t="s">
        <v>360</v>
      </c>
      <c r="M778" t="s">
        <v>27</v>
      </c>
      <c r="N778" t="s">
        <v>24</v>
      </c>
      <c r="O778" t="e">
        <f>_xlfn.XLOOKUP(E778,[1]syr_populatedplaces!$L:$L,[1]syr_populatedplaces!$M:$M)</f>
        <v>#N/A</v>
      </c>
      <c r="P778">
        <f>_xlfn.XLOOKUP(الجدول1[[#This Row],[القرية– البلدة]],[2]!الجدول1[القرية– البلدة],[2]!الجدول1[Latitude])</f>
        <v>36.1879955206754</v>
      </c>
      <c r="Q778">
        <f>_xlfn.XLOOKUP(الجدول1[[#This Row],[القرية– البلدة]],[2]!الجدول1[القرية– البلدة],[2]!الجدول1[Longitude])</f>
        <v>37.135489254391103</v>
      </c>
    </row>
    <row r="779" spans="2:17">
      <c r="B779" t="s">
        <v>381</v>
      </c>
      <c r="C779" t="s">
        <v>18</v>
      </c>
      <c r="D779" t="s">
        <v>128</v>
      </c>
      <c r="E779" t="s">
        <v>413</v>
      </c>
      <c r="F779" t="s">
        <v>96</v>
      </c>
      <c r="G779" t="s">
        <v>414</v>
      </c>
      <c r="H779" t="s">
        <v>415</v>
      </c>
      <c r="I779">
        <v>1</v>
      </c>
      <c r="J779" t="s">
        <v>24</v>
      </c>
      <c r="K779" t="s">
        <v>100</v>
      </c>
      <c r="L779" t="s">
        <v>110</v>
      </c>
      <c r="M779" t="s">
        <v>27</v>
      </c>
      <c r="N779" t="s">
        <v>108</v>
      </c>
      <c r="O779" t="e">
        <f>_xlfn.XLOOKUP(E779,[1]syr_populatedplaces!$L:$L,[1]syr_populatedplaces!$M:$M)</f>
        <v>#N/A</v>
      </c>
      <c r="P779">
        <f>_xlfn.XLOOKUP(الجدول1[[#This Row],[القرية– البلدة]],[2]!الجدول1[القرية– البلدة],[2]!الجدول1[Latitude])</f>
        <v>36.1879955206754</v>
      </c>
      <c r="Q779">
        <f>_xlfn.XLOOKUP(الجدول1[[#This Row],[القرية– البلدة]],[2]!الجدول1[القرية– البلدة],[2]!الجدول1[Longitude])</f>
        <v>37.135489254391103</v>
      </c>
    </row>
    <row r="780" spans="2:17">
      <c r="B780" t="s">
        <v>381</v>
      </c>
      <c r="C780" t="s">
        <v>18</v>
      </c>
      <c r="D780" t="s">
        <v>128</v>
      </c>
      <c r="E780" t="s">
        <v>416</v>
      </c>
      <c r="F780" t="s">
        <v>96</v>
      </c>
      <c r="G780" t="s">
        <v>414</v>
      </c>
      <c r="H780" t="s">
        <v>415</v>
      </c>
      <c r="I780">
        <v>1</v>
      </c>
      <c r="J780" t="s">
        <v>24</v>
      </c>
      <c r="K780" t="s">
        <v>100</v>
      </c>
      <c r="L780" t="s">
        <v>110</v>
      </c>
      <c r="M780" t="s">
        <v>27</v>
      </c>
      <c r="N780" t="s">
        <v>108</v>
      </c>
      <c r="O780" t="e">
        <f>_xlfn.XLOOKUP(E780,[1]syr_populatedplaces!$L:$L,[1]syr_populatedplaces!$M:$M)</f>
        <v>#N/A</v>
      </c>
      <c r="P780">
        <f>_xlfn.XLOOKUP(الجدول1[[#This Row],[القرية– البلدة]],[2]!الجدول1[القرية– البلدة],[2]!الجدول1[Latitude])</f>
        <v>36.579387696992498</v>
      </c>
      <c r="Q780">
        <f>_xlfn.XLOOKUP(الجدول1[[#This Row],[القرية– البلدة]],[2]!الجدول1[القرية– البلدة],[2]!الجدول1[Longitude])</f>
        <v>37.045256767863698</v>
      </c>
    </row>
    <row r="781" spans="2:17" ht="15">
      <c r="B781" t="s">
        <v>381</v>
      </c>
      <c r="C781" t="s">
        <v>18</v>
      </c>
      <c r="D781" t="s">
        <v>128</v>
      </c>
      <c r="E781" t="s">
        <v>417</v>
      </c>
      <c r="F781" t="s">
        <v>96</v>
      </c>
      <c r="G781" t="s">
        <v>414</v>
      </c>
      <c r="H781" t="s">
        <v>415</v>
      </c>
      <c r="I781">
        <v>1</v>
      </c>
      <c r="J781" t="s">
        <v>24</v>
      </c>
      <c r="K781" t="s">
        <v>100</v>
      </c>
      <c r="L781" t="s">
        <v>110</v>
      </c>
      <c r="M781" t="s">
        <v>27</v>
      </c>
      <c r="N781" t="s">
        <v>108</v>
      </c>
      <c r="O781" t="e">
        <f>_xlfn.XLOOKUP(E781,[1]syr_populatedplaces!$L:$L,[1]syr_populatedplaces!$M:$M)</f>
        <v>#N/A</v>
      </c>
      <c r="P781" s="4" t="e">
        <f>_xlfn.XLOOKUP(الجدول1[[#This Row],[القرية– البلدة]],[1]syr_populatedplaces!$L:$L,[1]syr_populatedplaces!$AD:$AD)</f>
        <v>#N/A</v>
      </c>
      <c r="Q781" s="4" t="e">
        <f>_xlfn.XLOOKUP(الجدول1[[#This Row],[القرية– البلدة]],[1]syr_populatedplaces!$L:$L,[1]syr_populatedplaces!$AC:$AC)</f>
        <v>#N/A</v>
      </c>
    </row>
    <row r="782" spans="2:17" ht="15">
      <c r="B782" t="s">
        <v>381</v>
      </c>
      <c r="C782" t="s">
        <v>18</v>
      </c>
      <c r="D782" t="s">
        <v>128</v>
      </c>
      <c r="E782" t="s">
        <v>418</v>
      </c>
      <c r="F782" t="s">
        <v>96</v>
      </c>
      <c r="G782" t="s">
        <v>414</v>
      </c>
      <c r="H782" t="s">
        <v>415</v>
      </c>
      <c r="I782">
        <v>1</v>
      </c>
      <c r="J782" t="s">
        <v>24</v>
      </c>
      <c r="K782" t="s">
        <v>100</v>
      </c>
      <c r="L782" t="s">
        <v>110</v>
      </c>
      <c r="M782" t="s">
        <v>27</v>
      </c>
      <c r="N782" t="s">
        <v>108</v>
      </c>
      <c r="O782" t="e">
        <f>_xlfn.XLOOKUP(E782,[1]syr_populatedplaces!$L:$L,[1]syr_populatedplaces!$M:$M)</f>
        <v>#N/A</v>
      </c>
      <c r="P782" s="4" t="e">
        <f>_xlfn.XLOOKUP(الجدول1[[#This Row],[القرية– البلدة]],[1]syr_populatedplaces!$L:$L,[1]syr_populatedplaces!$AD:$AD)</f>
        <v>#N/A</v>
      </c>
      <c r="Q782" s="4" t="e">
        <f>_xlfn.XLOOKUP(الجدول1[[#This Row],[القرية– البلدة]],[1]syr_populatedplaces!$L:$L,[1]syr_populatedplaces!$AC:$AC)</f>
        <v>#N/A</v>
      </c>
    </row>
    <row r="783" spans="2:17" ht="15">
      <c r="B783" t="s">
        <v>381</v>
      </c>
      <c r="C783" t="s">
        <v>18</v>
      </c>
      <c r="D783" t="s">
        <v>128</v>
      </c>
      <c r="E783" t="s">
        <v>408</v>
      </c>
      <c r="F783" t="s">
        <v>96</v>
      </c>
      <c r="G783" t="s">
        <v>414</v>
      </c>
      <c r="H783" t="s">
        <v>415</v>
      </c>
      <c r="I783">
        <v>1</v>
      </c>
      <c r="J783" t="s">
        <v>24</v>
      </c>
      <c r="K783" t="s">
        <v>100</v>
      </c>
      <c r="L783" t="s">
        <v>110</v>
      </c>
      <c r="M783" t="s">
        <v>27</v>
      </c>
      <c r="N783" t="s">
        <v>108</v>
      </c>
      <c r="O783" t="e">
        <f>_xlfn.XLOOKUP(E783,[1]syr_populatedplaces!$L:$L,[1]syr_populatedplaces!$M:$M)</f>
        <v>#N/A</v>
      </c>
      <c r="P783" s="4" t="e">
        <f>_xlfn.XLOOKUP(الجدول1[[#This Row],[القرية– البلدة]],[1]syr_populatedplaces!$L:$L,[1]syr_populatedplaces!$AD:$AD)</f>
        <v>#N/A</v>
      </c>
      <c r="Q783" s="4" t="e">
        <f>_xlfn.XLOOKUP(الجدول1[[#This Row],[القرية– البلدة]],[1]syr_populatedplaces!$L:$L,[1]syr_populatedplaces!$AC:$AC)</f>
        <v>#N/A</v>
      </c>
    </row>
    <row r="784" spans="2:17">
      <c r="B784" t="s">
        <v>381</v>
      </c>
      <c r="C784" t="s">
        <v>18</v>
      </c>
      <c r="D784" t="s">
        <v>419</v>
      </c>
      <c r="E784" t="s">
        <v>410</v>
      </c>
      <c r="F784" t="s">
        <v>96</v>
      </c>
      <c r="G784" t="s">
        <v>378</v>
      </c>
      <c r="H784" t="s">
        <v>124</v>
      </c>
      <c r="I784">
        <v>1</v>
      </c>
      <c r="J784" t="s">
        <v>99</v>
      </c>
      <c r="K784" t="s">
        <v>379</v>
      </c>
      <c r="L784" t="s">
        <v>420</v>
      </c>
      <c r="M784" t="s">
        <v>27</v>
      </c>
      <c r="N784" t="s">
        <v>99</v>
      </c>
      <c r="O784" t="e">
        <f>_xlfn.XLOOKUP(E784,[1]syr_populatedplaces!$L:$L,[1]syr_populatedplaces!$M:$M)</f>
        <v>#N/A</v>
      </c>
      <c r="P784">
        <f>_xlfn.XLOOKUP(الجدول1[[#This Row],[القرية– البلدة]],[2]!الجدول1[القرية– البلدة],[2]!الجدول1[Latitude])</f>
        <v>36.196488859146001</v>
      </c>
      <c r="Q784">
        <f>_xlfn.XLOOKUP(الجدول1[[#This Row],[القرية– البلدة]],[2]!الجدول1[القرية– البلدة],[2]!الجدول1[Longitude])</f>
        <v>37.131363506769901</v>
      </c>
    </row>
    <row r="785" spans="2:17" ht="15">
      <c r="B785" t="s">
        <v>381</v>
      </c>
      <c r="C785" t="s">
        <v>18</v>
      </c>
      <c r="D785" t="s">
        <v>391</v>
      </c>
      <c r="E785" t="s">
        <v>391</v>
      </c>
      <c r="F785" t="s">
        <v>96</v>
      </c>
      <c r="G785" t="s">
        <v>421</v>
      </c>
      <c r="H785" t="s">
        <v>422</v>
      </c>
      <c r="I785">
        <v>1</v>
      </c>
      <c r="J785" t="s">
        <v>108</v>
      </c>
      <c r="K785" t="s">
        <v>423</v>
      </c>
      <c r="L785" t="s">
        <v>424</v>
      </c>
      <c r="M785" t="s">
        <v>27</v>
      </c>
      <c r="N785" t="s">
        <v>108</v>
      </c>
      <c r="O785" t="e">
        <f>_xlfn.XLOOKUP(E785,[1]syr_populatedplaces!$L:$L,[1]syr_populatedplaces!$M:$M)</f>
        <v>#N/A</v>
      </c>
      <c r="P785" s="4" t="e">
        <f>_xlfn.XLOOKUP(الجدول1[[#This Row],[القرية– البلدة]],[1]syr_populatedplaces!$L:$L,[1]syr_populatedplaces!$AD:$AD)</f>
        <v>#N/A</v>
      </c>
      <c r="Q785" s="4" t="e">
        <f>_xlfn.XLOOKUP(الجدول1[[#This Row],[القرية– البلدة]],[1]syr_populatedplaces!$L:$L,[1]syr_populatedplaces!$AC:$AC)</f>
        <v>#N/A</v>
      </c>
    </row>
    <row r="786" spans="2:17" ht="15">
      <c r="B786" t="s">
        <v>614</v>
      </c>
      <c r="C786" t="s">
        <v>18</v>
      </c>
      <c r="D786" t="s">
        <v>128</v>
      </c>
      <c r="E786" t="s">
        <v>617</v>
      </c>
      <c r="F786" t="s">
        <v>346</v>
      </c>
      <c r="G786" t="s">
        <v>347</v>
      </c>
      <c r="H786" t="s">
        <v>124</v>
      </c>
      <c r="I786">
        <v>1</v>
      </c>
      <c r="J786" t="s">
        <v>108</v>
      </c>
      <c r="K786" t="s">
        <v>618</v>
      </c>
      <c r="L786" t="s">
        <v>214</v>
      </c>
      <c r="M786" t="s">
        <v>27</v>
      </c>
      <c r="N786" t="s">
        <v>387</v>
      </c>
      <c r="O786" t="e">
        <f>_xlfn.XLOOKUP(E786,[1]syr_populatedplaces!$L:$L,[1]syr_populatedplaces!$M:$M)</f>
        <v>#N/A</v>
      </c>
      <c r="P786" s="4" t="e">
        <f>_xlfn.XLOOKUP(الجدول1[[#This Row],[القرية– البلدة]],[1]syr_populatedplaces!$L:$L,[1]syr_populatedplaces!$AD:$AD)</f>
        <v>#N/A</v>
      </c>
      <c r="Q786" s="4" t="e">
        <f>_xlfn.XLOOKUP(الجدول1[[#This Row],[القرية– البلدة]],[1]syr_populatedplaces!$L:$L,[1]syr_populatedplaces!$AC:$AC)</f>
        <v>#N/A</v>
      </c>
    </row>
    <row r="787" spans="2:17">
      <c r="B787" t="s">
        <v>614</v>
      </c>
      <c r="C787" t="s">
        <v>18</v>
      </c>
      <c r="D787" t="s">
        <v>128</v>
      </c>
      <c r="E787" t="s">
        <v>65</v>
      </c>
      <c r="F787" t="s">
        <v>346</v>
      </c>
      <c r="G787" t="s">
        <v>347</v>
      </c>
      <c r="H787" t="s">
        <v>124</v>
      </c>
      <c r="I787">
        <v>1</v>
      </c>
      <c r="J787" t="s">
        <v>108</v>
      </c>
      <c r="K787" t="s">
        <v>618</v>
      </c>
      <c r="L787" t="s">
        <v>214</v>
      </c>
      <c r="M787" t="s">
        <v>27</v>
      </c>
      <c r="N787" t="s">
        <v>387</v>
      </c>
      <c r="O787" t="e">
        <f>_xlfn.XLOOKUP(E787,[1]syr_populatedplaces!$L:$L,[1]syr_populatedplaces!$M:$M)</f>
        <v>#N/A</v>
      </c>
      <c r="P787">
        <f>_xlfn.XLOOKUP(الجدول1[[#This Row],[القرية– البلدة]],[2]!الجدول1[القرية– البلدة],[2]!الجدول1[Latitude])</f>
        <v>36.275538823018699</v>
      </c>
      <c r="Q787">
        <f>_xlfn.XLOOKUP(الجدول1[[#This Row],[القرية– البلدة]],[2]!الجدول1[القرية– البلدة],[2]!الجدول1[Longitude])</f>
        <v>36.821110055341997</v>
      </c>
    </row>
    <row r="788" spans="2:17" ht="15">
      <c r="B788" t="s">
        <v>614</v>
      </c>
      <c r="C788" t="s">
        <v>18</v>
      </c>
      <c r="D788" t="s">
        <v>128</v>
      </c>
      <c r="E788" t="s">
        <v>621</v>
      </c>
      <c r="F788" t="s">
        <v>346</v>
      </c>
      <c r="G788" t="s">
        <v>347</v>
      </c>
      <c r="H788" t="s">
        <v>124</v>
      </c>
      <c r="I788">
        <v>1</v>
      </c>
      <c r="J788" t="s">
        <v>108</v>
      </c>
      <c r="K788" t="s">
        <v>618</v>
      </c>
      <c r="L788" t="s">
        <v>214</v>
      </c>
      <c r="M788" t="s">
        <v>27</v>
      </c>
      <c r="N788" t="s">
        <v>387</v>
      </c>
      <c r="O788" t="e">
        <f>_xlfn.XLOOKUP(E788,[1]syr_populatedplaces!$L:$L,[1]syr_populatedplaces!$M:$M)</f>
        <v>#N/A</v>
      </c>
      <c r="P788" s="4" t="e">
        <f>_xlfn.XLOOKUP(الجدول1[[#This Row],[القرية– البلدة]],[1]syr_populatedplaces!$L:$L,[1]syr_populatedplaces!$AD:$AD)</f>
        <v>#N/A</v>
      </c>
      <c r="Q788" s="4" t="e">
        <f>_xlfn.XLOOKUP(الجدول1[[#This Row],[القرية– البلدة]],[1]syr_populatedplaces!$L:$L,[1]syr_populatedplaces!$AC:$AC)</f>
        <v>#N/A</v>
      </c>
    </row>
    <row r="789" spans="2:17" ht="15">
      <c r="B789" t="s">
        <v>614</v>
      </c>
      <c r="C789" t="s">
        <v>18</v>
      </c>
      <c r="D789" t="s">
        <v>128</v>
      </c>
      <c r="E789" t="s">
        <v>622</v>
      </c>
      <c r="F789" t="s">
        <v>346</v>
      </c>
      <c r="G789" t="s">
        <v>347</v>
      </c>
      <c r="H789" t="s">
        <v>124</v>
      </c>
      <c r="I789">
        <v>1</v>
      </c>
      <c r="J789" t="s">
        <v>108</v>
      </c>
      <c r="K789" t="s">
        <v>618</v>
      </c>
      <c r="L789" t="s">
        <v>214</v>
      </c>
      <c r="M789" t="s">
        <v>27</v>
      </c>
      <c r="N789" t="s">
        <v>387</v>
      </c>
      <c r="O789" t="e">
        <f>_xlfn.XLOOKUP(E789,[1]syr_populatedplaces!$L:$L,[1]syr_populatedplaces!$M:$M)</f>
        <v>#N/A</v>
      </c>
      <c r="P789" s="4" t="e">
        <f>_xlfn.XLOOKUP(الجدول1[[#This Row],[القرية– البلدة]],[1]syr_populatedplaces!$L:$L,[1]syr_populatedplaces!$AD:$AD)</f>
        <v>#N/A</v>
      </c>
      <c r="Q789" s="4" t="e">
        <f>_xlfn.XLOOKUP(الجدول1[[#This Row],[القرية– البلدة]],[1]syr_populatedplaces!$L:$L,[1]syr_populatedplaces!$AC:$AC)</f>
        <v>#N/A</v>
      </c>
    </row>
    <row r="790" spans="2:17">
      <c r="B790" t="s">
        <v>614</v>
      </c>
      <c r="C790" t="s">
        <v>18</v>
      </c>
      <c r="D790" t="s">
        <v>128</v>
      </c>
      <c r="E790" t="s">
        <v>58</v>
      </c>
      <c r="F790" t="s">
        <v>346</v>
      </c>
      <c r="G790" t="s">
        <v>347</v>
      </c>
      <c r="H790" t="s">
        <v>124</v>
      </c>
      <c r="I790">
        <v>1</v>
      </c>
      <c r="J790" t="s">
        <v>108</v>
      </c>
      <c r="K790" t="s">
        <v>618</v>
      </c>
      <c r="L790" t="s">
        <v>214</v>
      </c>
      <c r="M790" t="s">
        <v>27</v>
      </c>
      <c r="N790" t="s">
        <v>387</v>
      </c>
      <c r="O790" t="e">
        <f>_xlfn.XLOOKUP(E790,[1]syr_populatedplaces!$L:$L,[1]syr_populatedplaces!$M:$M)</f>
        <v>#N/A</v>
      </c>
      <c r="P790">
        <f>_xlfn.XLOOKUP(الجدول1[[#This Row],[القرية– البلدة]],[2]!الجدول1[القرية– البلدة],[2]!الجدول1[Latitude])</f>
        <v>36.619952917972398</v>
      </c>
      <c r="Q790">
        <f>_xlfn.XLOOKUP(الجدول1[[#This Row],[القرية– البلدة]],[2]!الجدول1[القرية– البلدة],[2]!الجدول1[Longitude])</f>
        <v>37.077017547365301</v>
      </c>
    </row>
    <row r="791" spans="2:17">
      <c r="B791" t="s">
        <v>614</v>
      </c>
      <c r="C791" t="s">
        <v>18</v>
      </c>
      <c r="D791" t="s">
        <v>128</v>
      </c>
      <c r="E791" t="s">
        <v>632</v>
      </c>
      <c r="F791" t="s">
        <v>346</v>
      </c>
      <c r="G791" t="s">
        <v>347</v>
      </c>
      <c r="H791" t="s">
        <v>124</v>
      </c>
      <c r="I791">
        <v>1</v>
      </c>
      <c r="J791" t="s">
        <v>108</v>
      </c>
      <c r="K791" t="s">
        <v>618</v>
      </c>
      <c r="L791" t="s">
        <v>214</v>
      </c>
      <c r="M791" t="s">
        <v>27</v>
      </c>
      <c r="N791" t="s">
        <v>387</v>
      </c>
      <c r="O791" t="e">
        <f>_xlfn.XLOOKUP(E791,[1]syr_populatedplaces!$L:$L,[1]syr_populatedplaces!$M:$M)</f>
        <v>#N/A</v>
      </c>
      <c r="P791">
        <f>_xlfn.XLOOKUP(الجدول1[[#This Row],[القرية– البلدة]],[2]!الجدول1[القرية– البلدة],[2]!الجدول1[Latitude])</f>
        <v>36.428041642758799</v>
      </c>
      <c r="Q791">
        <f>_xlfn.XLOOKUP(الجدول1[[#This Row],[القرية– البلدة]],[2]!الجدول1[القرية– البلدة],[2]!الجدول1[Longitude])</f>
        <v>37.113640386889699</v>
      </c>
    </row>
    <row r="792" spans="2:17">
      <c r="B792" t="s">
        <v>614</v>
      </c>
      <c r="C792" t="s">
        <v>18</v>
      </c>
      <c r="D792" t="s">
        <v>128</v>
      </c>
      <c r="E792" t="s">
        <v>72</v>
      </c>
      <c r="F792" t="s">
        <v>346</v>
      </c>
      <c r="G792" t="s">
        <v>347</v>
      </c>
      <c r="H792" t="s">
        <v>124</v>
      </c>
      <c r="I792">
        <v>1</v>
      </c>
      <c r="J792" t="s">
        <v>108</v>
      </c>
      <c r="K792" t="s">
        <v>618</v>
      </c>
      <c r="L792" t="s">
        <v>214</v>
      </c>
      <c r="M792" t="s">
        <v>27</v>
      </c>
      <c r="N792" t="s">
        <v>387</v>
      </c>
      <c r="O792" t="e">
        <f>_xlfn.XLOOKUP(E792,[1]syr_populatedplaces!$L:$L,[1]syr_populatedplaces!$M:$M)</f>
        <v>#N/A</v>
      </c>
      <c r="P792">
        <f>_xlfn.XLOOKUP(الجدول1[[#This Row],[القرية– البلدة]],[2]!الجدول1[القرية– البلدة],[2]!الجدول1[Latitude])</f>
        <v>36.411429064127198</v>
      </c>
      <c r="Q792">
        <f>_xlfn.XLOOKUP(الجدول1[[#This Row],[القرية– البلدة]],[2]!الجدول1[القرية– البلدة],[2]!الجدول1[Longitude])</f>
        <v>36.690805675093699</v>
      </c>
    </row>
    <row r="793" spans="2:17">
      <c r="B793" t="s">
        <v>614</v>
      </c>
      <c r="C793" t="s">
        <v>18</v>
      </c>
      <c r="D793" t="s">
        <v>128</v>
      </c>
      <c r="E793" t="s">
        <v>58</v>
      </c>
      <c r="F793" t="s">
        <v>346</v>
      </c>
      <c r="G793" t="s">
        <v>347</v>
      </c>
      <c r="H793" t="s">
        <v>124</v>
      </c>
      <c r="I793">
        <v>1</v>
      </c>
      <c r="J793" t="s">
        <v>108</v>
      </c>
      <c r="K793" t="s">
        <v>618</v>
      </c>
      <c r="L793" t="s">
        <v>214</v>
      </c>
      <c r="M793" t="s">
        <v>27</v>
      </c>
      <c r="N793" t="s">
        <v>387</v>
      </c>
      <c r="O793" t="e">
        <f>_xlfn.XLOOKUP(E793,[1]syr_populatedplaces!$L:$L,[1]syr_populatedplaces!$M:$M)</f>
        <v>#N/A</v>
      </c>
      <c r="P793">
        <f>_xlfn.XLOOKUP(الجدول1[[#This Row],[القرية– البلدة]],[2]!الجدول1[القرية– البلدة],[2]!الجدول1[Latitude])</f>
        <v>36.619952917972398</v>
      </c>
      <c r="Q793">
        <f>_xlfn.XLOOKUP(الجدول1[[#This Row],[القرية– البلدة]],[2]!الجدول1[القرية– البلدة],[2]!الجدول1[Longitude])</f>
        <v>37.077017547365301</v>
      </c>
    </row>
    <row r="794" spans="2:17" ht="15">
      <c r="B794" t="s">
        <v>614</v>
      </c>
      <c r="C794" t="s">
        <v>18</v>
      </c>
      <c r="D794" t="s">
        <v>128</v>
      </c>
      <c r="E794" t="s">
        <v>621</v>
      </c>
      <c r="F794" t="s">
        <v>346</v>
      </c>
      <c r="G794" t="s">
        <v>347</v>
      </c>
      <c r="H794" t="s">
        <v>124</v>
      </c>
      <c r="I794">
        <v>1</v>
      </c>
      <c r="J794" t="s">
        <v>108</v>
      </c>
      <c r="K794" t="s">
        <v>618</v>
      </c>
      <c r="L794" t="s">
        <v>214</v>
      </c>
      <c r="M794" t="s">
        <v>27</v>
      </c>
      <c r="N794" t="s">
        <v>387</v>
      </c>
      <c r="O794" t="e">
        <f>_xlfn.XLOOKUP(E794,[1]syr_populatedplaces!$L:$L,[1]syr_populatedplaces!$M:$M)</f>
        <v>#N/A</v>
      </c>
      <c r="P794" s="4" t="e">
        <f>_xlfn.XLOOKUP(الجدول1[[#This Row],[القرية– البلدة]],[1]syr_populatedplaces!$L:$L,[1]syr_populatedplaces!$AD:$AD)</f>
        <v>#N/A</v>
      </c>
      <c r="Q794" s="4" t="e">
        <f>_xlfn.XLOOKUP(الجدول1[[#This Row],[القرية– البلدة]],[1]syr_populatedplaces!$L:$L,[1]syr_populatedplaces!$AC:$AC)</f>
        <v>#N/A</v>
      </c>
    </row>
    <row r="795" spans="2:17" ht="15">
      <c r="B795" t="s">
        <v>614</v>
      </c>
      <c r="C795" t="s">
        <v>18</v>
      </c>
      <c r="D795" t="s">
        <v>128</v>
      </c>
      <c r="E795" t="s">
        <v>55</v>
      </c>
      <c r="F795" t="s">
        <v>346</v>
      </c>
      <c r="G795" t="s">
        <v>347</v>
      </c>
      <c r="H795" t="s">
        <v>124</v>
      </c>
      <c r="I795">
        <v>1</v>
      </c>
      <c r="J795" t="s">
        <v>108</v>
      </c>
      <c r="K795" t="s">
        <v>618</v>
      </c>
      <c r="L795" t="s">
        <v>214</v>
      </c>
      <c r="M795" t="s">
        <v>27</v>
      </c>
      <c r="N795" t="s">
        <v>387</v>
      </c>
      <c r="O795" t="e">
        <f>_xlfn.XLOOKUP(E795,[1]syr_populatedplaces!$L:$L,[1]syr_populatedplaces!$M:$M)</f>
        <v>#N/A</v>
      </c>
      <c r="P795" s="4" t="e">
        <f>_xlfn.XLOOKUP(الجدول1[[#This Row],[القرية– البلدة]],[1]syr_populatedplaces!$L:$L,[1]syr_populatedplaces!$AD:$AD)</f>
        <v>#N/A</v>
      </c>
      <c r="Q795" s="4" t="e">
        <f>_xlfn.XLOOKUP(الجدول1[[#This Row],[القرية– البلدة]],[1]syr_populatedplaces!$L:$L,[1]syr_populatedplaces!$AC:$AC)</f>
        <v>#N/A</v>
      </c>
    </row>
    <row r="796" spans="2:17" ht="15">
      <c r="B796" t="s">
        <v>614</v>
      </c>
      <c r="C796" t="s">
        <v>18</v>
      </c>
      <c r="D796" t="s">
        <v>128</v>
      </c>
      <c r="E796" t="s">
        <v>642</v>
      </c>
      <c r="F796" t="s">
        <v>346</v>
      </c>
      <c r="G796" t="s">
        <v>347</v>
      </c>
      <c r="H796" t="s">
        <v>124</v>
      </c>
      <c r="I796">
        <v>1</v>
      </c>
      <c r="J796" t="s">
        <v>108</v>
      </c>
      <c r="K796" t="s">
        <v>618</v>
      </c>
      <c r="L796" t="s">
        <v>214</v>
      </c>
      <c r="M796" t="s">
        <v>27</v>
      </c>
      <c r="N796" t="s">
        <v>387</v>
      </c>
      <c r="O796" t="e">
        <f>_xlfn.XLOOKUP(E796,[1]syr_populatedplaces!$L:$L,[1]syr_populatedplaces!$M:$M)</f>
        <v>#N/A</v>
      </c>
      <c r="P796" s="4" t="e">
        <f>_xlfn.XLOOKUP(الجدول1[[#This Row],[القرية– البلدة]],[1]syr_populatedplaces!$L:$L,[1]syr_populatedplaces!$AD:$AD)</f>
        <v>#N/A</v>
      </c>
      <c r="Q796" s="4" t="e">
        <f>_xlfn.XLOOKUP(الجدول1[[#This Row],[القرية– البلدة]],[1]syr_populatedplaces!$L:$L,[1]syr_populatedplaces!$AC:$AC)</f>
        <v>#N/A</v>
      </c>
    </row>
    <row r="797" spans="2:17" ht="15">
      <c r="B797" t="s">
        <v>614</v>
      </c>
      <c r="C797" t="s">
        <v>18</v>
      </c>
      <c r="D797" t="s">
        <v>128</v>
      </c>
      <c r="E797" t="s">
        <v>643</v>
      </c>
      <c r="F797" t="s">
        <v>346</v>
      </c>
      <c r="G797" t="s">
        <v>347</v>
      </c>
      <c r="H797" t="s">
        <v>124</v>
      </c>
      <c r="I797">
        <v>1</v>
      </c>
      <c r="J797" t="s">
        <v>108</v>
      </c>
      <c r="K797" t="s">
        <v>618</v>
      </c>
      <c r="L797" t="s">
        <v>214</v>
      </c>
      <c r="M797" t="s">
        <v>27</v>
      </c>
      <c r="N797" t="s">
        <v>387</v>
      </c>
      <c r="O797" t="e">
        <f>_xlfn.XLOOKUP(E797,[1]syr_populatedplaces!$L:$L,[1]syr_populatedplaces!$M:$M)</f>
        <v>#N/A</v>
      </c>
      <c r="P797" s="4" t="e">
        <f>_xlfn.XLOOKUP(الجدول1[[#This Row],[القرية– البلدة]],[1]syr_populatedplaces!$L:$L,[1]syr_populatedplaces!$AD:$AD)</f>
        <v>#N/A</v>
      </c>
      <c r="Q797" s="4" t="e">
        <f>_xlfn.XLOOKUP(الجدول1[[#This Row],[القرية– البلدة]],[1]syr_populatedplaces!$L:$L,[1]syr_populatedplaces!$AC:$AC)</f>
        <v>#N/A</v>
      </c>
    </row>
    <row r="798" spans="2:17" ht="15">
      <c r="B798" t="s">
        <v>614</v>
      </c>
      <c r="C798" t="s">
        <v>18</v>
      </c>
      <c r="D798" t="s">
        <v>128</v>
      </c>
      <c r="E798" t="s">
        <v>617</v>
      </c>
      <c r="F798" t="s">
        <v>346</v>
      </c>
      <c r="G798" t="s">
        <v>347</v>
      </c>
      <c r="H798" t="s">
        <v>124</v>
      </c>
      <c r="I798">
        <v>1</v>
      </c>
      <c r="J798" t="s">
        <v>108</v>
      </c>
      <c r="K798" t="s">
        <v>618</v>
      </c>
      <c r="L798" t="s">
        <v>214</v>
      </c>
      <c r="M798" t="s">
        <v>27</v>
      </c>
      <c r="N798" t="s">
        <v>387</v>
      </c>
      <c r="O798" t="e">
        <f>_xlfn.XLOOKUP(E798,[1]syr_populatedplaces!$L:$L,[1]syr_populatedplaces!$M:$M)</f>
        <v>#N/A</v>
      </c>
      <c r="P798" s="4" t="e">
        <f>_xlfn.XLOOKUP(الجدول1[[#This Row],[القرية– البلدة]],[1]syr_populatedplaces!$L:$L,[1]syr_populatedplaces!$AD:$AD)</f>
        <v>#N/A</v>
      </c>
      <c r="Q798" s="4" t="e">
        <f>_xlfn.XLOOKUP(الجدول1[[#This Row],[القرية– البلدة]],[1]syr_populatedplaces!$L:$L,[1]syr_populatedplaces!$AC:$AC)</f>
        <v>#N/A</v>
      </c>
    </row>
    <row r="799" spans="2:17">
      <c r="B799" t="s">
        <v>614</v>
      </c>
      <c r="C799" t="s">
        <v>18</v>
      </c>
      <c r="D799" t="s">
        <v>128</v>
      </c>
      <c r="E799" t="s">
        <v>72</v>
      </c>
      <c r="F799" t="s">
        <v>346</v>
      </c>
      <c r="G799" t="s">
        <v>347</v>
      </c>
      <c r="H799" t="s">
        <v>124</v>
      </c>
      <c r="I799">
        <v>1</v>
      </c>
      <c r="J799" t="s">
        <v>108</v>
      </c>
      <c r="K799" t="s">
        <v>618</v>
      </c>
      <c r="L799" t="s">
        <v>214</v>
      </c>
      <c r="M799" t="s">
        <v>27</v>
      </c>
      <c r="N799" t="s">
        <v>387</v>
      </c>
      <c r="O799" t="e">
        <f>_xlfn.XLOOKUP(E799,[1]syr_populatedplaces!$L:$L,[1]syr_populatedplaces!$M:$M)</f>
        <v>#N/A</v>
      </c>
      <c r="P799">
        <f>_xlfn.XLOOKUP(الجدول1[[#This Row],[القرية– البلدة]],[2]!الجدول1[القرية– البلدة],[2]!الجدول1[Latitude])</f>
        <v>36.411429064127198</v>
      </c>
      <c r="Q799">
        <f>_xlfn.XLOOKUP(الجدول1[[#This Row],[القرية– البلدة]],[2]!الجدول1[القرية– البلدة],[2]!الجدول1[Longitude])</f>
        <v>36.690805675093699</v>
      </c>
    </row>
    <row r="800" spans="2:17" ht="15">
      <c r="B800" t="s">
        <v>614</v>
      </c>
      <c r="C800" t="s">
        <v>18</v>
      </c>
      <c r="D800" t="s">
        <v>128</v>
      </c>
      <c r="E800" t="s">
        <v>644</v>
      </c>
      <c r="F800" t="s">
        <v>346</v>
      </c>
      <c r="G800" t="s">
        <v>347</v>
      </c>
      <c r="H800" t="s">
        <v>124</v>
      </c>
      <c r="I800">
        <v>1</v>
      </c>
      <c r="J800" t="s">
        <v>108</v>
      </c>
      <c r="K800" t="s">
        <v>618</v>
      </c>
      <c r="L800" t="s">
        <v>214</v>
      </c>
      <c r="M800" t="s">
        <v>27</v>
      </c>
      <c r="N800" t="s">
        <v>387</v>
      </c>
      <c r="O800" t="e">
        <f>_xlfn.XLOOKUP(E800,[1]syr_populatedplaces!$L:$L,[1]syr_populatedplaces!$M:$M)</f>
        <v>#N/A</v>
      </c>
      <c r="P800" s="4" t="e">
        <f>_xlfn.XLOOKUP(الجدول1[[#This Row],[القرية– البلدة]],[1]syr_populatedplaces!$L:$L,[1]syr_populatedplaces!$AD:$AD)</f>
        <v>#N/A</v>
      </c>
      <c r="Q800" s="4" t="e">
        <f>_xlfn.XLOOKUP(الجدول1[[#This Row],[القرية– البلدة]],[1]syr_populatedplaces!$L:$L,[1]syr_populatedplaces!$AC:$AC)</f>
        <v>#N/A</v>
      </c>
    </row>
    <row r="801" spans="2:17" ht="15">
      <c r="B801" t="s">
        <v>614</v>
      </c>
      <c r="C801" t="s">
        <v>18</v>
      </c>
      <c r="D801" t="s">
        <v>128</v>
      </c>
      <c r="E801" t="s">
        <v>645</v>
      </c>
      <c r="F801" t="s">
        <v>346</v>
      </c>
      <c r="G801" t="s">
        <v>347</v>
      </c>
      <c r="H801" t="s">
        <v>124</v>
      </c>
      <c r="I801">
        <v>1</v>
      </c>
      <c r="J801" t="s">
        <v>108</v>
      </c>
      <c r="K801" t="s">
        <v>618</v>
      </c>
      <c r="L801" t="s">
        <v>214</v>
      </c>
      <c r="M801" t="s">
        <v>27</v>
      </c>
      <c r="N801" t="s">
        <v>387</v>
      </c>
      <c r="O801" t="e">
        <f>_xlfn.XLOOKUP(E801,[1]syr_populatedplaces!$L:$L,[1]syr_populatedplaces!$M:$M)</f>
        <v>#N/A</v>
      </c>
      <c r="P801" s="4" t="e">
        <f>_xlfn.XLOOKUP(الجدول1[[#This Row],[القرية– البلدة]],[1]syr_populatedplaces!$L:$L,[1]syr_populatedplaces!$AD:$AD)</f>
        <v>#N/A</v>
      </c>
      <c r="Q801" s="4" t="e">
        <f>_xlfn.XLOOKUP(الجدول1[[#This Row],[القرية– البلدة]],[1]syr_populatedplaces!$L:$L,[1]syr_populatedplaces!$AC:$AC)</f>
        <v>#N/A</v>
      </c>
    </row>
    <row r="802" spans="2:17" ht="15">
      <c r="B802" t="s">
        <v>614</v>
      </c>
      <c r="C802" t="s">
        <v>18</v>
      </c>
      <c r="D802" t="s">
        <v>128</v>
      </c>
      <c r="E802" t="s">
        <v>651</v>
      </c>
      <c r="F802" t="s">
        <v>346</v>
      </c>
      <c r="G802" t="s">
        <v>347</v>
      </c>
      <c r="H802" t="s">
        <v>124</v>
      </c>
      <c r="I802">
        <v>1</v>
      </c>
      <c r="J802" t="s">
        <v>108</v>
      </c>
      <c r="K802" t="s">
        <v>618</v>
      </c>
      <c r="L802" t="s">
        <v>214</v>
      </c>
      <c r="M802" t="s">
        <v>27</v>
      </c>
      <c r="N802" t="s">
        <v>387</v>
      </c>
      <c r="O802" t="e">
        <f>_xlfn.XLOOKUP(E802,[1]syr_populatedplaces!$L:$L,[1]syr_populatedplaces!$M:$M)</f>
        <v>#N/A</v>
      </c>
      <c r="P802" s="4" t="e">
        <f>_xlfn.XLOOKUP(الجدول1[[#This Row],[القرية– البلدة]],[1]syr_populatedplaces!$L:$L,[1]syr_populatedplaces!$AD:$AD)</f>
        <v>#N/A</v>
      </c>
      <c r="Q802" s="4" t="e">
        <f>_xlfn.XLOOKUP(الجدول1[[#This Row],[القرية– البلدة]],[1]syr_populatedplaces!$L:$L,[1]syr_populatedplaces!$AC:$AC)</f>
        <v>#N/A</v>
      </c>
    </row>
    <row r="803" spans="2:17" ht="15">
      <c r="B803" t="s">
        <v>614</v>
      </c>
      <c r="C803" t="s">
        <v>18</v>
      </c>
      <c r="D803" t="s">
        <v>128</v>
      </c>
      <c r="E803" t="s">
        <v>67</v>
      </c>
      <c r="F803" t="s">
        <v>346</v>
      </c>
      <c r="G803" t="s">
        <v>347</v>
      </c>
      <c r="H803" t="s">
        <v>124</v>
      </c>
      <c r="I803">
        <v>1</v>
      </c>
      <c r="J803" t="s">
        <v>108</v>
      </c>
      <c r="K803" t="s">
        <v>618</v>
      </c>
      <c r="L803" t="s">
        <v>214</v>
      </c>
      <c r="M803" t="s">
        <v>27</v>
      </c>
      <c r="N803" t="s">
        <v>387</v>
      </c>
      <c r="O803" t="e">
        <f>_xlfn.XLOOKUP(E803,[1]syr_populatedplaces!$L:$L,[1]syr_populatedplaces!$M:$M)</f>
        <v>#N/A</v>
      </c>
      <c r="P803" s="4" t="e">
        <f>_xlfn.XLOOKUP(الجدول1[[#This Row],[القرية– البلدة]],[1]syr_populatedplaces!$L:$L,[1]syr_populatedplaces!$AD:$AD)</f>
        <v>#N/A</v>
      </c>
      <c r="Q803" s="4" t="e">
        <f>_xlfn.XLOOKUP(الجدول1[[#This Row],[القرية– البلدة]],[1]syr_populatedplaces!$L:$L,[1]syr_populatedplaces!$AC:$AC)</f>
        <v>#N/A</v>
      </c>
    </row>
    <row r="804" spans="2:17" ht="15">
      <c r="B804" t="s">
        <v>614</v>
      </c>
      <c r="C804" t="s">
        <v>18</v>
      </c>
      <c r="D804" t="s">
        <v>128</v>
      </c>
      <c r="E804" t="s">
        <v>656</v>
      </c>
      <c r="F804" t="s">
        <v>346</v>
      </c>
      <c r="G804" t="s">
        <v>347</v>
      </c>
      <c r="H804" t="s">
        <v>124</v>
      </c>
      <c r="I804">
        <v>1</v>
      </c>
      <c r="J804" t="s">
        <v>108</v>
      </c>
      <c r="K804" t="s">
        <v>618</v>
      </c>
      <c r="L804" t="s">
        <v>214</v>
      </c>
      <c r="M804" t="s">
        <v>27</v>
      </c>
      <c r="N804" t="s">
        <v>387</v>
      </c>
      <c r="O804" t="e">
        <f>_xlfn.XLOOKUP(E804,[1]syr_populatedplaces!$L:$L,[1]syr_populatedplaces!$M:$M)</f>
        <v>#N/A</v>
      </c>
      <c r="P804" s="4" t="e">
        <f>_xlfn.XLOOKUP(الجدول1[[#This Row],[القرية– البلدة]],[1]syr_populatedplaces!$L:$L,[1]syr_populatedplaces!$AD:$AD)</f>
        <v>#N/A</v>
      </c>
      <c r="Q804" s="4" t="e">
        <f>_xlfn.XLOOKUP(الجدول1[[#This Row],[القرية– البلدة]],[1]syr_populatedplaces!$L:$L,[1]syr_populatedplaces!$AC:$AC)</f>
        <v>#N/A</v>
      </c>
    </row>
    <row r="805" spans="2:17" ht="15">
      <c r="B805" t="s">
        <v>614</v>
      </c>
      <c r="C805" t="s">
        <v>18</v>
      </c>
      <c r="D805" t="s">
        <v>128</v>
      </c>
      <c r="E805" t="s">
        <v>657</v>
      </c>
      <c r="F805" t="s">
        <v>346</v>
      </c>
      <c r="G805" t="s">
        <v>347</v>
      </c>
      <c r="H805" t="s">
        <v>124</v>
      </c>
      <c r="I805">
        <v>1</v>
      </c>
      <c r="J805" t="s">
        <v>108</v>
      </c>
      <c r="K805" t="s">
        <v>618</v>
      </c>
      <c r="L805" t="s">
        <v>214</v>
      </c>
      <c r="M805" t="s">
        <v>27</v>
      </c>
      <c r="N805" t="s">
        <v>387</v>
      </c>
      <c r="O805" t="e">
        <f>_xlfn.XLOOKUP(E805,[1]syr_populatedplaces!$L:$L,[1]syr_populatedplaces!$M:$M)</f>
        <v>#N/A</v>
      </c>
      <c r="P805" s="4" t="e">
        <f>_xlfn.XLOOKUP(الجدول1[[#This Row],[القرية– البلدة]],[1]syr_populatedplaces!$L:$L,[1]syr_populatedplaces!$AD:$AD)</f>
        <v>#N/A</v>
      </c>
      <c r="Q805" s="4" t="e">
        <f>_xlfn.XLOOKUP(الجدول1[[#This Row],[القرية– البلدة]],[1]syr_populatedplaces!$L:$L,[1]syr_populatedplaces!$AC:$AC)</f>
        <v>#N/A</v>
      </c>
    </row>
    <row r="806" spans="2:17" ht="15">
      <c r="B806" t="s">
        <v>614</v>
      </c>
      <c r="C806" t="s">
        <v>18</v>
      </c>
      <c r="D806" t="s">
        <v>128</v>
      </c>
      <c r="E806" t="s">
        <v>660</v>
      </c>
      <c r="F806" t="s">
        <v>346</v>
      </c>
      <c r="G806" t="s">
        <v>347</v>
      </c>
      <c r="H806" t="s">
        <v>124</v>
      </c>
      <c r="I806">
        <v>1</v>
      </c>
      <c r="J806" t="s">
        <v>108</v>
      </c>
      <c r="K806" t="s">
        <v>618</v>
      </c>
      <c r="L806" t="s">
        <v>214</v>
      </c>
      <c r="M806" t="s">
        <v>27</v>
      </c>
      <c r="N806" t="s">
        <v>387</v>
      </c>
      <c r="O806" t="e">
        <f>_xlfn.XLOOKUP(E806,[1]syr_populatedplaces!$L:$L,[1]syr_populatedplaces!$M:$M)</f>
        <v>#N/A</v>
      </c>
      <c r="P806" s="4" t="e">
        <f>_xlfn.XLOOKUP(الجدول1[[#This Row],[القرية– البلدة]],[1]syr_populatedplaces!$L:$L,[1]syr_populatedplaces!$AD:$AD)</f>
        <v>#N/A</v>
      </c>
      <c r="Q806" s="4" t="e">
        <f>_xlfn.XLOOKUP(الجدول1[[#This Row],[القرية– البلدة]],[1]syr_populatedplaces!$L:$L,[1]syr_populatedplaces!$AC:$AC)</f>
        <v>#N/A</v>
      </c>
    </row>
    <row r="807" spans="2:17">
      <c r="B807" t="s">
        <v>614</v>
      </c>
      <c r="C807" t="s">
        <v>18</v>
      </c>
      <c r="D807" t="s">
        <v>128</v>
      </c>
      <c r="E807" t="s">
        <v>661</v>
      </c>
      <c r="F807" t="s">
        <v>346</v>
      </c>
      <c r="G807" t="s">
        <v>347</v>
      </c>
      <c r="H807" t="s">
        <v>124</v>
      </c>
      <c r="I807">
        <v>1</v>
      </c>
      <c r="J807" t="s">
        <v>108</v>
      </c>
      <c r="K807" t="s">
        <v>618</v>
      </c>
      <c r="L807" t="s">
        <v>214</v>
      </c>
      <c r="M807" t="s">
        <v>27</v>
      </c>
      <c r="N807" t="s">
        <v>387</v>
      </c>
      <c r="O807" t="e">
        <f>_xlfn.XLOOKUP(E807,[1]syr_populatedplaces!$L:$L,[1]syr_populatedplaces!$M:$M)</f>
        <v>#N/A</v>
      </c>
      <c r="P807">
        <f>_xlfn.XLOOKUP(الجدول1[[#This Row],[القرية– البلدة]],[2]!الجدول1[القرية– البلدة],[2]!الجدول1[Latitude])</f>
        <v>36.753529999999998</v>
      </c>
      <c r="Q807">
        <f>_xlfn.XLOOKUP(الجدول1[[#This Row],[القرية– البلدة]],[2]!الجدول1[القرية– البلدة],[2]!الجدول1[Longitude])</f>
        <v>36.782490000000003</v>
      </c>
    </row>
    <row r="808" spans="2:17" ht="15">
      <c r="B808" t="s">
        <v>614</v>
      </c>
      <c r="C808" t="s">
        <v>18</v>
      </c>
      <c r="D808" t="s">
        <v>128</v>
      </c>
      <c r="E808" t="s">
        <v>662</v>
      </c>
      <c r="F808" t="s">
        <v>346</v>
      </c>
      <c r="G808" t="s">
        <v>347</v>
      </c>
      <c r="H808" t="s">
        <v>124</v>
      </c>
      <c r="I808">
        <v>1</v>
      </c>
      <c r="J808" t="s">
        <v>108</v>
      </c>
      <c r="K808" t="s">
        <v>618</v>
      </c>
      <c r="L808" t="s">
        <v>214</v>
      </c>
      <c r="M808" t="s">
        <v>27</v>
      </c>
      <c r="N808" t="s">
        <v>387</v>
      </c>
      <c r="O808" t="e">
        <f>_xlfn.XLOOKUP(E808,[1]syr_populatedplaces!$L:$L,[1]syr_populatedplaces!$M:$M)</f>
        <v>#N/A</v>
      </c>
      <c r="P808" s="4" t="e">
        <f>_xlfn.XLOOKUP(الجدول1[[#This Row],[القرية– البلدة]],[1]syr_populatedplaces!$L:$L,[1]syr_populatedplaces!$AD:$AD)</f>
        <v>#N/A</v>
      </c>
      <c r="Q808" s="4" t="e">
        <f>_xlfn.XLOOKUP(الجدول1[[#This Row],[القرية– البلدة]],[1]syr_populatedplaces!$L:$L,[1]syr_populatedplaces!$AC:$AC)</f>
        <v>#N/A</v>
      </c>
    </row>
    <row r="809" spans="2:17" ht="15">
      <c r="B809" t="s">
        <v>614</v>
      </c>
      <c r="C809" t="s">
        <v>18</v>
      </c>
      <c r="D809" t="s">
        <v>128</v>
      </c>
      <c r="E809" t="s">
        <v>663</v>
      </c>
      <c r="F809" t="s">
        <v>346</v>
      </c>
      <c r="G809" t="s">
        <v>347</v>
      </c>
      <c r="H809" t="s">
        <v>124</v>
      </c>
      <c r="I809">
        <v>1</v>
      </c>
      <c r="J809" t="s">
        <v>108</v>
      </c>
      <c r="K809" t="s">
        <v>618</v>
      </c>
      <c r="L809" t="s">
        <v>214</v>
      </c>
      <c r="M809" t="s">
        <v>27</v>
      </c>
      <c r="N809" t="s">
        <v>387</v>
      </c>
      <c r="O809" t="e">
        <f>_xlfn.XLOOKUP(E809,[1]syr_populatedplaces!$L:$L,[1]syr_populatedplaces!$M:$M)</f>
        <v>#N/A</v>
      </c>
      <c r="P809" s="4" t="e">
        <f>_xlfn.XLOOKUP(الجدول1[[#This Row],[القرية– البلدة]],[1]syr_populatedplaces!$L:$L,[1]syr_populatedplaces!$AD:$AD)</f>
        <v>#N/A</v>
      </c>
      <c r="Q809" s="4" t="e">
        <f>_xlfn.XLOOKUP(الجدول1[[#This Row],[القرية– البلدة]],[1]syr_populatedplaces!$L:$L,[1]syr_populatedplaces!$AC:$AC)</f>
        <v>#N/A</v>
      </c>
    </row>
    <row r="810" spans="2:17" ht="15">
      <c r="B810" t="s">
        <v>614</v>
      </c>
      <c r="C810" t="s">
        <v>18</v>
      </c>
      <c r="D810" t="s">
        <v>128</v>
      </c>
      <c r="E810" t="s">
        <v>664</v>
      </c>
      <c r="F810" t="s">
        <v>346</v>
      </c>
      <c r="G810" t="s">
        <v>347</v>
      </c>
      <c r="H810" t="s">
        <v>124</v>
      </c>
      <c r="I810">
        <v>1</v>
      </c>
      <c r="J810" t="s">
        <v>108</v>
      </c>
      <c r="K810" t="s">
        <v>618</v>
      </c>
      <c r="L810" t="s">
        <v>214</v>
      </c>
      <c r="M810" t="s">
        <v>27</v>
      </c>
      <c r="N810" t="s">
        <v>387</v>
      </c>
      <c r="O810" t="e">
        <f>_xlfn.XLOOKUP(E810,[1]syr_populatedplaces!$L:$L,[1]syr_populatedplaces!$M:$M)</f>
        <v>#N/A</v>
      </c>
      <c r="P810" s="4" t="e">
        <f>_xlfn.XLOOKUP(الجدول1[[#This Row],[القرية– البلدة]],[1]syr_populatedplaces!$L:$L,[1]syr_populatedplaces!$AD:$AD)</f>
        <v>#N/A</v>
      </c>
      <c r="Q810" s="4" t="e">
        <f>_xlfn.XLOOKUP(الجدول1[[#This Row],[القرية– البلدة]],[1]syr_populatedplaces!$L:$L,[1]syr_populatedplaces!$AC:$AC)</f>
        <v>#N/A</v>
      </c>
    </row>
    <row r="811" spans="2:17" ht="15">
      <c r="B811" t="s">
        <v>614</v>
      </c>
      <c r="C811" t="s">
        <v>18</v>
      </c>
      <c r="D811" t="s">
        <v>128</v>
      </c>
      <c r="E811" t="s">
        <v>55</v>
      </c>
      <c r="F811" t="s">
        <v>346</v>
      </c>
      <c r="G811" t="s">
        <v>347</v>
      </c>
      <c r="H811" t="s">
        <v>124</v>
      </c>
      <c r="I811">
        <v>1</v>
      </c>
      <c r="J811" t="s">
        <v>108</v>
      </c>
      <c r="K811" t="s">
        <v>618</v>
      </c>
      <c r="L811" t="s">
        <v>214</v>
      </c>
      <c r="M811" t="s">
        <v>27</v>
      </c>
      <c r="N811" t="s">
        <v>387</v>
      </c>
      <c r="O811" t="e">
        <f>_xlfn.XLOOKUP(E811,[1]syr_populatedplaces!$L:$L,[1]syr_populatedplaces!$M:$M)</f>
        <v>#N/A</v>
      </c>
      <c r="P811" s="4" t="e">
        <f>_xlfn.XLOOKUP(الجدول1[[#This Row],[القرية– البلدة]],[1]syr_populatedplaces!$L:$L,[1]syr_populatedplaces!$AD:$AD)</f>
        <v>#N/A</v>
      </c>
      <c r="Q811" s="4" t="e">
        <f>_xlfn.XLOOKUP(الجدول1[[#This Row],[القرية– البلدة]],[1]syr_populatedplaces!$L:$L,[1]syr_populatedplaces!$AC:$AC)</f>
        <v>#N/A</v>
      </c>
    </row>
    <row r="812" spans="2:17">
      <c r="B812" t="s">
        <v>614</v>
      </c>
      <c r="C812" t="s">
        <v>18</v>
      </c>
      <c r="D812" t="s">
        <v>128</v>
      </c>
      <c r="E812" t="s">
        <v>56</v>
      </c>
      <c r="F812" t="s">
        <v>346</v>
      </c>
      <c r="G812" t="s">
        <v>347</v>
      </c>
      <c r="H812" t="s">
        <v>124</v>
      </c>
      <c r="I812">
        <v>1</v>
      </c>
      <c r="J812" t="s">
        <v>108</v>
      </c>
      <c r="K812" t="s">
        <v>618</v>
      </c>
      <c r="L812" t="s">
        <v>214</v>
      </c>
      <c r="M812" t="s">
        <v>27</v>
      </c>
      <c r="N812" t="s">
        <v>387</v>
      </c>
      <c r="O812" t="e">
        <f>_xlfn.XLOOKUP(E812,[1]syr_populatedplaces!$L:$L,[1]syr_populatedplaces!$M:$M)</f>
        <v>#N/A</v>
      </c>
      <c r="P812">
        <f>_xlfn.XLOOKUP(الجدول1[[#This Row],[القرية– البلدة]],[2]!الجدول1[القرية– البلدة],[2]!الجدول1[Latitude])</f>
        <v>36.527639999999998</v>
      </c>
      <c r="Q812">
        <f>_xlfn.XLOOKUP(الجدول1[[#This Row],[القرية– البلدة]],[2]!الجدول1[القرية– البلدة],[2]!الجدول1[Longitude])</f>
        <v>36.65578</v>
      </c>
    </row>
    <row r="813" spans="2:17" ht="15">
      <c r="B813" t="s">
        <v>614</v>
      </c>
      <c r="C813" t="s">
        <v>18</v>
      </c>
      <c r="D813" t="s">
        <v>128</v>
      </c>
      <c r="E813" t="s">
        <v>667</v>
      </c>
      <c r="F813" t="s">
        <v>346</v>
      </c>
      <c r="G813" t="s">
        <v>347</v>
      </c>
      <c r="H813" t="s">
        <v>124</v>
      </c>
      <c r="I813">
        <v>1</v>
      </c>
      <c r="J813" t="s">
        <v>108</v>
      </c>
      <c r="K813" t="s">
        <v>618</v>
      </c>
      <c r="L813" t="s">
        <v>214</v>
      </c>
      <c r="M813" t="s">
        <v>27</v>
      </c>
      <c r="N813" t="s">
        <v>387</v>
      </c>
      <c r="O813" t="e">
        <f>_xlfn.XLOOKUP(E813,[1]syr_populatedplaces!$L:$L,[1]syr_populatedplaces!$M:$M)</f>
        <v>#N/A</v>
      </c>
      <c r="P813" s="4" t="e">
        <f>_xlfn.XLOOKUP(الجدول1[[#This Row],[القرية– البلدة]],[1]syr_populatedplaces!$L:$L,[1]syr_populatedplaces!$AD:$AD)</f>
        <v>#N/A</v>
      </c>
      <c r="Q813" s="4" t="e">
        <f>_xlfn.XLOOKUP(الجدول1[[#This Row],[القرية– البلدة]],[1]syr_populatedplaces!$L:$L,[1]syr_populatedplaces!$AC:$AC)</f>
        <v>#N/A</v>
      </c>
    </row>
    <row r="814" spans="2:17">
      <c r="B814" t="s">
        <v>614</v>
      </c>
      <c r="C814" t="s">
        <v>18</v>
      </c>
      <c r="D814" t="s">
        <v>128</v>
      </c>
      <c r="E814" t="s">
        <v>668</v>
      </c>
      <c r="F814" t="s">
        <v>346</v>
      </c>
      <c r="G814" t="s">
        <v>347</v>
      </c>
      <c r="H814" t="s">
        <v>124</v>
      </c>
      <c r="I814">
        <v>1</v>
      </c>
      <c r="J814" t="s">
        <v>108</v>
      </c>
      <c r="K814" t="s">
        <v>618</v>
      </c>
      <c r="L814" t="s">
        <v>214</v>
      </c>
      <c r="M814" t="s">
        <v>27</v>
      </c>
      <c r="N814" t="s">
        <v>387</v>
      </c>
      <c r="O814" t="e">
        <f>_xlfn.XLOOKUP(E814,[1]syr_populatedplaces!$L:$L,[1]syr_populatedplaces!$M:$M)</f>
        <v>#N/A</v>
      </c>
      <c r="P814">
        <f>_xlfn.XLOOKUP(الجدول1[[#This Row],[القرية– البلدة]],[2]!الجدول1[القرية– البلدة],[2]!الجدول1[Latitude])</f>
        <v>36.714554999999997</v>
      </c>
      <c r="Q814">
        <f>_xlfn.XLOOKUP(الجدول1[[#This Row],[القرية– البلدة]],[2]!الجدول1[القرية– البلدة],[2]!الجدول1[Longitude])</f>
        <v>36.729008</v>
      </c>
    </row>
    <row r="815" spans="2:17">
      <c r="B815" t="s">
        <v>614</v>
      </c>
      <c r="C815" t="s">
        <v>18</v>
      </c>
      <c r="D815" t="s">
        <v>669</v>
      </c>
      <c r="E815" t="s">
        <v>670</v>
      </c>
      <c r="F815" t="s">
        <v>346</v>
      </c>
      <c r="G815" t="s">
        <v>378</v>
      </c>
      <c r="H815" t="s">
        <v>124</v>
      </c>
      <c r="I815">
        <v>1</v>
      </c>
      <c r="J815" t="s">
        <v>99</v>
      </c>
      <c r="K815" t="s">
        <v>379</v>
      </c>
      <c r="L815" t="s">
        <v>420</v>
      </c>
      <c r="M815" t="s">
        <v>27</v>
      </c>
      <c r="N815" t="s">
        <v>99</v>
      </c>
      <c r="O815" t="e">
        <f>_xlfn.XLOOKUP(E815,[1]syr_populatedplaces!$L:$L,[1]syr_populatedplaces!$M:$M)</f>
        <v>#N/A</v>
      </c>
      <c r="P815">
        <f>_xlfn.XLOOKUP(الجدول1[[#This Row],[القرية– البلدة]],[2]!الجدول1[القرية– البلدة],[2]!الجدول1[Latitude])</f>
        <v>36.217919999999999</v>
      </c>
      <c r="Q815">
        <f>_xlfn.XLOOKUP(الجدول1[[#This Row],[القرية– البلدة]],[2]!الجدول1[القرية– البلدة],[2]!الجدول1[Longitude])</f>
        <v>37.143210000000003</v>
      </c>
    </row>
    <row r="816" spans="2:17" ht="15">
      <c r="B816" t="s">
        <v>614</v>
      </c>
      <c r="C816" t="s">
        <v>18</v>
      </c>
      <c r="D816" t="s">
        <v>128</v>
      </c>
      <c r="E816" t="s">
        <v>671</v>
      </c>
      <c r="F816" t="s">
        <v>346</v>
      </c>
      <c r="G816" t="s">
        <v>672</v>
      </c>
      <c r="H816" t="s">
        <v>260</v>
      </c>
      <c r="I816">
        <v>35</v>
      </c>
      <c r="J816" t="s">
        <v>108</v>
      </c>
      <c r="K816" t="s">
        <v>673</v>
      </c>
      <c r="L816" t="s">
        <v>674</v>
      </c>
      <c r="M816" t="s">
        <v>27</v>
      </c>
      <c r="N816" t="s">
        <v>387</v>
      </c>
      <c r="O816" t="e">
        <f>_xlfn.XLOOKUP(E816,[1]syr_populatedplaces!$L:$L,[1]syr_populatedplaces!$M:$M)</f>
        <v>#N/A</v>
      </c>
      <c r="P816" s="4" t="e">
        <f>_xlfn.XLOOKUP(الجدول1[[#This Row],[القرية– البلدة]],[1]syr_populatedplaces!$L:$L,[1]syr_populatedplaces!$AD:$AD)</f>
        <v>#N/A</v>
      </c>
      <c r="Q816" s="4" t="e">
        <f>_xlfn.XLOOKUP(الجدول1[[#This Row],[القرية– البلدة]],[1]syr_populatedplaces!$L:$L,[1]syr_populatedplaces!$AC:$AC)</f>
        <v>#N/A</v>
      </c>
    </row>
    <row r="817" spans="2:17" ht="15">
      <c r="B817" t="s">
        <v>614</v>
      </c>
      <c r="C817" t="s">
        <v>18</v>
      </c>
      <c r="D817" t="s">
        <v>675</v>
      </c>
      <c r="E817" t="s">
        <v>676</v>
      </c>
      <c r="F817" t="s">
        <v>346</v>
      </c>
      <c r="G817" t="s">
        <v>677</v>
      </c>
      <c r="H817" t="s">
        <v>124</v>
      </c>
      <c r="I817">
        <v>1</v>
      </c>
      <c r="J817" t="s">
        <v>108</v>
      </c>
      <c r="K817" t="s">
        <v>678</v>
      </c>
      <c r="L817" t="s">
        <v>679</v>
      </c>
      <c r="M817" t="s">
        <v>27</v>
      </c>
      <c r="N817" t="s">
        <v>24</v>
      </c>
      <c r="O817" t="e">
        <f>_xlfn.XLOOKUP(E817,[1]syr_populatedplaces!$L:$L,[1]syr_populatedplaces!$M:$M)</f>
        <v>#N/A</v>
      </c>
      <c r="P817" s="4" t="e">
        <f>_xlfn.XLOOKUP(الجدول1[[#This Row],[القرية– البلدة]],[1]syr_populatedplaces!$L:$L,[1]syr_populatedplaces!$AD:$AD)</f>
        <v>#N/A</v>
      </c>
      <c r="Q817" s="4" t="e">
        <f>_xlfn.XLOOKUP(الجدول1[[#This Row],[القرية– البلدة]],[1]syr_populatedplaces!$L:$L,[1]syr_populatedplaces!$AC:$AC)</f>
        <v>#N/A</v>
      </c>
    </row>
    <row r="818" spans="2:17" ht="15">
      <c r="B818" t="s">
        <v>614</v>
      </c>
      <c r="C818" t="s">
        <v>18</v>
      </c>
      <c r="D818" t="s">
        <v>684</v>
      </c>
      <c r="E818" t="s">
        <v>685</v>
      </c>
      <c r="F818" t="s">
        <v>346</v>
      </c>
      <c r="G818" t="s">
        <v>686</v>
      </c>
      <c r="H818" t="s">
        <v>124</v>
      </c>
      <c r="I818">
        <v>1</v>
      </c>
      <c r="J818" t="s">
        <v>108</v>
      </c>
      <c r="K818" t="s">
        <v>687</v>
      </c>
      <c r="L818" t="s">
        <v>688</v>
      </c>
      <c r="M818" t="s">
        <v>27</v>
      </c>
      <c r="N818" t="s">
        <v>387</v>
      </c>
      <c r="O818" t="e">
        <f>_xlfn.XLOOKUP(E818,[1]syr_populatedplaces!$L:$L,[1]syr_populatedplaces!$M:$M)</f>
        <v>#N/A</v>
      </c>
      <c r="P818" s="4" t="e">
        <f>_xlfn.XLOOKUP(الجدول1[[#This Row],[القرية– البلدة]],[1]syr_populatedplaces!$L:$L,[1]syr_populatedplaces!$AD:$AD)</f>
        <v>#N/A</v>
      </c>
      <c r="Q818" s="4" t="e">
        <f>_xlfn.XLOOKUP(الجدول1[[#This Row],[القرية– البلدة]],[1]syr_populatedplaces!$L:$L,[1]syr_populatedplaces!$AC:$AC)</f>
        <v>#N/A</v>
      </c>
    </row>
    <row r="819" spans="2:17" ht="15">
      <c r="B819" t="s">
        <v>809</v>
      </c>
      <c r="C819" t="s">
        <v>18</v>
      </c>
      <c r="D819" t="s">
        <v>31</v>
      </c>
      <c r="E819" t="s">
        <v>818</v>
      </c>
      <c r="F819" t="s">
        <v>812</v>
      </c>
      <c r="G819" t="s">
        <v>813</v>
      </c>
      <c r="H819" t="s">
        <v>422</v>
      </c>
      <c r="I819">
        <v>1</v>
      </c>
      <c r="J819" t="s">
        <v>108</v>
      </c>
      <c r="K819" t="s">
        <v>819</v>
      </c>
      <c r="L819" t="s">
        <v>278</v>
      </c>
      <c r="M819" t="s">
        <v>816</v>
      </c>
      <c r="N819" t="s">
        <v>108</v>
      </c>
      <c r="O819" t="e">
        <f>_xlfn.XLOOKUP(E819,[1]syr_populatedplaces!$L:$L,[1]syr_populatedplaces!$M:$M)</f>
        <v>#N/A</v>
      </c>
      <c r="P819" s="4" t="e">
        <f>_xlfn.XLOOKUP(الجدول1[[#This Row],[القرية– البلدة]],[1]syr_populatedplaces!$L:$L,[1]syr_populatedplaces!$AD:$AD)</f>
        <v>#N/A</v>
      </c>
      <c r="Q819" s="4" t="e">
        <f>_xlfn.XLOOKUP(الجدول1[[#This Row],[القرية– البلدة]],[1]syr_populatedplaces!$L:$L,[1]syr_populatedplaces!$AC:$AC)</f>
        <v>#N/A</v>
      </c>
    </row>
    <row r="820" spans="2:17">
      <c r="B820" t="s">
        <v>809</v>
      </c>
      <c r="C820" t="s">
        <v>18</v>
      </c>
      <c r="D820" t="s">
        <v>409</v>
      </c>
      <c r="E820" t="s">
        <v>820</v>
      </c>
      <c r="F820" t="s">
        <v>812</v>
      </c>
      <c r="G820" t="s">
        <v>815</v>
      </c>
      <c r="H820" t="s">
        <v>821</v>
      </c>
      <c r="I820">
        <v>1</v>
      </c>
      <c r="J820" t="s">
        <v>99</v>
      </c>
      <c r="K820" t="s">
        <v>822</v>
      </c>
      <c r="L820" t="s">
        <v>823</v>
      </c>
      <c r="M820" t="s">
        <v>27</v>
      </c>
      <c r="N820" t="s">
        <v>99</v>
      </c>
      <c r="O820" t="e">
        <f>_xlfn.XLOOKUP(E820,[1]syr_populatedplaces!$L:$L,[1]syr_populatedplaces!$M:$M)</f>
        <v>#N/A</v>
      </c>
      <c r="P820">
        <f>_xlfn.XLOOKUP(الجدول1[[#This Row],[القرية– البلدة]],[2]!الجدول1[القرية– البلدة],[2]!الجدول1[Latitude])</f>
        <v>36.184554184746503</v>
      </c>
      <c r="Q820">
        <f>_xlfn.XLOOKUP(الجدول1[[#This Row],[القرية– البلدة]],[2]!الجدول1[القرية– البلدة],[2]!الجدول1[Longitude])</f>
        <v>37.111358702224599</v>
      </c>
    </row>
    <row r="821" spans="2:17">
      <c r="B821" t="s">
        <v>809</v>
      </c>
      <c r="C821" t="s">
        <v>18</v>
      </c>
      <c r="D821" t="s">
        <v>409</v>
      </c>
      <c r="E821" t="s">
        <v>824</v>
      </c>
      <c r="F821" t="s">
        <v>812</v>
      </c>
      <c r="G821" t="s">
        <v>815</v>
      </c>
      <c r="H821" t="s">
        <v>821</v>
      </c>
      <c r="I821">
        <v>1</v>
      </c>
      <c r="J821" t="s">
        <v>99</v>
      </c>
      <c r="K821" t="s">
        <v>822</v>
      </c>
      <c r="L821" t="s">
        <v>825</v>
      </c>
      <c r="M821" t="s">
        <v>27</v>
      </c>
      <c r="N821" t="s">
        <v>99</v>
      </c>
      <c r="O821" t="e">
        <f>_xlfn.XLOOKUP(E821,[1]syr_populatedplaces!$L:$L,[1]syr_populatedplaces!$M:$M)</f>
        <v>#N/A</v>
      </c>
      <c r="P821">
        <f>_xlfn.XLOOKUP(الجدول1[[#This Row],[القرية– البلدة]],[2]!الجدول1[القرية– البلدة],[2]!الجدول1[Latitude])</f>
        <v>36.191165888534798</v>
      </c>
      <c r="Q821">
        <f>_xlfn.XLOOKUP(الجدول1[[#This Row],[القرية– البلدة]],[2]!الجدول1[القرية– البلدة],[2]!الجدول1[Longitude])</f>
        <v>37.143397774267299</v>
      </c>
    </row>
    <row r="822" spans="2:17">
      <c r="B822" t="s">
        <v>809</v>
      </c>
      <c r="C822" t="s">
        <v>18</v>
      </c>
      <c r="D822" t="s">
        <v>409</v>
      </c>
      <c r="E822" t="s">
        <v>826</v>
      </c>
      <c r="F822" t="s">
        <v>812</v>
      </c>
      <c r="G822" t="s">
        <v>827</v>
      </c>
      <c r="H822" t="s">
        <v>124</v>
      </c>
      <c r="I822">
        <v>1</v>
      </c>
      <c r="J822" t="s">
        <v>108</v>
      </c>
      <c r="K822" t="s">
        <v>828</v>
      </c>
      <c r="L822" t="s">
        <v>829</v>
      </c>
      <c r="M822" t="s">
        <v>27</v>
      </c>
      <c r="N822" t="s">
        <v>108</v>
      </c>
      <c r="O822" t="e">
        <f>_xlfn.XLOOKUP(E822,[1]syr_populatedplaces!$L:$L,[1]syr_populatedplaces!$M:$M)</f>
        <v>#N/A</v>
      </c>
      <c r="P822">
        <f>_xlfn.XLOOKUP(الجدول1[[#This Row],[القرية– البلدة]],[2]!الجدول1[القرية– البلدة],[2]!الجدول1[Latitude])</f>
        <v>36.229981000000002</v>
      </c>
      <c r="Q822">
        <f>_xlfn.XLOOKUP(الجدول1[[#This Row],[القرية– البلدة]],[2]!الجدول1[القرية– البلدة],[2]!الجدول1[Longitude])</f>
        <v>37.144195000000003</v>
      </c>
    </row>
    <row r="823" spans="2:17">
      <c r="B823" t="s">
        <v>809</v>
      </c>
      <c r="C823" t="s">
        <v>18</v>
      </c>
      <c r="D823" t="s">
        <v>830</v>
      </c>
      <c r="E823" t="s">
        <v>831</v>
      </c>
      <c r="F823" t="s">
        <v>812</v>
      </c>
      <c r="G823" t="s">
        <v>832</v>
      </c>
      <c r="H823" t="s">
        <v>477</v>
      </c>
      <c r="I823">
        <v>1</v>
      </c>
      <c r="J823" t="s">
        <v>108</v>
      </c>
      <c r="K823" t="s">
        <v>833</v>
      </c>
      <c r="L823" t="s">
        <v>834</v>
      </c>
      <c r="M823" t="s">
        <v>27</v>
      </c>
      <c r="N823" t="s">
        <v>108</v>
      </c>
      <c r="O823" t="e">
        <f>_xlfn.XLOOKUP(E823,[1]syr_populatedplaces!$L:$L,[1]syr_populatedplaces!$M:$M)</f>
        <v>#N/A</v>
      </c>
      <c r="P823">
        <f>_xlfn.XLOOKUP(الجدول1[[#This Row],[القرية– البلدة]],[2]!الجدول1[القرية– البلدة],[2]!الجدول1[Latitude])</f>
        <v>35.994660000000003</v>
      </c>
      <c r="Q823">
        <f>_xlfn.XLOOKUP(الجدول1[[#This Row],[القرية– البلدة]],[2]!الجدول1[القرية– البلدة],[2]!الجدول1[Longitude])</f>
        <v>37.000889999999998</v>
      </c>
    </row>
    <row r="824" spans="2:17">
      <c r="B824" t="s">
        <v>809</v>
      </c>
      <c r="C824" t="s">
        <v>18</v>
      </c>
      <c r="D824" t="s">
        <v>409</v>
      </c>
      <c r="E824" t="s">
        <v>842</v>
      </c>
      <c r="F824" t="s">
        <v>812</v>
      </c>
      <c r="G824" t="s">
        <v>843</v>
      </c>
      <c r="H824" t="s">
        <v>844</v>
      </c>
      <c r="I824">
        <v>1</v>
      </c>
      <c r="J824" t="s">
        <v>845</v>
      </c>
      <c r="K824" t="s">
        <v>846</v>
      </c>
      <c r="L824" t="s">
        <v>847</v>
      </c>
      <c r="M824" t="s">
        <v>848</v>
      </c>
      <c r="N824" t="s">
        <v>387</v>
      </c>
      <c r="O824" t="e">
        <f>_xlfn.XLOOKUP(E824,[1]syr_populatedplaces!$L:$L,[1]syr_populatedplaces!$M:$M)</f>
        <v>#N/A</v>
      </c>
      <c r="P824">
        <f>_xlfn.XLOOKUP(الجدول1[[#This Row],[القرية– البلدة]],[2]!الجدول1[القرية– البلدة],[2]!الجدول1[Latitude])</f>
        <v>36.216839999999998</v>
      </c>
      <c r="Q824">
        <f>_xlfn.XLOOKUP(الجدول1[[#This Row],[القرية– البلدة]],[2]!الجدول1[القرية– البلدة],[2]!الجدول1[Longitude])</f>
        <v>37.190779999999997</v>
      </c>
    </row>
    <row r="825" spans="2:17" ht="15">
      <c r="B825" t="s">
        <v>1074</v>
      </c>
      <c r="C825" t="s">
        <v>18</v>
      </c>
      <c r="D825" t="s">
        <v>409</v>
      </c>
      <c r="E825" t="s">
        <v>1164</v>
      </c>
      <c r="F825" t="s">
        <v>1075</v>
      </c>
      <c r="G825" t="s">
        <v>1165</v>
      </c>
      <c r="H825" t="s">
        <v>1166</v>
      </c>
      <c r="I825">
        <v>1</v>
      </c>
      <c r="J825" t="s">
        <v>883</v>
      </c>
      <c r="K825" t="s">
        <v>1167</v>
      </c>
      <c r="L825" t="s">
        <v>1168</v>
      </c>
      <c r="M825" t="s">
        <v>27</v>
      </c>
      <c r="N825" t="s">
        <v>387</v>
      </c>
      <c r="O825" t="e">
        <f>_xlfn.XLOOKUP(E825,[1]syr_populatedplaces!$L:$L,[1]syr_populatedplaces!$M:$M)</f>
        <v>#N/A</v>
      </c>
      <c r="P825" s="4" t="e">
        <f>_xlfn.XLOOKUP(الجدول1[[#This Row],[القرية– البلدة]],[1]syr_populatedplaces!$L:$L,[1]syr_populatedplaces!$AD:$AD)</f>
        <v>#N/A</v>
      </c>
      <c r="Q825" s="4" t="e">
        <f>_xlfn.XLOOKUP(الجدول1[[#This Row],[القرية– البلدة]],[1]syr_populatedplaces!$L:$L,[1]syr_populatedplaces!$AC:$AC)</f>
        <v>#N/A</v>
      </c>
    </row>
    <row r="826" spans="2:17" ht="15">
      <c r="B826" t="s">
        <v>1074</v>
      </c>
      <c r="C826" t="s">
        <v>18</v>
      </c>
      <c r="D826" t="s">
        <v>409</v>
      </c>
      <c r="E826" t="s">
        <v>1169</v>
      </c>
      <c r="F826" t="s">
        <v>1075</v>
      </c>
      <c r="G826" t="s">
        <v>1170</v>
      </c>
      <c r="H826" t="s">
        <v>1171</v>
      </c>
      <c r="I826">
        <v>1</v>
      </c>
      <c r="J826" t="s">
        <v>883</v>
      </c>
      <c r="K826" t="s">
        <v>1172</v>
      </c>
      <c r="L826" t="s">
        <v>1173</v>
      </c>
      <c r="M826" t="s">
        <v>1174</v>
      </c>
      <c r="N826" t="s">
        <v>387</v>
      </c>
      <c r="O826" t="e">
        <f>_xlfn.XLOOKUP(E826,[1]syr_populatedplaces!$L:$L,[1]syr_populatedplaces!$M:$M)</f>
        <v>#N/A</v>
      </c>
      <c r="P826" s="4" t="e">
        <f>_xlfn.XLOOKUP(الجدول1[[#This Row],[القرية– البلدة]],[1]syr_populatedplaces!$L:$L,[1]syr_populatedplaces!$AD:$AD)</f>
        <v>#N/A</v>
      </c>
      <c r="Q826" s="4" t="e">
        <f>_xlfn.XLOOKUP(الجدول1[[#This Row],[القرية– البلدة]],[1]syr_populatedplaces!$L:$L,[1]syr_populatedplaces!$AC:$AC)</f>
        <v>#N/A</v>
      </c>
    </row>
    <row r="827" spans="2:17" ht="15">
      <c r="B827" t="s">
        <v>1074</v>
      </c>
      <c r="C827" t="s">
        <v>18</v>
      </c>
      <c r="D827" t="s">
        <v>27</v>
      </c>
      <c r="E827" t="s">
        <v>615</v>
      </c>
      <c r="F827" t="s">
        <v>1075</v>
      </c>
      <c r="G827" t="s">
        <v>1175</v>
      </c>
      <c r="H827" t="s">
        <v>260</v>
      </c>
      <c r="I827">
        <v>1</v>
      </c>
      <c r="J827" t="s">
        <v>108</v>
      </c>
      <c r="K827" t="s">
        <v>496</v>
      </c>
      <c r="L827" t="s">
        <v>1176</v>
      </c>
      <c r="M827" t="s">
        <v>1177</v>
      </c>
      <c r="N827" t="s">
        <v>108</v>
      </c>
      <c r="O827" t="e">
        <f>_xlfn.XLOOKUP(E827,[1]syr_populatedplaces!$L:$L,[1]syr_populatedplaces!$M:$M)</f>
        <v>#N/A</v>
      </c>
      <c r="P827" s="4" t="e">
        <f>_xlfn.XLOOKUP(الجدول1[[#This Row],[القرية– البلدة]],[1]syr_populatedplaces!$L:$L,[1]syr_populatedplaces!$AD:$AD)</f>
        <v>#N/A</v>
      </c>
      <c r="Q827" s="4" t="e">
        <f>_xlfn.XLOOKUP(الجدول1[[#This Row],[القرية– البلدة]],[1]syr_populatedplaces!$L:$L,[1]syr_populatedplaces!$AC:$AC)</f>
        <v>#N/A</v>
      </c>
    </row>
    <row r="828" spans="2:17" ht="15">
      <c r="B828" t="s">
        <v>1074</v>
      </c>
      <c r="C828" t="s">
        <v>18</v>
      </c>
      <c r="D828" t="s">
        <v>27</v>
      </c>
      <c r="E828" t="s">
        <v>1178</v>
      </c>
      <c r="F828" t="s">
        <v>1075</v>
      </c>
      <c r="G828" t="s">
        <v>1179</v>
      </c>
      <c r="H828" t="s">
        <v>260</v>
      </c>
      <c r="I828">
        <v>1</v>
      </c>
      <c r="J828" t="s">
        <v>108</v>
      </c>
      <c r="K828" t="s">
        <v>1180</v>
      </c>
      <c r="L828" t="s">
        <v>1181</v>
      </c>
      <c r="M828" t="s">
        <v>1182</v>
      </c>
      <c r="N828" t="s">
        <v>108</v>
      </c>
      <c r="O828" t="e">
        <f>_xlfn.XLOOKUP(E828,[1]syr_populatedplaces!$L:$L,[1]syr_populatedplaces!$M:$M)</f>
        <v>#N/A</v>
      </c>
      <c r="P828" s="4" t="e">
        <f>_xlfn.XLOOKUP(الجدول1[[#This Row],[القرية– البلدة]],[1]syr_populatedplaces!$L:$L,[1]syr_populatedplaces!$AD:$AD)</f>
        <v>#N/A</v>
      </c>
      <c r="Q828" s="4" t="e">
        <f>_xlfn.XLOOKUP(الجدول1[[#This Row],[القرية– البلدة]],[1]syr_populatedplaces!$L:$L,[1]syr_populatedplaces!$AC:$AC)</f>
        <v>#N/A</v>
      </c>
    </row>
    <row r="829" spans="2:17">
      <c r="B829" t="s">
        <v>1074</v>
      </c>
      <c r="C829" t="s">
        <v>18</v>
      </c>
      <c r="D829" t="s">
        <v>1183</v>
      </c>
      <c r="E829" t="s">
        <v>1184</v>
      </c>
      <c r="F829" t="s">
        <v>1075</v>
      </c>
      <c r="G829" t="s">
        <v>243</v>
      </c>
      <c r="H829" t="s">
        <v>814</v>
      </c>
      <c r="I829">
        <v>1</v>
      </c>
      <c r="J829" t="s">
        <v>108</v>
      </c>
      <c r="K829" t="s">
        <v>878</v>
      </c>
      <c r="L829" t="s">
        <v>1185</v>
      </c>
      <c r="M829" t="s">
        <v>1186</v>
      </c>
      <c r="N829" t="s">
        <v>108</v>
      </c>
      <c r="O829" t="e">
        <f>_xlfn.XLOOKUP(E829,[1]syr_populatedplaces!$L:$L,[1]syr_populatedplaces!$M:$M)</f>
        <v>#N/A</v>
      </c>
      <c r="P829">
        <f>_xlfn.XLOOKUP(الجدول1[[#This Row],[القرية– البلدة]],[2]!الجدول1[القرية– البلدة],[2]!الجدول1[Latitude])</f>
        <v>36.117440000000002</v>
      </c>
      <c r="Q829">
        <f>_xlfn.XLOOKUP(الجدول1[[#This Row],[القرية– البلدة]],[2]!الجدول1[القرية– البلدة],[2]!الجدول1[Longitude])</f>
        <v>36.802050000000001</v>
      </c>
    </row>
    <row r="830" spans="2:17">
      <c r="B830" t="s">
        <v>1074</v>
      </c>
      <c r="C830" t="s">
        <v>18</v>
      </c>
      <c r="D830" t="s">
        <v>1188</v>
      </c>
      <c r="E830" t="s">
        <v>1189</v>
      </c>
      <c r="F830" t="s">
        <v>1075</v>
      </c>
      <c r="G830" t="s">
        <v>1190</v>
      </c>
      <c r="H830" t="s">
        <v>1191</v>
      </c>
      <c r="I830">
        <v>1</v>
      </c>
      <c r="J830" t="s">
        <v>883</v>
      </c>
      <c r="K830" t="s">
        <v>1192</v>
      </c>
      <c r="L830" t="s">
        <v>1193</v>
      </c>
      <c r="M830" t="s">
        <v>1194</v>
      </c>
      <c r="N830" t="s">
        <v>387</v>
      </c>
      <c r="O830" t="e">
        <f>_xlfn.XLOOKUP(E830,[1]syr_populatedplaces!$L:$L,[1]syr_populatedplaces!$M:$M)</f>
        <v>#N/A</v>
      </c>
      <c r="P830">
        <f>_xlfn.XLOOKUP(الجدول1[[#This Row],[القرية– البلدة]],[2]!الجدول1[القرية– البلدة],[2]!الجدول1[Latitude])</f>
        <v>36.530384182810202</v>
      </c>
      <c r="Q830">
        <f>_xlfn.XLOOKUP(الجدول1[[#This Row],[القرية– البلدة]],[2]!الجدول1[القرية– البلدة],[2]!الجدول1[Longitude])</f>
        <v>37.270293787173699</v>
      </c>
    </row>
    <row r="831" spans="2:17" ht="15">
      <c r="B831" t="s">
        <v>1074</v>
      </c>
      <c r="C831" t="s">
        <v>18</v>
      </c>
      <c r="D831" t="s">
        <v>27</v>
      </c>
      <c r="E831" t="s">
        <v>1195</v>
      </c>
      <c r="F831" t="s">
        <v>1075</v>
      </c>
      <c r="G831" t="s">
        <v>1196</v>
      </c>
      <c r="H831" t="s">
        <v>477</v>
      </c>
      <c r="I831">
        <v>1</v>
      </c>
      <c r="J831" t="s">
        <v>108</v>
      </c>
      <c r="K831" t="s">
        <v>1197</v>
      </c>
      <c r="L831" t="s">
        <v>360</v>
      </c>
      <c r="M831" t="s">
        <v>1198</v>
      </c>
      <c r="N831" t="s">
        <v>108</v>
      </c>
      <c r="O831" t="e">
        <f>_xlfn.XLOOKUP(E831,[1]syr_populatedplaces!$L:$L,[1]syr_populatedplaces!$M:$M)</f>
        <v>#N/A</v>
      </c>
      <c r="P831" s="4" t="e">
        <f>_xlfn.XLOOKUP(الجدول1[[#This Row],[القرية– البلدة]],[1]syr_populatedplaces!$L:$L,[1]syr_populatedplaces!$AD:$AD)</f>
        <v>#N/A</v>
      </c>
      <c r="Q831" s="4" t="e">
        <f>_xlfn.XLOOKUP(الجدول1[[#This Row],[القرية– البلدة]],[1]syr_populatedplaces!$L:$L,[1]syr_populatedplaces!$AC:$AC)</f>
        <v>#N/A</v>
      </c>
    </row>
    <row r="832" spans="2:17" ht="15">
      <c r="B832" t="s">
        <v>1074</v>
      </c>
      <c r="C832" t="s">
        <v>18</v>
      </c>
      <c r="D832" t="s">
        <v>27</v>
      </c>
      <c r="E832" t="s">
        <v>1199</v>
      </c>
      <c r="F832" t="s">
        <v>1075</v>
      </c>
      <c r="G832" t="s">
        <v>1200</v>
      </c>
      <c r="H832" t="s">
        <v>124</v>
      </c>
      <c r="I832">
        <v>1</v>
      </c>
      <c r="J832" t="s">
        <v>108</v>
      </c>
      <c r="K832" t="s">
        <v>1201</v>
      </c>
      <c r="L832" t="s">
        <v>1202</v>
      </c>
      <c r="M832" t="s">
        <v>27</v>
      </c>
      <c r="N832" t="s">
        <v>108</v>
      </c>
      <c r="O832" t="e">
        <f>_xlfn.XLOOKUP(E832,[1]syr_populatedplaces!$L:$L,[1]syr_populatedplaces!$M:$M)</f>
        <v>#N/A</v>
      </c>
      <c r="P832" s="4" t="e">
        <f>_xlfn.XLOOKUP(الجدول1[[#This Row],[القرية– البلدة]],[1]syr_populatedplaces!$L:$L,[1]syr_populatedplaces!$AD:$AD)</f>
        <v>#N/A</v>
      </c>
      <c r="Q832" s="4" t="e">
        <f>_xlfn.XLOOKUP(الجدول1[[#This Row],[القرية– البلدة]],[1]syr_populatedplaces!$L:$L,[1]syr_populatedplaces!$AC:$AC)</f>
        <v>#N/A</v>
      </c>
    </row>
    <row r="833" spans="2:17" ht="15">
      <c r="B833" t="s">
        <v>1074</v>
      </c>
      <c r="C833" t="s">
        <v>18</v>
      </c>
      <c r="D833" t="s">
        <v>1203</v>
      </c>
      <c r="E833" t="s">
        <v>1204</v>
      </c>
      <c r="F833" t="s">
        <v>1075</v>
      </c>
      <c r="G833" t="s">
        <v>1205</v>
      </c>
      <c r="H833" t="s">
        <v>1206</v>
      </c>
      <c r="I833">
        <v>1</v>
      </c>
      <c r="J833" t="s">
        <v>845</v>
      </c>
      <c r="K833" t="s">
        <v>1207</v>
      </c>
      <c r="L833" t="s">
        <v>1208</v>
      </c>
      <c r="M833" t="s">
        <v>1163</v>
      </c>
      <c r="N833" t="s">
        <v>387</v>
      </c>
      <c r="O833" t="e">
        <f>_xlfn.XLOOKUP(E833,[1]syr_populatedplaces!$L:$L,[1]syr_populatedplaces!$M:$M)</f>
        <v>#N/A</v>
      </c>
      <c r="P833" s="4" t="e">
        <f>_xlfn.XLOOKUP(الجدول1[[#This Row],[القرية– البلدة]],[1]syr_populatedplaces!$L:$L,[1]syr_populatedplaces!$AD:$AD)</f>
        <v>#N/A</v>
      </c>
      <c r="Q833" s="4" t="e">
        <f>_xlfn.XLOOKUP(الجدول1[[#This Row],[القرية– البلدة]],[1]syr_populatedplaces!$L:$L,[1]syr_populatedplaces!$AC:$AC)</f>
        <v>#N/A</v>
      </c>
    </row>
    <row r="834" spans="2:17" ht="15">
      <c r="B834" t="s">
        <v>1215</v>
      </c>
      <c r="C834" t="s">
        <v>18</v>
      </c>
      <c r="D834" t="s">
        <v>409</v>
      </c>
      <c r="E834" t="s">
        <v>1219</v>
      </c>
      <c r="F834" t="s">
        <v>1216</v>
      </c>
      <c r="G834" t="s">
        <v>1220</v>
      </c>
      <c r="H834" t="s">
        <v>1171</v>
      </c>
      <c r="I834">
        <v>2</v>
      </c>
      <c r="J834" t="s">
        <v>883</v>
      </c>
      <c r="K834" t="s">
        <v>1221</v>
      </c>
      <c r="L834" t="s">
        <v>1173</v>
      </c>
      <c r="M834" t="s">
        <v>1222</v>
      </c>
      <c r="N834" t="s">
        <v>387</v>
      </c>
      <c r="O834" t="e">
        <f>_xlfn.XLOOKUP(E834,[1]syr_populatedplaces!$L:$L,[1]syr_populatedplaces!$M:$M)</f>
        <v>#N/A</v>
      </c>
      <c r="P834" s="4" t="e">
        <f>_xlfn.XLOOKUP(الجدول1[[#This Row],[القرية– البلدة]],[1]syr_populatedplaces!$L:$L,[1]syr_populatedplaces!$AD:$AD)</f>
        <v>#N/A</v>
      </c>
      <c r="Q834" s="4" t="e">
        <f>_xlfn.XLOOKUP(الجدول1[[#This Row],[القرية– البلدة]],[1]syr_populatedplaces!$L:$L,[1]syr_populatedplaces!$AC:$AC)</f>
        <v>#N/A</v>
      </c>
    </row>
    <row r="835" spans="2:17" ht="15">
      <c r="B835" t="s">
        <v>1215</v>
      </c>
      <c r="C835" t="s">
        <v>18</v>
      </c>
      <c r="D835" t="s">
        <v>409</v>
      </c>
      <c r="E835" t="s">
        <v>1238</v>
      </c>
      <c r="F835" t="s">
        <v>1216</v>
      </c>
      <c r="G835" t="s">
        <v>1239</v>
      </c>
      <c r="H835" t="s">
        <v>840</v>
      </c>
      <c r="I835">
        <v>2</v>
      </c>
      <c r="J835" t="s">
        <v>108</v>
      </c>
      <c r="K835" t="s">
        <v>1240</v>
      </c>
      <c r="L835" t="s">
        <v>1241</v>
      </c>
      <c r="M835" t="s">
        <v>1242</v>
      </c>
      <c r="N835" t="s">
        <v>108</v>
      </c>
      <c r="O835" t="e">
        <f>_xlfn.XLOOKUP(E835,[1]syr_populatedplaces!$L:$L,[1]syr_populatedplaces!$M:$M)</f>
        <v>#N/A</v>
      </c>
      <c r="P835" s="4" t="e">
        <f>_xlfn.XLOOKUP(الجدول1[[#This Row],[القرية– البلدة]],[1]syr_populatedplaces!$L:$L,[1]syr_populatedplaces!$AD:$AD)</f>
        <v>#N/A</v>
      </c>
      <c r="Q835" s="4" t="e">
        <f>_xlfn.XLOOKUP(الجدول1[[#This Row],[القرية– البلدة]],[1]syr_populatedplaces!$L:$L,[1]syr_populatedplaces!$AC:$AC)</f>
        <v>#N/A</v>
      </c>
    </row>
    <row r="836" spans="2:17">
      <c r="B836" t="s">
        <v>1215</v>
      </c>
      <c r="C836" t="s">
        <v>18</v>
      </c>
      <c r="D836" t="s">
        <v>1188</v>
      </c>
      <c r="E836" t="s">
        <v>1189</v>
      </c>
      <c r="F836" t="s">
        <v>1216</v>
      </c>
      <c r="G836" t="s">
        <v>1243</v>
      </c>
      <c r="H836" t="s">
        <v>1244</v>
      </c>
      <c r="I836">
        <v>2</v>
      </c>
      <c r="J836" t="s">
        <v>883</v>
      </c>
      <c r="K836" t="s">
        <v>1245</v>
      </c>
      <c r="L836" t="s">
        <v>1246</v>
      </c>
      <c r="M836" t="s">
        <v>27</v>
      </c>
      <c r="N836" t="s">
        <v>387</v>
      </c>
      <c r="O836" t="e">
        <f>_xlfn.XLOOKUP(E836,[1]syr_populatedplaces!$L:$L,[1]syr_populatedplaces!$M:$M)</f>
        <v>#N/A</v>
      </c>
      <c r="P836">
        <f>_xlfn.XLOOKUP(الجدول1[[#This Row],[القرية– البلدة]],[2]!الجدول1[القرية– البلدة],[2]!الجدول1[Latitude])</f>
        <v>36.530384182810202</v>
      </c>
      <c r="Q836">
        <f>_xlfn.XLOOKUP(الجدول1[[#This Row],[القرية– البلدة]],[2]!الجدول1[القرية– البلدة],[2]!الجدول1[Longitude])</f>
        <v>37.270293787173699</v>
      </c>
    </row>
    <row r="837" spans="2:17" ht="15">
      <c r="B837" t="s">
        <v>1215</v>
      </c>
      <c r="C837" t="s">
        <v>18</v>
      </c>
      <c r="D837" t="s">
        <v>1297</v>
      </c>
      <c r="E837" t="s">
        <v>1020</v>
      </c>
      <c r="F837" t="s">
        <v>1216</v>
      </c>
      <c r="G837" t="s">
        <v>1284</v>
      </c>
      <c r="H837" t="s">
        <v>1290</v>
      </c>
      <c r="I837">
        <v>1</v>
      </c>
      <c r="J837" t="s">
        <v>99</v>
      </c>
      <c r="K837" t="s">
        <v>1294</v>
      </c>
      <c r="L837" t="s">
        <v>1298</v>
      </c>
      <c r="M837" t="s">
        <v>1299</v>
      </c>
      <c r="N837" t="s">
        <v>99</v>
      </c>
      <c r="O837" t="e">
        <f>_xlfn.XLOOKUP(E837,[1]syr_populatedplaces!$L:$L,[1]syr_populatedplaces!$M:$M)</f>
        <v>#N/A</v>
      </c>
      <c r="P837" s="4" t="e">
        <f>_xlfn.XLOOKUP(الجدول1[[#This Row],[القرية– البلدة]],[1]syr_populatedplaces!$L:$L,[1]syr_populatedplaces!$AD:$AD)</f>
        <v>#N/A</v>
      </c>
      <c r="Q837" s="4" t="e">
        <f>_xlfn.XLOOKUP(الجدول1[[#This Row],[القرية– البلدة]],[1]syr_populatedplaces!$L:$L,[1]syr_populatedplaces!$AC:$AC)</f>
        <v>#N/A</v>
      </c>
    </row>
    <row r="838" spans="2:17">
      <c r="B838" t="s">
        <v>1309</v>
      </c>
      <c r="C838" t="s">
        <v>18</v>
      </c>
      <c r="D838" t="s">
        <v>1310</v>
      </c>
      <c r="E838" t="s">
        <v>1320</v>
      </c>
      <c r="F838" t="s">
        <v>812</v>
      </c>
      <c r="G838" t="s">
        <v>1321</v>
      </c>
      <c r="H838" t="s">
        <v>1322</v>
      </c>
      <c r="I838">
        <v>2</v>
      </c>
      <c r="J838" t="s">
        <v>108</v>
      </c>
      <c r="K838" t="s">
        <v>1323</v>
      </c>
      <c r="L838" t="s">
        <v>544</v>
      </c>
      <c r="M838" t="s">
        <v>1314</v>
      </c>
      <c r="N838" t="s">
        <v>108</v>
      </c>
      <c r="O838" t="e">
        <f>_xlfn.XLOOKUP(E838,[1]syr_populatedplaces!$L:$L,[1]syr_populatedplaces!$M:$M)</f>
        <v>#N/A</v>
      </c>
      <c r="P838">
        <f>_xlfn.XLOOKUP(الجدول1[[#This Row],[القرية– البلدة]],[2]!الجدول1[القرية– البلدة],[2]!الجدول1[Latitude])</f>
        <v>36.466078233932599</v>
      </c>
      <c r="Q838">
        <f>_xlfn.XLOOKUP(الجدول1[[#This Row],[القرية– البلدة]],[2]!الجدول1[القرية– البلدة],[2]!الجدول1[Longitude])</f>
        <v>36.994354231680298</v>
      </c>
    </row>
    <row r="839" spans="2:17">
      <c r="B839" t="s">
        <v>1309</v>
      </c>
      <c r="C839" t="s">
        <v>18</v>
      </c>
      <c r="D839" t="s">
        <v>33</v>
      </c>
      <c r="E839" t="s">
        <v>1329</v>
      </c>
      <c r="F839" t="s">
        <v>812</v>
      </c>
      <c r="G839" t="s">
        <v>1330</v>
      </c>
      <c r="H839" t="s">
        <v>477</v>
      </c>
      <c r="I839">
        <v>1</v>
      </c>
      <c r="J839" t="s">
        <v>387</v>
      </c>
      <c r="K839" t="s">
        <v>1331</v>
      </c>
      <c r="L839" t="s">
        <v>1332</v>
      </c>
      <c r="M839" t="s">
        <v>1314</v>
      </c>
      <c r="N839" t="s">
        <v>108</v>
      </c>
      <c r="O839" t="e">
        <f>_xlfn.XLOOKUP(E839,[1]syr_populatedplaces!$L:$L,[1]syr_populatedplaces!$M:$M)</f>
        <v>#N/A</v>
      </c>
      <c r="P839">
        <f>_xlfn.XLOOKUP(الجدول1[[#This Row],[القرية– البلدة]],[2]!الجدول1[القرية– البلدة],[2]!الجدول1[Latitude])</f>
        <v>36.530070000000002</v>
      </c>
      <c r="Q839">
        <f>_xlfn.XLOOKUP(الجدول1[[#This Row],[القرية– البلدة]],[2]!الجدول1[القرية– البلدة],[2]!الجدول1[Longitude])</f>
        <v>37.976078999999999</v>
      </c>
    </row>
    <row r="840" spans="2:17" ht="15">
      <c r="B840" t="s">
        <v>1309</v>
      </c>
      <c r="C840" t="s">
        <v>18</v>
      </c>
      <c r="D840" t="s">
        <v>1333</v>
      </c>
      <c r="E840" t="s">
        <v>1334</v>
      </c>
      <c r="F840" t="s">
        <v>812</v>
      </c>
      <c r="G840" t="s">
        <v>378</v>
      </c>
      <c r="H840" t="s">
        <v>1335</v>
      </c>
      <c r="I840">
        <v>1</v>
      </c>
      <c r="J840" t="s">
        <v>99</v>
      </c>
      <c r="K840" t="s">
        <v>1336</v>
      </c>
      <c r="L840" t="s">
        <v>380</v>
      </c>
      <c r="M840" t="s">
        <v>1314</v>
      </c>
      <c r="N840" t="s">
        <v>99</v>
      </c>
      <c r="O840" t="e">
        <f>_xlfn.XLOOKUP(E840,[1]syr_populatedplaces!$L:$L,[1]syr_populatedplaces!$M:$M)</f>
        <v>#N/A</v>
      </c>
      <c r="P840" s="4" t="e">
        <f>_xlfn.XLOOKUP(الجدول1[[#This Row],[القرية– البلدة]],[1]syr_populatedplaces!$L:$L,[1]syr_populatedplaces!$AD:$AD)</f>
        <v>#N/A</v>
      </c>
      <c r="Q840" s="4" t="e">
        <f>_xlfn.XLOOKUP(الجدول1[[#This Row],[القرية– البلدة]],[1]syr_populatedplaces!$L:$L,[1]syr_populatedplaces!$AC:$AC)</f>
        <v>#N/A</v>
      </c>
    </row>
    <row r="841" spans="2:17" ht="15">
      <c r="B841" t="s">
        <v>1309</v>
      </c>
      <c r="C841" t="s">
        <v>18</v>
      </c>
      <c r="D841" t="s">
        <v>144</v>
      </c>
      <c r="E841" t="s">
        <v>615</v>
      </c>
      <c r="F841" t="s">
        <v>812</v>
      </c>
      <c r="G841" t="s">
        <v>1337</v>
      </c>
      <c r="H841" t="s">
        <v>1338</v>
      </c>
      <c r="I841">
        <v>2</v>
      </c>
      <c r="J841" t="s">
        <v>108</v>
      </c>
      <c r="K841" t="s">
        <v>1339</v>
      </c>
      <c r="L841" t="s">
        <v>1340</v>
      </c>
      <c r="M841" t="s">
        <v>1314</v>
      </c>
      <c r="N841" t="s">
        <v>108</v>
      </c>
      <c r="O841" t="e">
        <f>_xlfn.XLOOKUP(E841,[1]syr_populatedplaces!$L:$L,[1]syr_populatedplaces!$M:$M)</f>
        <v>#N/A</v>
      </c>
      <c r="P841" s="4" t="e">
        <f>_xlfn.XLOOKUP(الجدول1[[#This Row],[القرية– البلدة]],[1]syr_populatedplaces!$L:$L,[1]syr_populatedplaces!$AD:$AD)</f>
        <v>#N/A</v>
      </c>
      <c r="Q841" s="4" t="e">
        <f>_xlfn.XLOOKUP(الجدول1[[#This Row],[القرية– البلدة]],[1]syr_populatedplaces!$L:$L,[1]syr_populatedplaces!$AC:$AC)</f>
        <v>#N/A</v>
      </c>
    </row>
    <row r="842" spans="2:17">
      <c r="B842" t="s">
        <v>1309</v>
      </c>
      <c r="C842" t="s">
        <v>18</v>
      </c>
      <c r="D842" t="s">
        <v>42</v>
      </c>
      <c r="E842" t="s">
        <v>1341</v>
      </c>
      <c r="F842" t="s">
        <v>812</v>
      </c>
      <c r="G842" t="s">
        <v>1342</v>
      </c>
      <c r="H842" t="s">
        <v>124</v>
      </c>
      <c r="I842">
        <v>1</v>
      </c>
      <c r="J842" t="s">
        <v>108</v>
      </c>
      <c r="K842" t="s">
        <v>1343</v>
      </c>
      <c r="L842" t="s">
        <v>1344</v>
      </c>
      <c r="M842" t="s">
        <v>1314</v>
      </c>
      <c r="N842" t="s">
        <v>108</v>
      </c>
      <c r="O842" t="e">
        <f>_xlfn.XLOOKUP(E842,[1]syr_populatedplaces!$L:$L,[1]syr_populatedplaces!$M:$M)</f>
        <v>#N/A</v>
      </c>
      <c r="P842">
        <f>_xlfn.XLOOKUP(الجدول1[[#This Row],[القرية– البلدة]],[2]!الجدول1[القرية– البلدة],[2]!الجدول1[Latitude])</f>
        <v>36.3742908589713</v>
      </c>
      <c r="Q842">
        <f>_xlfn.XLOOKUP(الجدول1[[#This Row],[القرية– البلدة]],[2]!الجدول1[القرية– البلدة],[2]!الجدول1[Longitude])</f>
        <v>36.613212243507803</v>
      </c>
    </row>
    <row r="843" spans="2:17">
      <c r="B843" t="s">
        <v>1074</v>
      </c>
      <c r="C843" t="s">
        <v>18</v>
      </c>
      <c r="D843" t="s">
        <v>27</v>
      </c>
      <c r="E843" t="s">
        <v>835</v>
      </c>
      <c r="F843" t="s">
        <v>1075</v>
      </c>
      <c r="G843" t="s">
        <v>1141</v>
      </c>
      <c r="H843" t="s">
        <v>1155</v>
      </c>
      <c r="I843">
        <v>1</v>
      </c>
      <c r="J843" t="s">
        <v>99</v>
      </c>
      <c r="K843" t="s">
        <v>1156</v>
      </c>
      <c r="L843" t="s">
        <v>1157</v>
      </c>
      <c r="M843" t="s">
        <v>27</v>
      </c>
      <c r="N843" t="s">
        <v>99</v>
      </c>
      <c r="O843" t="s">
        <v>836</v>
      </c>
      <c r="P843">
        <f>_xlfn.XLOOKUP(الجدول1[[#This Row],[القرية– البلدة]],[2]!الجدول1[القرية– البلدة],[2]!الجدول1[Latitude])</f>
        <v>36.070129000000001</v>
      </c>
      <c r="Q843">
        <f>_xlfn.XLOOKUP(الجدول1[[#This Row],[القرية– البلدة]],[2]!الجدول1[القرية– البلدة],[2]!الجدول1[Longitude])</f>
        <v>36.978881999999999</v>
      </c>
    </row>
    <row r="844" spans="2:17">
      <c r="B844" t="s">
        <v>1074</v>
      </c>
      <c r="C844" t="s">
        <v>18</v>
      </c>
      <c r="D844" t="s">
        <v>27</v>
      </c>
      <c r="E844" t="s">
        <v>396</v>
      </c>
      <c r="F844" t="s">
        <v>1075</v>
      </c>
      <c r="G844" t="s">
        <v>1141</v>
      </c>
      <c r="H844" t="s">
        <v>1155</v>
      </c>
      <c r="I844">
        <v>1</v>
      </c>
      <c r="J844" t="s">
        <v>99</v>
      </c>
      <c r="K844" t="s">
        <v>1156</v>
      </c>
      <c r="L844" t="s">
        <v>1157</v>
      </c>
      <c r="M844" t="s">
        <v>27</v>
      </c>
      <c r="N844" t="s">
        <v>99</v>
      </c>
      <c r="O844" t="s">
        <v>397</v>
      </c>
      <c r="P844">
        <f>_xlfn.XLOOKUP(الجدول1[[#This Row],[القرية– البلدة]],[2]!الجدول1[القرية– البلدة],[2]!الجدول1[Latitude])</f>
        <v>36.137878000000001</v>
      </c>
      <c r="Q844">
        <f>_xlfn.XLOOKUP(الجدول1[[#This Row],[القرية– البلدة]],[2]!الجدول1[القرية– البلدة],[2]!الجدول1[Longitude])</f>
        <v>36.828491</v>
      </c>
    </row>
    <row r="845" spans="2:17">
      <c r="B845" t="s">
        <v>1074</v>
      </c>
      <c r="C845" t="s">
        <v>18</v>
      </c>
      <c r="D845" t="s">
        <v>27</v>
      </c>
      <c r="E845" t="s">
        <v>406</v>
      </c>
      <c r="F845" t="s">
        <v>1075</v>
      </c>
      <c r="G845" t="s">
        <v>1141</v>
      </c>
      <c r="H845" t="s">
        <v>1155</v>
      </c>
      <c r="I845">
        <v>1</v>
      </c>
      <c r="J845" t="s">
        <v>99</v>
      </c>
      <c r="K845" t="s">
        <v>1156</v>
      </c>
      <c r="L845" t="s">
        <v>1157</v>
      </c>
      <c r="M845" t="s">
        <v>27</v>
      </c>
      <c r="N845" t="s">
        <v>99</v>
      </c>
      <c r="O845" t="s">
        <v>407</v>
      </c>
      <c r="P845">
        <f>_xlfn.XLOOKUP(الجدول1[[#This Row],[القرية– البلدة]],[2]!الجدول1[القرية– البلدة],[2]!الجدول1[Latitude])</f>
        <v>36.589111000000003</v>
      </c>
      <c r="Q845">
        <f>_xlfn.XLOOKUP(الجدول1[[#This Row],[القرية– البلدة]],[2]!الجدول1[القرية– البلدة],[2]!الجدول1[Longitude])</f>
        <v>37.268676999999997</v>
      </c>
    </row>
    <row r="846" spans="2:17">
      <c r="B846" t="s">
        <v>1074</v>
      </c>
      <c r="C846" t="s">
        <v>18</v>
      </c>
      <c r="D846" t="s">
        <v>27</v>
      </c>
      <c r="E846" t="s">
        <v>30</v>
      </c>
      <c r="F846" t="s">
        <v>1075</v>
      </c>
      <c r="G846" t="s">
        <v>1141</v>
      </c>
      <c r="H846" t="s">
        <v>1155</v>
      </c>
      <c r="I846">
        <v>1</v>
      </c>
      <c r="J846" t="s">
        <v>99</v>
      </c>
      <c r="K846" t="s">
        <v>1156</v>
      </c>
      <c r="L846" t="s">
        <v>1157</v>
      </c>
      <c r="M846" t="s">
        <v>27</v>
      </c>
      <c r="N846" t="s">
        <v>99</v>
      </c>
      <c r="O846" t="str">
        <f>_xlfn.XLOOKUP(E846,[1]syr_populatedplaces!$L:$L,[1]syr_populatedplaces!$M:$M)</f>
        <v>C1131</v>
      </c>
      <c r="P846">
        <f>_xlfn.XLOOKUP(الجدول1[[#This Row],[القرية– البلدة]],[2]!الجدول1[القرية– البلدة],[2]!الجدول1[Latitude])</f>
        <v>36.508378999999998</v>
      </c>
      <c r="Q846">
        <f>_xlfn.XLOOKUP(الجدول1[[#This Row],[القرية– البلدة]],[2]!الجدول1[القرية– البلدة],[2]!الجدول1[Longitude])</f>
        <v>36.870089</v>
      </c>
    </row>
    <row r="847" spans="2:17">
      <c r="B847" t="s">
        <v>1074</v>
      </c>
      <c r="C847" t="s">
        <v>18</v>
      </c>
      <c r="D847" t="s">
        <v>27</v>
      </c>
      <c r="E847" t="s">
        <v>1158</v>
      </c>
      <c r="F847" t="s">
        <v>1075</v>
      </c>
      <c r="G847" t="s">
        <v>1141</v>
      </c>
      <c r="H847" t="s">
        <v>1155</v>
      </c>
      <c r="I847">
        <v>1</v>
      </c>
      <c r="J847" t="s">
        <v>99</v>
      </c>
      <c r="K847" t="s">
        <v>1156</v>
      </c>
      <c r="L847" t="s">
        <v>1157</v>
      </c>
      <c r="M847" t="s">
        <v>27</v>
      </c>
      <c r="N847" t="s">
        <v>99</v>
      </c>
      <c r="O847" t="s">
        <v>29</v>
      </c>
      <c r="P847">
        <f>_xlfn.XLOOKUP(الجدول1[[#This Row],[القرية– البلدة]],[2]!الجدول1[القرية– البلدة],[2]!الجدول1[Latitude])</f>
        <v>36.584899999999998</v>
      </c>
      <c r="Q847">
        <f>_xlfn.XLOOKUP(الجدول1[[#This Row],[القرية– البلدة]],[2]!الجدول1[القرية– البلدة],[2]!الجدول1[Longitude])</f>
        <v>37.043273999999997</v>
      </c>
    </row>
    <row r="848" spans="2:17">
      <c r="B848" t="s">
        <v>1074</v>
      </c>
      <c r="C848" t="s">
        <v>18</v>
      </c>
      <c r="D848" t="s">
        <v>27</v>
      </c>
      <c r="E848" t="s">
        <v>42</v>
      </c>
      <c r="F848" t="s">
        <v>1075</v>
      </c>
      <c r="G848" t="s">
        <v>1141</v>
      </c>
      <c r="H848" t="s">
        <v>1155</v>
      </c>
      <c r="I848">
        <v>1</v>
      </c>
      <c r="J848" t="s">
        <v>99</v>
      </c>
      <c r="K848" t="s">
        <v>1156</v>
      </c>
      <c r="L848" t="s">
        <v>1157</v>
      </c>
      <c r="M848" t="s">
        <v>27</v>
      </c>
      <c r="N848" t="s">
        <v>99</v>
      </c>
      <c r="O848" t="s">
        <v>43</v>
      </c>
      <c r="P848">
        <f>_xlfn.XLOOKUP(الجدول1[[#This Row],[القرية– البلدة]],[2]!الجدول1[القرية– البلدة],[2]!الجدول1[Latitude])</f>
        <v>36.392516999999998</v>
      </c>
      <c r="Q848">
        <f>_xlfn.XLOOKUP(الجدول1[[#This Row],[القرية– البلدة]],[2]!الجدول1[القرية– البلدة],[2]!الجدول1[Longitude])</f>
        <v>36.689697000000002</v>
      </c>
    </row>
    <row r="849" spans="2:17">
      <c r="B849" t="s">
        <v>1074</v>
      </c>
      <c r="C849" t="s">
        <v>18</v>
      </c>
      <c r="D849" t="s">
        <v>30</v>
      </c>
      <c r="E849" t="s">
        <v>30</v>
      </c>
      <c r="F849" t="s">
        <v>1075</v>
      </c>
      <c r="G849" t="s">
        <v>1159</v>
      </c>
      <c r="H849" t="s">
        <v>1160</v>
      </c>
      <c r="I849">
        <v>1</v>
      </c>
      <c r="J849" t="s">
        <v>845</v>
      </c>
      <c r="K849" t="s">
        <v>1161</v>
      </c>
      <c r="L849" t="s">
        <v>1162</v>
      </c>
      <c r="M849" t="s">
        <v>1163</v>
      </c>
      <c r="N849" t="s">
        <v>387</v>
      </c>
      <c r="O849" t="str">
        <f>_xlfn.XLOOKUP(E849,[1]syr_populatedplaces!$L:$L,[1]syr_populatedplaces!$M:$M)</f>
        <v>C1131</v>
      </c>
      <c r="P849">
        <f>_xlfn.XLOOKUP(الجدول1[[#This Row],[القرية– البلدة]],[2]!الجدول1[القرية– البلدة],[2]!الجدول1[Latitude])</f>
        <v>36.508378999999998</v>
      </c>
      <c r="Q849">
        <f>_xlfn.XLOOKUP(الجدول1[[#This Row],[القرية– البلدة]],[2]!الجدول1[القرية– البلدة],[2]!الجدول1[Longitude])</f>
        <v>36.870089</v>
      </c>
    </row>
    <row r="850" spans="2:17" ht="15">
      <c r="B850" t="s">
        <v>1309</v>
      </c>
      <c r="C850" t="s">
        <v>18</v>
      </c>
      <c r="D850" t="s">
        <v>640</v>
      </c>
      <c r="E850" t="s">
        <v>1345</v>
      </c>
      <c r="F850" t="s">
        <v>812</v>
      </c>
      <c r="G850" t="s">
        <v>1346</v>
      </c>
      <c r="H850" t="s">
        <v>1347</v>
      </c>
      <c r="I850">
        <v>1</v>
      </c>
      <c r="J850" t="s">
        <v>108</v>
      </c>
      <c r="K850" t="s">
        <v>1348</v>
      </c>
      <c r="L850" t="s">
        <v>1349</v>
      </c>
      <c r="M850" t="s">
        <v>1314</v>
      </c>
      <c r="N850" t="s">
        <v>108</v>
      </c>
      <c r="O850" t="e">
        <f>_xlfn.XLOOKUP(E850,[1]syr_populatedplaces!$L:$L,[1]syr_populatedplaces!$M:$M)</f>
        <v>#N/A</v>
      </c>
      <c r="P850" s="4" t="e">
        <f>_xlfn.XLOOKUP(الجدول1[[#This Row],[القرية– البلدة]],[1]syr_populatedplaces!$L:$L,[1]syr_populatedplaces!$AD:$AD)</f>
        <v>#N/A</v>
      </c>
      <c r="Q850" s="4" t="e">
        <f>_xlfn.XLOOKUP(الجدول1[[#This Row],[القرية– البلدة]],[1]syr_populatedplaces!$L:$L,[1]syr_populatedplaces!$AC:$AC)</f>
        <v>#N/A</v>
      </c>
    </row>
    <row r="851" spans="2:17" ht="15">
      <c r="B851" t="s">
        <v>1309</v>
      </c>
      <c r="C851" t="s">
        <v>18</v>
      </c>
      <c r="D851" t="s">
        <v>1350</v>
      </c>
      <c r="E851" t="s">
        <v>1351</v>
      </c>
      <c r="F851" t="s">
        <v>812</v>
      </c>
      <c r="G851" t="s">
        <v>470</v>
      </c>
      <c r="H851" t="s">
        <v>422</v>
      </c>
      <c r="I851">
        <v>1</v>
      </c>
      <c r="J851" t="s">
        <v>387</v>
      </c>
      <c r="K851" t="s">
        <v>1352</v>
      </c>
      <c r="L851" t="s">
        <v>1353</v>
      </c>
      <c r="M851" t="s">
        <v>1314</v>
      </c>
      <c r="N851" t="s">
        <v>387</v>
      </c>
      <c r="O851" t="e">
        <f>_xlfn.XLOOKUP(E851,[1]syr_populatedplaces!$L:$L,[1]syr_populatedplaces!$M:$M)</f>
        <v>#N/A</v>
      </c>
      <c r="P851" s="4" t="e">
        <f>_xlfn.XLOOKUP(الجدول1[[#This Row],[القرية– البلدة]],[1]syr_populatedplaces!$L:$L,[1]syr_populatedplaces!$AD:$AD)</f>
        <v>#N/A</v>
      </c>
      <c r="Q851" s="4" t="e">
        <f>_xlfn.XLOOKUP(الجدول1[[#This Row],[القرية– البلدة]],[1]syr_populatedplaces!$L:$L,[1]syr_populatedplaces!$AC:$AC)</f>
        <v>#N/A</v>
      </c>
    </row>
    <row r="852" spans="2:17" ht="15">
      <c r="B852" t="s">
        <v>1309</v>
      </c>
      <c r="C852" t="s">
        <v>18</v>
      </c>
      <c r="D852" t="s">
        <v>1354</v>
      </c>
      <c r="E852" t="s">
        <v>1351</v>
      </c>
      <c r="F852" t="s">
        <v>812</v>
      </c>
      <c r="G852" t="s">
        <v>1355</v>
      </c>
      <c r="H852" t="s">
        <v>1356</v>
      </c>
      <c r="I852">
        <v>1</v>
      </c>
      <c r="J852" t="s">
        <v>108</v>
      </c>
      <c r="K852" t="s">
        <v>1357</v>
      </c>
      <c r="L852" t="s">
        <v>544</v>
      </c>
      <c r="M852" t="s">
        <v>1314</v>
      </c>
      <c r="N852" t="s">
        <v>108</v>
      </c>
      <c r="O852" t="e">
        <f>_xlfn.XLOOKUP(E852,[1]syr_populatedplaces!$L:$L,[1]syr_populatedplaces!$M:$M)</f>
        <v>#N/A</v>
      </c>
      <c r="P852" s="4" t="e">
        <f>_xlfn.XLOOKUP(الجدول1[[#This Row],[القرية– البلدة]],[1]syr_populatedplaces!$L:$L,[1]syr_populatedplaces!$AD:$AD)</f>
        <v>#N/A</v>
      </c>
      <c r="Q852" s="4" t="e">
        <f>_xlfn.XLOOKUP(الجدول1[[#This Row],[القرية– البلدة]],[1]syr_populatedplaces!$L:$L,[1]syr_populatedplaces!$AC:$AC)</f>
        <v>#N/A</v>
      </c>
    </row>
    <row r="853" spans="2:17" ht="15">
      <c r="B853" t="s">
        <v>1309</v>
      </c>
      <c r="C853" t="s">
        <v>18</v>
      </c>
      <c r="D853" t="s">
        <v>1358</v>
      </c>
      <c r="E853" t="s">
        <v>1351</v>
      </c>
      <c r="F853" t="s">
        <v>812</v>
      </c>
      <c r="G853" t="s">
        <v>1325</v>
      </c>
      <c r="H853" t="s">
        <v>422</v>
      </c>
      <c r="I853">
        <v>1</v>
      </c>
      <c r="J853" t="s">
        <v>108</v>
      </c>
      <c r="K853" t="s">
        <v>1359</v>
      </c>
      <c r="L853" t="s">
        <v>1360</v>
      </c>
      <c r="M853" t="s">
        <v>1314</v>
      </c>
      <c r="N853" t="s">
        <v>108</v>
      </c>
      <c r="O853" t="e">
        <f>_xlfn.XLOOKUP(E853,[1]syr_populatedplaces!$L:$L,[1]syr_populatedplaces!$M:$M)</f>
        <v>#N/A</v>
      </c>
      <c r="P853" s="4" t="e">
        <f>_xlfn.XLOOKUP(الجدول1[[#This Row],[القرية– البلدة]],[1]syr_populatedplaces!$L:$L,[1]syr_populatedplaces!$AD:$AD)</f>
        <v>#N/A</v>
      </c>
      <c r="Q853" s="4" t="e">
        <f>_xlfn.XLOOKUP(الجدول1[[#This Row],[القرية– البلدة]],[1]syr_populatedplaces!$L:$L,[1]syr_populatedplaces!$AC:$AC)</f>
        <v>#N/A</v>
      </c>
    </row>
    <row r="854" spans="2:17">
      <c r="B854" t="s">
        <v>1500</v>
      </c>
      <c r="C854" t="s">
        <v>18</v>
      </c>
      <c r="D854" t="s">
        <v>1501</v>
      </c>
      <c r="E854" t="s">
        <v>1502</v>
      </c>
      <c r="F854" t="s">
        <v>1503</v>
      </c>
      <c r="G854" t="s">
        <v>1504</v>
      </c>
      <c r="H854" t="s">
        <v>1505</v>
      </c>
      <c r="I854">
        <v>1</v>
      </c>
      <c r="J854" t="s">
        <v>108</v>
      </c>
      <c r="K854" t="s">
        <v>1506</v>
      </c>
      <c r="L854" t="s">
        <v>1507</v>
      </c>
      <c r="M854" t="s">
        <v>27</v>
      </c>
      <c r="N854" t="s">
        <v>108</v>
      </c>
      <c r="O854" t="e">
        <f>_xlfn.XLOOKUP(E854,[1]syr_populatedplaces!$L:$L,[1]syr_populatedplaces!$M:$M)</f>
        <v>#N/A</v>
      </c>
      <c r="P854">
        <f>_xlfn.XLOOKUP(الجدول1[[#This Row],[القرية– البلدة]],[2]!الجدول1[القرية– البلدة],[2]!الجدول1[Latitude])</f>
        <v>36.272777092755497</v>
      </c>
      <c r="Q854">
        <f>_xlfn.XLOOKUP(الجدول1[[#This Row],[القرية– البلدة]],[2]!الجدول1[القرية– البلدة],[2]!الجدول1[Longitude])</f>
        <v>37.2592747832744</v>
      </c>
    </row>
    <row r="855" spans="2:17">
      <c r="B855" t="s">
        <v>1074</v>
      </c>
      <c r="C855" t="s">
        <v>18</v>
      </c>
      <c r="D855" t="s">
        <v>30</v>
      </c>
      <c r="E855" t="s">
        <v>30</v>
      </c>
      <c r="F855" t="s">
        <v>1075</v>
      </c>
      <c r="G855" t="s">
        <v>896</v>
      </c>
      <c r="H855" t="s">
        <v>840</v>
      </c>
      <c r="I855">
        <v>1</v>
      </c>
      <c r="J855" t="s">
        <v>108</v>
      </c>
      <c r="K855" t="s">
        <v>1187</v>
      </c>
      <c r="L855" t="s">
        <v>519</v>
      </c>
      <c r="M855" t="s">
        <v>841</v>
      </c>
      <c r="N855" t="s">
        <v>108</v>
      </c>
      <c r="O855" t="str">
        <f>_xlfn.XLOOKUP(E855,[1]syr_populatedplaces!$L:$L,[1]syr_populatedplaces!$M:$M)</f>
        <v>C1131</v>
      </c>
      <c r="P855">
        <f>_xlfn.XLOOKUP(الجدول1[[#This Row],[القرية– البلدة]],[2]!الجدول1[القرية– البلدة],[2]!الجدول1[Latitude])</f>
        <v>36.508378999999998</v>
      </c>
      <c r="Q855">
        <f>_xlfn.XLOOKUP(الجدول1[[#This Row],[القرية– البلدة]],[2]!الجدول1[القرية– البلدة],[2]!الجدول1[Longitude])</f>
        <v>36.870089</v>
      </c>
    </row>
    <row r="856" spans="2:17">
      <c r="B856" t="s">
        <v>1500</v>
      </c>
      <c r="C856" t="s">
        <v>18</v>
      </c>
      <c r="D856" t="s">
        <v>1501</v>
      </c>
      <c r="E856" t="s">
        <v>1502</v>
      </c>
      <c r="F856" t="s">
        <v>1503</v>
      </c>
      <c r="G856" t="s">
        <v>1508</v>
      </c>
      <c r="H856" t="s">
        <v>1509</v>
      </c>
      <c r="I856">
        <v>1</v>
      </c>
      <c r="J856" t="s">
        <v>108</v>
      </c>
      <c r="K856" t="s">
        <v>1510</v>
      </c>
      <c r="L856" t="s">
        <v>1511</v>
      </c>
      <c r="M856" t="s">
        <v>27</v>
      </c>
      <c r="N856" t="s">
        <v>108</v>
      </c>
      <c r="O856" t="e">
        <f>_xlfn.XLOOKUP(E856,[1]syr_populatedplaces!$L:$L,[1]syr_populatedplaces!$M:$M)</f>
        <v>#N/A</v>
      </c>
      <c r="P856">
        <f>_xlfn.XLOOKUP(الجدول1[[#This Row],[القرية– البلدة]],[2]!الجدول1[القرية– البلدة],[2]!الجدول1[Latitude])</f>
        <v>36.272777092755497</v>
      </c>
      <c r="Q856">
        <f>_xlfn.XLOOKUP(الجدول1[[#This Row],[القرية– البلدة]],[2]!الجدول1[القرية– البلدة],[2]!الجدول1[Longitude])</f>
        <v>37.2592747832744</v>
      </c>
    </row>
    <row r="857" spans="2:17">
      <c r="B857" t="s">
        <v>1500</v>
      </c>
      <c r="C857" t="s">
        <v>18</v>
      </c>
      <c r="D857" t="s">
        <v>1501</v>
      </c>
      <c r="E857" t="s">
        <v>1502</v>
      </c>
      <c r="F857" t="s">
        <v>1503</v>
      </c>
      <c r="G857" t="s">
        <v>1512</v>
      </c>
      <c r="H857" t="s">
        <v>1513</v>
      </c>
      <c r="I857">
        <v>1</v>
      </c>
      <c r="J857" t="s">
        <v>99</v>
      </c>
      <c r="K857" t="s">
        <v>1514</v>
      </c>
      <c r="L857" t="s">
        <v>1515</v>
      </c>
      <c r="M857" t="s">
        <v>27</v>
      </c>
      <c r="N857" t="s">
        <v>99</v>
      </c>
      <c r="O857" t="e">
        <f>_xlfn.XLOOKUP(E857,[1]syr_populatedplaces!$L:$L,[1]syr_populatedplaces!$M:$M)</f>
        <v>#N/A</v>
      </c>
      <c r="P857">
        <f>_xlfn.XLOOKUP(الجدول1[[#This Row],[القرية– البلدة]],[2]!الجدول1[القرية– البلدة],[2]!الجدول1[Latitude])</f>
        <v>36.272777092755497</v>
      </c>
      <c r="Q857">
        <f>_xlfn.XLOOKUP(الجدول1[[#This Row],[القرية– البلدة]],[2]!الجدول1[القرية– البلدة],[2]!الجدول1[Longitude])</f>
        <v>37.2592747832744</v>
      </c>
    </row>
    <row r="858" spans="2:17" ht="15">
      <c r="B858" t="s">
        <v>1500</v>
      </c>
      <c r="C858" t="s">
        <v>18</v>
      </c>
      <c r="D858" t="s">
        <v>1516</v>
      </c>
      <c r="E858" t="s">
        <v>1517</v>
      </c>
      <c r="F858" t="s">
        <v>1503</v>
      </c>
      <c r="G858" t="s">
        <v>1518</v>
      </c>
      <c r="H858" t="s">
        <v>1519</v>
      </c>
      <c r="I858">
        <v>1</v>
      </c>
      <c r="J858" t="s">
        <v>108</v>
      </c>
      <c r="K858" t="s">
        <v>1520</v>
      </c>
      <c r="L858" t="s">
        <v>1521</v>
      </c>
      <c r="M858" t="s">
        <v>27</v>
      </c>
      <c r="N858" t="s">
        <v>108</v>
      </c>
      <c r="O858" t="e">
        <f>_xlfn.XLOOKUP(E858,[1]syr_populatedplaces!$L:$L,[1]syr_populatedplaces!$M:$M)</f>
        <v>#N/A</v>
      </c>
      <c r="P858" s="4" t="e">
        <f>_xlfn.XLOOKUP(الجدول1[[#This Row],[القرية– البلدة]],[1]syr_populatedplaces!$L:$L,[1]syr_populatedplaces!$AD:$AD)</f>
        <v>#N/A</v>
      </c>
      <c r="Q858" s="4" t="e">
        <f>_xlfn.XLOOKUP(الجدول1[[#This Row],[القرية– البلدة]],[1]syr_populatedplaces!$L:$L,[1]syr_populatedplaces!$AC:$AC)</f>
        <v>#N/A</v>
      </c>
    </row>
    <row r="859" spans="2:17">
      <c r="B859" t="s">
        <v>1530</v>
      </c>
      <c r="C859" t="s">
        <v>18</v>
      </c>
      <c r="D859" t="s">
        <v>63</v>
      </c>
      <c r="E859" t="s">
        <v>1531</v>
      </c>
      <c r="F859" t="s">
        <v>812</v>
      </c>
      <c r="G859" t="s">
        <v>1532</v>
      </c>
      <c r="H859" t="s">
        <v>1533</v>
      </c>
      <c r="I859">
        <v>1</v>
      </c>
      <c r="J859" t="s">
        <v>99</v>
      </c>
      <c r="K859" t="s">
        <v>1534</v>
      </c>
      <c r="L859" t="s">
        <v>1535</v>
      </c>
      <c r="M859" t="s">
        <v>27</v>
      </c>
      <c r="N859" t="s">
        <v>108</v>
      </c>
      <c r="O859" t="e">
        <f>_xlfn.XLOOKUP(E859,[1]syr_populatedplaces!$L:$L,[1]syr_populatedplaces!$M:$M)</f>
        <v>#N/A</v>
      </c>
      <c r="P859">
        <f>_xlfn.XLOOKUP(الجدول1[[#This Row],[القرية– البلدة]],[2]!الجدول1[القرية– البلدة],[2]!الجدول1[Latitude])</f>
        <v>36.285094999999998</v>
      </c>
      <c r="Q859">
        <f>_xlfn.XLOOKUP(الجدول1[[#This Row],[القرية– البلدة]],[2]!الجدول1[القرية– البلدة],[2]!الجدول1[Longitude])</f>
        <v>36.851073999999997</v>
      </c>
    </row>
    <row r="860" spans="2:17">
      <c r="B860" t="s">
        <v>1074</v>
      </c>
      <c r="C860" t="s">
        <v>18</v>
      </c>
      <c r="D860" t="s">
        <v>1209</v>
      </c>
      <c r="E860" t="s">
        <v>1209</v>
      </c>
      <c r="F860" t="s">
        <v>1075</v>
      </c>
      <c r="G860" t="s">
        <v>880</v>
      </c>
      <c r="H860" t="s">
        <v>578</v>
      </c>
      <c r="I860">
        <v>1</v>
      </c>
      <c r="J860" t="s">
        <v>108</v>
      </c>
      <c r="K860" t="s">
        <v>880</v>
      </c>
      <c r="L860" t="s">
        <v>360</v>
      </c>
      <c r="M860" t="s">
        <v>27</v>
      </c>
      <c r="N860" t="s">
        <v>108</v>
      </c>
      <c r="O860" t="s">
        <v>1210</v>
      </c>
      <c r="P860">
        <f>_xlfn.XLOOKUP(الجدول1[[#This Row],[القرية– البلدة]],[2]!الجدول1[القرية– البلدة],[2]!الجدول1[Latitude])</f>
        <v>36.210692999999999</v>
      </c>
      <c r="Q860">
        <f>_xlfn.XLOOKUP(الجدول1[[#This Row],[القرية– البلدة]],[2]!الجدول1[القرية– البلدة],[2]!الجدول1[Longitude])</f>
        <v>37.135680999999998</v>
      </c>
    </row>
    <row r="861" spans="2:17" ht="15">
      <c r="B861" t="s">
        <v>1530</v>
      </c>
      <c r="C861" t="s">
        <v>18</v>
      </c>
      <c r="D861" t="s">
        <v>63</v>
      </c>
      <c r="E861" t="s">
        <v>1533</v>
      </c>
      <c r="F861" t="s">
        <v>812</v>
      </c>
      <c r="G861" t="s">
        <v>1532</v>
      </c>
      <c r="H861" t="s">
        <v>1533</v>
      </c>
      <c r="I861">
        <v>1</v>
      </c>
      <c r="J861" t="s">
        <v>99</v>
      </c>
      <c r="K861" t="s">
        <v>1534</v>
      </c>
      <c r="L861" t="s">
        <v>1535</v>
      </c>
      <c r="M861" t="s">
        <v>27</v>
      </c>
      <c r="N861" t="s">
        <v>108</v>
      </c>
      <c r="O861" t="e">
        <f>_xlfn.XLOOKUP(E861,[1]syr_populatedplaces!$L:$L,[1]syr_populatedplaces!$M:$M)</f>
        <v>#N/A</v>
      </c>
      <c r="P861" s="4" t="e">
        <f>_xlfn.XLOOKUP(الجدول1[[#This Row],[القرية– البلدة]],[1]syr_populatedplaces!$L:$L,[1]syr_populatedplaces!$AD:$AD)</f>
        <v>#N/A</v>
      </c>
      <c r="Q861" s="4" t="e">
        <f>_xlfn.XLOOKUP(الجدول1[[#This Row],[القرية– البلدة]],[1]syr_populatedplaces!$L:$L,[1]syr_populatedplaces!$AC:$AC)</f>
        <v>#N/A</v>
      </c>
    </row>
    <row r="862" spans="2:17" ht="15">
      <c r="B862" t="s">
        <v>1530</v>
      </c>
      <c r="C862" t="s">
        <v>18</v>
      </c>
      <c r="D862" t="s">
        <v>1536</v>
      </c>
      <c r="E862" t="s">
        <v>1542</v>
      </c>
      <c r="F862" t="s">
        <v>812</v>
      </c>
      <c r="G862" t="s">
        <v>1538</v>
      </c>
      <c r="H862" t="s">
        <v>358</v>
      </c>
      <c r="I862">
        <v>1</v>
      </c>
      <c r="J862" t="s">
        <v>108</v>
      </c>
      <c r="K862" t="s">
        <v>1539</v>
      </c>
      <c r="L862" t="s">
        <v>1540</v>
      </c>
      <c r="M862" t="s">
        <v>27</v>
      </c>
      <c r="N862" t="s">
        <v>108</v>
      </c>
      <c r="O862" t="e">
        <f>_xlfn.XLOOKUP(E862,[1]syr_populatedplaces!$L:$L,[1]syr_populatedplaces!$M:$M)</f>
        <v>#N/A</v>
      </c>
      <c r="P862" s="4" t="e">
        <f>_xlfn.XLOOKUP(الجدول1[[#This Row],[القرية– البلدة]],[1]syr_populatedplaces!$L:$L,[1]syr_populatedplaces!$AD:$AD)</f>
        <v>#N/A</v>
      </c>
      <c r="Q862" s="4" t="e">
        <f>_xlfn.XLOOKUP(الجدول1[[#This Row],[القرية– البلدة]],[1]syr_populatedplaces!$L:$L,[1]syr_populatedplaces!$AC:$AC)</f>
        <v>#N/A</v>
      </c>
    </row>
    <row r="863" spans="2:17" ht="15">
      <c r="B863" t="s">
        <v>1582</v>
      </c>
      <c r="C863" t="s">
        <v>18</v>
      </c>
      <c r="E863" t="s">
        <v>671</v>
      </c>
      <c r="F863" t="s">
        <v>1583</v>
      </c>
      <c r="G863" t="s">
        <v>1584</v>
      </c>
      <c r="H863" t="s">
        <v>1585</v>
      </c>
      <c r="J863" t="s">
        <v>108</v>
      </c>
      <c r="K863" t="s">
        <v>1586</v>
      </c>
      <c r="L863" t="s">
        <v>1587</v>
      </c>
      <c r="M863" t="s">
        <v>27</v>
      </c>
      <c r="N863" t="s">
        <v>108</v>
      </c>
      <c r="O863" t="e">
        <f>_xlfn.XLOOKUP(E863,[1]syr_populatedplaces!$L:$L,[1]syr_populatedplaces!$M:$M)</f>
        <v>#N/A</v>
      </c>
      <c r="P863" s="4" t="e">
        <f>_xlfn.XLOOKUP(الجدول1[[#This Row],[القرية– البلدة]],[1]syr_populatedplaces!$L:$L,[1]syr_populatedplaces!$AD:$AD)</f>
        <v>#N/A</v>
      </c>
      <c r="Q863" s="4" t="e">
        <f>_xlfn.XLOOKUP(الجدول1[[#This Row],[القرية– البلدة]],[1]syr_populatedplaces!$L:$L,[1]syr_populatedplaces!$AC:$AC)</f>
        <v>#N/A</v>
      </c>
    </row>
    <row r="864" spans="2:17" ht="15">
      <c r="B864" t="s">
        <v>1582</v>
      </c>
      <c r="C864" t="s">
        <v>18</v>
      </c>
      <c r="E864" t="s">
        <v>671</v>
      </c>
      <c r="F864" t="s">
        <v>1583</v>
      </c>
      <c r="G864" t="s">
        <v>592</v>
      </c>
      <c r="H864" t="s">
        <v>1588</v>
      </c>
      <c r="J864" t="s">
        <v>99</v>
      </c>
      <c r="K864" t="s">
        <v>1589</v>
      </c>
      <c r="L864" t="s">
        <v>1590</v>
      </c>
      <c r="M864" t="s">
        <v>27</v>
      </c>
      <c r="N864" t="s">
        <v>108</v>
      </c>
      <c r="O864" t="e">
        <f>_xlfn.XLOOKUP(E864,[1]syr_populatedplaces!$L:$L,[1]syr_populatedplaces!$M:$M)</f>
        <v>#N/A</v>
      </c>
      <c r="P864" s="4" t="e">
        <f>_xlfn.XLOOKUP(الجدول1[[#This Row],[القرية– البلدة]],[1]syr_populatedplaces!$L:$L,[1]syr_populatedplaces!$AD:$AD)</f>
        <v>#N/A</v>
      </c>
      <c r="Q864" s="4" t="e">
        <f>_xlfn.XLOOKUP(الجدول1[[#This Row],[القرية– البلدة]],[1]syr_populatedplaces!$L:$L,[1]syr_populatedplaces!$AC:$AC)</f>
        <v>#N/A</v>
      </c>
    </row>
    <row r="865" spans="2:17" ht="15">
      <c r="B865" t="s">
        <v>1582</v>
      </c>
      <c r="C865" t="s">
        <v>18</v>
      </c>
      <c r="E865" t="s">
        <v>587</v>
      </c>
      <c r="F865" t="s">
        <v>1583</v>
      </c>
      <c r="G865" t="s">
        <v>1591</v>
      </c>
      <c r="H865" t="s">
        <v>587</v>
      </c>
      <c r="J865" t="s">
        <v>108</v>
      </c>
      <c r="K865" t="s">
        <v>1592</v>
      </c>
      <c r="L865" t="s">
        <v>1593</v>
      </c>
      <c r="M865" t="s">
        <v>27</v>
      </c>
      <c r="N865" t="s">
        <v>108</v>
      </c>
      <c r="O865" t="e">
        <f>_xlfn.XLOOKUP(E865,[1]syr_populatedplaces!$L:$L,[1]syr_populatedplaces!$M:$M)</f>
        <v>#N/A</v>
      </c>
      <c r="P865" s="4" t="e">
        <f>_xlfn.XLOOKUP(الجدول1[[#This Row],[القرية– البلدة]],[1]syr_populatedplaces!$L:$L,[1]syr_populatedplaces!$AD:$AD)</f>
        <v>#N/A</v>
      </c>
      <c r="Q865" s="4" t="e">
        <f>_xlfn.XLOOKUP(الجدول1[[#This Row],[القرية– البلدة]],[1]syr_populatedplaces!$L:$L,[1]syr_populatedplaces!$AC:$AC)</f>
        <v>#N/A</v>
      </c>
    </row>
    <row r="866" spans="2:17" ht="15">
      <c r="B866" t="s">
        <v>1582</v>
      </c>
      <c r="C866" t="s">
        <v>18</v>
      </c>
      <c r="E866" t="s">
        <v>1548</v>
      </c>
      <c r="F866" t="s">
        <v>1583</v>
      </c>
      <c r="G866" t="s">
        <v>1594</v>
      </c>
      <c r="H866" t="s">
        <v>1548</v>
      </c>
      <c r="J866" t="s">
        <v>108</v>
      </c>
      <c r="K866" t="s">
        <v>1595</v>
      </c>
      <c r="L866" t="s">
        <v>1596</v>
      </c>
      <c r="M866" t="s">
        <v>27</v>
      </c>
      <c r="N866" t="s">
        <v>108</v>
      </c>
      <c r="O866" t="e">
        <f>_xlfn.XLOOKUP(E866,[1]syr_populatedplaces!$L:$L,[1]syr_populatedplaces!$M:$M)</f>
        <v>#N/A</v>
      </c>
      <c r="P866" s="4" t="e">
        <f>_xlfn.XLOOKUP(الجدول1[[#This Row],[القرية– البلدة]],[1]syr_populatedplaces!$L:$L,[1]syr_populatedplaces!$AD:$AD)</f>
        <v>#N/A</v>
      </c>
      <c r="Q866" s="4" t="e">
        <f>_xlfn.XLOOKUP(الجدول1[[#This Row],[القرية– البلدة]],[1]syr_populatedplaces!$L:$L,[1]syr_populatedplaces!$AC:$AC)</f>
        <v>#N/A</v>
      </c>
    </row>
    <row r="867" spans="2:17" ht="15">
      <c r="B867" t="s">
        <v>1582</v>
      </c>
      <c r="C867" t="s">
        <v>18</v>
      </c>
      <c r="E867" t="s">
        <v>800</v>
      </c>
      <c r="F867" t="s">
        <v>1583</v>
      </c>
      <c r="G867" t="s">
        <v>1597</v>
      </c>
      <c r="H867" t="s">
        <v>1598</v>
      </c>
      <c r="J867" t="s">
        <v>99</v>
      </c>
      <c r="K867" t="s">
        <v>1599</v>
      </c>
      <c r="L867" t="s">
        <v>1600</v>
      </c>
      <c r="M867" t="s">
        <v>27</v>
      </c>
      <c r="N867" t="s">
        <v>99</v>
      </c>
      <c r="O867" t="e">
        <f>_xlfn.XLOOKUP(E867,[1]syr_populatedplaces!$L:$L,[1]syr_populatedplaces!$M:$M)</f>
        <v>#N/A</v>
      </c>
      <c r="P867" s="4" t="e">
        <f>_xlfn.XLOOKUP(الجدول1[[#This Row],[القرية– البلدة]],[1]syr_populatedplaces!$L:$L,[1]syr_populatedplaces!$AD:$AD)</f>
        <v>#N/A</v>
      </c>
      <c r="Q867" s="4" t="e">
        <f>_xlfn.XLOOKUP(الجدول1[[#This Row],[القرية– البلدة]],[1]syr_populatedplaces!$L:$L,[1]syr_populatedplaces!$AC:$AC)</f>
        <v>#N/A</v>
      </c>
    </row>
    <row r="868" spans="2:17" ht="15">
      <c r="B868" t="s">
        <v>1582</v>
      </c>
      <c r="C868" t="s">
        <v>18</v>
      </c>
      <c r="E868" t="s">
        <v>800</v>
      </c>
      <c r="F868" t="s">
        <v>1583</v>
      </c>
      <c r="G868" t="s">
        <v>1601</v>
      </c>
      <c r="H868" t="s">
        <v>1369</v>
      </c>
      <c r="J868" t="s">
        <v>108</v>
      </c>
      <c r="K868" t="s">
        <v>1602</v>
      </c>
      <c r="L868" t="s">
        <v>1603</v>
      </c>
      <c r="M868" t="s">
        <v>27</v>
      </c>
      <c r="N868" t="s">
        <v>108</v>
      </c>
      <c r="O868" t="e">
        <f>_xlfn.XLOOKUP(E868,[1]syr_populatedplaces!$L:$L,[1]syr_populatedplaces!$M:$M)</f>
        <v>#N/A</v>
      </c>
      <c r="P868" s="4" t="e">
        <f>_xlfn.XLOOKUP(الجدول1[[#This Row],[القرية– البلدة]],[1]syr_populatedplaces!$L:$L,[1]syr_populatedplaces!$AD:$AD)</f>
        <v>#N/A</v>
      </c>
      <c r="Q868" s="4" t="e">
        <f>_xlfn.XLOOKUP(الجدول1[[#This Row],[القرية– البلدة]],[1]syr_populatedplaces!$L:$L,[1]syr_populatedplaces!$AC:$AC)</f>
        <v>#N/A</v>
      </c>
    </row>
    <row r="869" spans="2:17" ht="15">
      <c r="B869" t="s">
        <v>1582</v>
      </c>
      <c r="C869" t="s">
        <v>18</v>
      </c>
      <c r="E869" t="s">
        <v>800</v>
      </c>
      <c r="F869" t="s">
        <v>1583</v>
      </c>
      <c r="G869" t="s">
        <v>1604</v>
      </c>
      <c r="H869" t="s">
        <v>1605</v>
      </c>
      <c r="J869" t="s">
        <v>108</v>
      </c>
      <c r="K869" t="s">
        <v>1606</v>
      </c>
      <c r="L869" t="s">
        <v>1607</v>
      </c>
      <c r="M869" t="s">
        <v>27</v>
      </c>
      <c r="N869" t="s">
        <v>108</v>
      </c>
      <c r="O869" t="e">
        <f>_xlfn.XLOOKUP(E869,[1]syr_populatedplaces!$L:$L,[1]syr_populatedplaces!$M:$M)</f>
        <v>#N/A</v>
      </c>
      <c r="P869" s="4" t="e">
        <f>_xlfn.XLOOKUP(الجدول1[[#This Row],[القرية– البلدة]],[1]syr_populatedplaces!$L:$L,[1]syr_populatedplaces!$AD:$AD)</f>
        <v>#N/A</v>
      </c>
      <c r="Q869" s="4" t="e">
        <f>_xlfn.XLOOKUP(الجدول1[[#This Row],[القرية– البلدة]],[1]syr_populatedplaces!$L:$L,[1]syr_populatedplaces!$AC:$AC)</f>
        <v>#N/A</v>
      </c>
    </row>
    <row r="870" spans="2:17" ht="15">
      <c r="B870" t="s">
        <v>1582</v>
      </c>
      <c r="C870" t="s">
        <v>18</v>
      </c>
      <c r="E870" t="s">
        <v>1608</v>
      </c>
      <c r="F870" t="s">
        <v>1583</v>
      </c>
      <c r="G870" t="s">
        <v>1609</v>
      </c>
      <c r="H870" t="s">
        <v>1610</v>
      </c>
      <c r="J870" t="s">
        <v>99</v>
      </c>
      <c r="K870" t="s">
        <v>1611</v>
      </c>
      <c r="L870" t="s">
        <v>1612</v>
      </c>
      <c r="M870" t="s">
        <v>27</v>
      </c>
      <c r="N870" t="s">
        <v>108</v>
      </c>
      <c r="O870" t="e">
        <f>_xlfn.XLOOKUP(E870,[1]syr_populatedplaces!$L:$L,[1]syr_populatedplaces!$M:$M)</f>
        <v>#N/A</v>
      </c>
      <c r="P870" s="4" t="e">
        <f>_xlfn.XLOOKUP(الجدول1[[#This Row],[القرية– البلدة]],[1]syr_populatedplaces!$L:$L,[1]syr_populatedplaces!$AD:$AD)</f>
        <v>#N/A</v>
      </c>
      <c r="Q870" s="4" t="e">
        <f>_xlfn.XLOOKUP(الجدول1[[#This Row],[القرية– البلدة]],[1]syr_populatedplaces!$L:$L,[1]syr_populatedplaces!$AC:$AC)</f>
        <v>#N/A</v>
      </c>
    </row>
    <row r="871" spans="2:17" ht="15">
      <c r="B871" t="s">
        <v>1582</v>
      </c>
      <c r="C871" t="s">
        <v>18</v>
      </c>
      <c r="E871" t="s">
        <v>18</v>
      </c>
      <c r="F871" t="s">
        <v>1583</v>
      </c>
      <c r="G871" t="s">
        <v>1613</v>
      </c>
      <c r="H871" t="s">
        <v>1614</v>
      </c>
      <c r="I871">
        <v>1</v>
      </c>
      <c r="J871" t="s">
        <v>108</v>
      </c>
      <c r="K871" t="s">
        <v>1615</v>
      </c>
      <c r="L871" t="s">
        <v>1616</v>
      </c>
      <c r="M871" t="s">
        <v>1617</v>
      </c>
      <c r="N871" t="s">
        <v>108</v>
      </c>
      <c r="O871" t="str">
        <f>_xlfn.XLOOKUP(E871,[1]syr_populatedplaces!$L:$L,[1]syr_populatedplaces!$M:$M)</f>
        <v>C1007</v>
      </c>
      <c r="P871" s="4">
        <f>_xlfn.XLOOKUP(الجدول1[[#This Row],[القرية– البلدة]],[1]syr_populatedplaces!$L:$L,[1]syr_populatedplaces!$AD:$AD)</f>
        <v>36.20611572</v>
      </c>
      <c r="Q871" s="4">
        <f>_xlfn.XLOOKUP(الجدول1[[#This Row],[القرية– البلدة]],[1]syr_populatedplaces!$L:$L,[1]syr_populatedplaces!$AC:$AC)</f>
        <v>37.152526860000002</v>
      </c>
    </row>
    <row r="872" spans="2:17" ht="15">
      <c r="B872" t="s">
        <v>1657</v>
      </c>
      <c r="C872" t="s">
        <v>18</v>
      </c>
      <c r="E872" t="s">
        <v>18</v>
      </c>
      <c r="F872" t="s">
        <v>812</v>
      </c>
      <c r="G872" t="s">
        <v>1365</v>
      </c>
      <c r="H872" t="s">
        <v>591</v>
      </c>
      <c r="J872" t="s">
        <v>108</v>
      </c>
      <c r="K872" t="s">
        <v>1658</v>
      </c>
      <c r="L872" t="s">
        <v>1659</v>
      </c>
      <c r="M872" t="s">
        <v>27</v>
      </c>
      <c r="N872" t="s">
        <v>108</v>
      </c>
      <c r="O872" t="str">
        <f>_xlfn.XLOOKUP(E872,[1]syr_populatedplaces!$L:$L,[1]syr_populatedplaces!$M:$M)</f>
        <v>C1007</v>
      </c>
      <c r="P872" s="4">
        <f>_xlfn.XLOOKUP(الجدول1[[#This Row],[القرية– البلدة]],[1]syr_populatedplaces!$L:$L,[1]syr_populatedplaces!$AD:$AD)</f>
        <v>36.20611572</v>
      </c>
      <c r="Q872" s="4">
        <f>_xlfn.XLOOKUP(الجدول1[[#This Row],[القرية– البلدة]],[1]syr_populatedplaces!$L:$L,[1]syr_populatedplaces!$AC:$AC)</f>
        <v>37.152526860000002</v>
      </c>
    </row>
    <row r="873" spans="2:17">
      <c r="B873" t="s">
        <v>1694</v>
      </c>
      <c r="C873" t="s">
        <v>18</v>
      </c>
      <c r="E873" t="s">
        <v>1705</v>
      </c>
      <c r="F873" t="s">
        <v>1075</v>
      </c>
      <c r="G873" t="s">
        <v>1706</v>
      </c>
      <c r="H873" t="s">
        <v>1707</v>
      </c>
      <c r="I873">
        <v>1</v>
      </c>
      <c r="J873" t="s">
        <v>108</v>
      </c>
      <c r="K873" t="s">
        <v>1708</v>
      </c>
      <c r="L873" t="s">
        <v>1709</v>
      </c>
      <c r="M873" t="s">
        <v>27</v>
      </c>
      <c r="N873" t="s">
        <v>108</v>
      </c>
      <c r="O873" t="e">
        <f>_xlfn.XLOOKUP(E873,[1]syr_populatedplaces!$L:$L,[1]syr_populatedplaces!$M:$M)</f>
        <v>#N/A</v>
      </c>
      <c r="P873">
        <f>_xlfn.XLOOKUP(الجدول1[[#This Row],[القرية– البلدة]],[2]!الجدول1[القرية– البلدة],[2]!الجدول1[Latitude])</f>
        <v>36.555219999999998</v>
      </c>
      <c r="Q873">
        <f>_xlfn.XLOOKUP(الجدول1[[#This Row],[القرية– البلدة]],[2]!الجدول1[القرية– البلدة],[2]!الجدول1[Longitude])</f>
        <v>37.38015</v>
      </c>
    </row>
    <row r="874" spans="2:17">
      <c r="B874" t="s">
        <v>1309</v>
      </c>
      <c r="C874" t="s">
        <v>18</v>
      </c>
      <c r="D874" t="s">
        <v>1310</v>
      </c>
      <c r="E874" t="s">
        <v>1311</v>
      </c>
      <c r="F874" t="s">
        <v>812</v>
      </c>
      <c r="G874" t="s">
        <v>496</v>
      </c>
      <c r="H874" t="s">
        <v>1312</v>
      </c>
      <c r="I874">
        <v>1</v>
      </c>
      <c r="J874" t="s">
        <v>99</v>
      </c>
      <c r="K874" t="s">
        <v>496</v>
      </c>
      <c r="L874" t="s">
        <v>1313</v>
      </c>
      <c r="M874" t="s">
        <v>1314</v>
      </c>
      <c r="N874" t="s">
        <v>99</v>
      </c>
      <c r="O874" t="s">
        <v>1315</v>
      </c>
      <c r="P874">
        <f>_xlfn.XLOOKUP(الجدول1[[#This Row],[القرية– البلدة]],[2]!الجدول1[القرية– البلدة],[2]!الجدول1[Latitude])</f>
        <v>36.563476999999999</v>
      </c>
      <c r="Q874">
        <f>_xlfn.XLOOKUP(الجدول1[[#This Row],[القرية– البلدة]],[2]!الجدول1[القرية– البلدة],[2]!الجدول1[Longitude])</f>
        <v>37.250304999999997</v>
      </c>
    </row>
    <row r="875" spans="2:17">
      <c r="B875" t="s">
        <v>1309</v>
      </c>
      <c r="C875" t="s">
        <v>18</v>
      </c>
      <c r="D875" t="s">
        <v>1310</v>
      </c>
      <c r="E875" t="s">
        <v>1316</v>
      </c>
      <c r="F875" t="s">
        <v>812</v>
      </c>
      <c r="G875" t="s">
        <v>1317</v>
      </c>
      <c r="H875" t="s">
        <v>477</v>
      </c>
      <c r="I875">
        <v>1</v>
      </c>
      <c r="J875" t="s">
        <v>108</v>
      </c>
      <c r="K875" t="s">
        <v>1318</v>
      </c>
      <c r="L875" t="s">
        <v>544</v>
      </c>
      <c r="M875" t="s">
        <v>1314</v>
      </c>
      <c r="N875" t="s">
        <v>108</v>
      </c>
      <c r="O875" t="s">
        <v>1319</v>
      </c>
      <c r="P875">
        <f>_xlfn.XLOOKUP(الجدول1[[#This Row],[القرية– البلدة]],[2]!الجدول1[القرية– البلدة],[2]!الجدول1[Latitude])</f>
        <v>36.078125</v>
      </c>
      <c r="Q875">
        <f>_xlfn.XLOOKUP(الجدول1[[#This Row],[القرية– البلدة]],[2]!الجدول1[القرية– البلدة],[2]!الجدول1[Longitude])</f>
        <v>36.832275000000003</v>
      </c>
    </row>
    <row r="876" spans="2:17" ht="15">
      <c r="B876" t="s">
        <v>1309</v>
      </c>
      <c r="C876" t="s">
        <v>18</v>
      </c>
      <c r="D876" t="s">
        <v>835</v>
      </c>
      <c r="E876" t="s">
        <v>1865</v>
      </c>
      <c r="F876" t="s">
        <v>812</v>
      </c>
      <c r="G876" t="s">
        <v>1325</v>
      </c>
      <c r="H876" t="s">
        <v>1326</v>
      </c>
      <c r="I876">
        <v>2</v>
      </c>
      <c r="J876" t="s">
        <v>387</v>
      </c>
      <c r="K876" t="s">
        <v>1327</v>
      </c>
      <c r="L876" t="s">
        <v>1328</v>
      </c>
      <c r="M876" t="s">
        <v>1314</v>
      </c>
      <c r="N876" t="s">
        <v>387</v>
      </c>
      <c r="O876" t="str">
        <f>_xlfn.XLOOKUP(E876,[1]syr_populatedplaces!$L:$L,[1]syr_populatedplaces!$M:$M)</f>
        <v>C8604</v>
      </c>
      <c r="P876" s="4">
        <f>_xlfn.XLOOKUP(الجدول1[[#This Row],[القرية– البلدة]],[1]syr_populatedplaces!$L:$L,[1]syr_populatedplaces!$AD:$AD)</f>
        <v>36.920471190000001</v>
      </c>
      <c r="Q876" s="4">
        <f>_xlfn.XLOOKUP(الجدول1[[#This Row],[القرية– البلدة]],[1]syr_populatedplaces!$L:$L,[1]syr_populatedplaces!$AC:$AC)</f>
        <v>40.414489750000001</v>
      </c>
    </row>
    <row r="877" spans="2:17">
      <c r="B877" t="s">
        <v>1500</v>
      </c>
      <c r="C877" t="s">
        <v>18</v>
      </c>
      <c r="D877" t="s">
        <v>31</v>
      </c>
      <c r="E877" t="s">
        <v>1522</v>
      </c>
      <c r="F877" t="s">
        <v>1523</v>
      </c>
      <c r="G877" t="s">
        <v>1524</v>
      </c>
      <c r="H877" t="s">
        <v>1525</v>
      </c>
      <c r="I877">
        <v>1</v>
      </c>
      <c r="J877" t="s">
        <v>883</v>
      </c>
      <c r="K877" t="s">
        <v>1526</v>
      </c>
      <c r="L877" t="s">
        <v>1527</v>
      </c>
      <c r="M877" t="s">
        <v>1528</v>
      </c>
      <c r="N877" t="s">
        <v>108</v>
      </c>
      <c r="O877" t="s">
        <v>1529</v>
      </c>
      <c r="P877">
        <f>_xlfn.XLOOKUP(الجدول1[[#This Row],[القرية– البلدة]],[2]!الجدول1[القرية– البلدة],[2]!الجدول1[Latitude])</f>
        <v>36.767882999999998</v>
      </c>
      <c r="Q877">
        <f>_xlfn.XLOOKUP(الجدول1[[#This Row],[القرية– البلدة]],[2]!الجدول1[القرية– البلدة],[2]!الجدول1[Longitude])</f>
        <v>38.010314999999999</v>
      </c>
    </row>
    <row r="878" spans="2:17">
      <c r="B878" t="s">
        <v>1530</v>
      </c>
      <c r="C878" t="s">
        <v>18</v>
      </c>
      <c r="D878" t="s">
        <v>1536</v>
      </c>
      <c r="E878" t="s">
        <v>1537</v>
      </c>
      <c r="F878" t="s">
        <v>812</v>
      </c>
      <c r="G878" t="s">
        <v>1538</v>
      </c>
      <c r="H878" t="s">
        <v>358</v>
      </c>
      <c r="I878">
        <v>1</v>
      </c>
      <c r="J878" t="s">
        <v>108</v>
      </c>
      <c r="K878" t="s">
        <v>1539</v>
      </c>
      <c r="L878" t="s">
        <v>1540</v>
      </c>
      <c r="M878" t="s">
        <v>27</v>
      </c>
      <c r="N878" t="s">
        <v>108</v>
      </c>
      <c r="O878" t="s">
        <v>1541</v>
      </c>
      <c r="P878">
        <f>_xlfn.XLOOKUP(الجدول1[[#This Row],[القرية– البلدة]],[2]!الجدول1[القرية– البلدة],[2]!الجدول1[Latitude])</f>
        <v>36.281494000000002</v>
      </c>
      <c r="Q878">
        <f>_xlfn.XLOOKUP(الجدول1[[#This Row],[القرية– البلدة]],[2]!الجدول1[القرية– البلدة],[2]!الجدول1[Longitude])</f>
        <v>37.088684000000001</v>
      </c>
    </row>
    <row r="879" spans="2:17" ht="15">
      <c r="B879" t="s">
        <v>1694</v>
      </c>
      <c r="C879" t="s">
        <v>18</v>
      </c>
      <c r="D879" t="s">
        <v>1700</v>
      </c>
      <c r="E879" t="s">
        <v>1324</v>
      </c>
      <c r="F879" t="s">
        <v>1075</v>
      </c>
      <c r="G879" t="s">
        <v>1701</v>
      </c>
      <c r="H879" t="s">
        <v>1702</v>
      </c>
      <c r="I879">
        <v>1</v>
      </c>
      <c r="J879" t="s">
        <v>883</v>
      </c>
      <c r="K879" t="s">
        <v>1703</v>
      </c>
      <c r="L879" t="s">
        <v>1704</v>
      </c>
      <c r="M879" t="s">
        <v>27</v>
      </c>
      <c r="N879" t="s">
        <v>108</v>
      </c>
      <c r="O879" t="str">
        <f>_xlfn.XLOOKUP(E879,[1]syr_populatedplaces!$L:$L,[1]syr_populatedplaces!$M:$M)</f>
        <v>C6738</v>
      </c>
      <c r="P879" s="4">
        <f>_xlfn.XLOOKUP(الجدول1[[#This Row],[القرية– البلدة]],[1]syr_populatedplaces!$L:$L,[1]syr_populatedplaces!$AD:$AD)</f>
        <v>36.020507809999998</v>
      </c>
      <c r="Q879" s="4">
        <f>_xlfn.XLOOKUP(الجدول1[[#This Row],[القرية– البلدة]],[1]syr_populatedplaces!$L:$L,[1]syr_populatedplaces!$AC:$AC)</f>
        <v>40.911926270000002</v>
      </c>
    </row>
    <row r="880" spans="2:17">
      <c r="B880" t="s">
        <v>17</v>
      </c>
      <c r="C880" t="s">
        <v>263</v>
      </c>
      <c r="D880" t="s">
        <v>128</v>
      </c>
      <c r="E880" t="s">
        <v>267</v>
      </c>
      <c r="F880" t="s">
        <v>96</v>
      </c>
      <c r="G880" t="s">
        <v>264</v>
      </c>
      <c r="H880" t="s">
        <v>124</v>
      </c>
      <c r="I880">
        <v>1</v>
      </c>
      <c r="J880" t="s">
        <v>99</v>
      </c>
      <c r="K880" t="s">
        <v>265</v>
      </c>
      <c r="L880" t="s">
        <v>266</v>
      </c>
      <c r="M880" t="s">
        <v>27</v>
      </c>
      <c r="N880" t="s">
        <v>99</v>
      </c>
      <c r="O880" t="str">
        <f>_xlfn.XLOOKUP(E880,[1]syr_populatedplaces!$L:$L,[1]syr_populatedplaces!$M:$M)</f>
        <v>C1329</v>
      </c>
      <c r="P880">
        <f>_xlfn.XLOOKUP(E880,[1]syr_populatedplaces!$L:$L,[1]syr_populatedplaces!$AD:$AD)</f>
        <v>36.472290039999997</v>
      </c>
      <c r="Q880">
        <f>_xlfn.XLOOKUP(E880,[1]syr_populatedplaces!$L:$L,[1]syr_populatedplaces!$AC:$AC)</f>
        <v>37.723083500000001</v>
      </c>
    </row>
    <row r="881" spans="2:17">
      <c r="B881" t="s">
        <v>17</v>
      </c>
      <c r="C881" t="s">
        <v>263</v>
      </c>
      <c r="D881" t="s">
        <v>128</v>
      </c>
      <c r="E881" t="s">
        <v>272</v>
      </c>
      <c r="F881" t="s">
        <v>96</v>
      </c>
      <c r="G881" t="s">
        <v>264</v>
      </c>
      <c r="H881" t="s">
        <v>124</v>
      </c>
      <c r="I881">
        <v>1</v>
      </c>
      <c r="J881" t="s">
        <v>99</v>
      </c>
      <c r="K881" t="s">
        <v>265</v>
      </c>
      <c r="L881" t="s">
        <v>266</v>
      </c>
      <c r="M881" t="s">
        <v>27</v>
      </c>
      <c r="N881" t="s">
        <v>99</v>
      </c>
      <c r="O881" t="s">
        <v>269</v>
      </c>
      <c r="P881">
        <v>35.353271479999997</v>
      </c>
      <c r="Q881">
        <v>36.558288570000002</v>
      </c>
    </row>
    <row r="882" spans="2:17">
      <c r="B882" t="s">
        <v>17</v>
      </c>
      <c r="C882" t="s">
        <v>263</v>
      </c>
      <c r="D882" t="s">
        <v>128</v>
      </c>
      <c r="E882" t="s">
        <v>274</v>
      </c>
      <c r="F882" t="s">
        <v>96</v>
      </c>
      <c r="G882" t="s">
        <v>264</v>
      </c>
      <c r="H882" t="s">
        <v>124</v>
      </c>
      <c r="I882">
        <v>1</v>
      </c>
      <c r="J882" t="s">
        <v>99</v>
      </c>
      <c r="K882" t="s">
        <v>265</v>
      </c>
      <c r="L882" t="s">
        <v>266</v>
      </c>
      <c r="M882" t="s">
        <v>27</v>
      </c>
      <c r="N882" t="s">
        <v>99</v>
      </c>
      <c r="O882" t="s">
        <v>271</v>
      </c>
      <c r="P882">
        <v>35.320678710000003</v>
      </c>
      <c r="Q882">
        <v>36.623291020000003</v>
      </c>
    </row>
    <row r="883" spans="2:17">
      <c r="B883" t="s">
        <v>17</v>
      </c>
      <c r="C883" t="s">
        <v>263</v>
      </c>
      <c r="D883" t="s">
        <v>128</v>
      </c>
      <c r="E883" t="s">
        <v>280</v>
      </c>
      <c r="F883" t="s">
        <v>96</v>
      </c>
      <c r="G883" t="s">
        <v>264</v>
      </c>
      <c r="H883" t="s">
        <v>124</v>
      </c>
      <c r="I883">
        <v>1</v>
      </c>
      <c r="J883" t="s">
        <v>99</v>
      </c>
      <c r="K883" t="s">
        <v>265</v>
      </c>
      <c r="L883" t="s">
        <v>266</v>
      </c>
      <c r="M883" t="s">
        <v>27</v>
      </c>
      <c r="N883" t="s">
        <v>99</v>
      </c>
      <c r="O883" t="s">
        <v>273</v>
      </c>
      <c r="P883">
        <v>35.011291499999999</v>
      </c>
      <c r="Q883">
        <v>37.051086429999998</v>
      </c>
    </row>
    <row r="884" spans="2:17">
      <c r="B884" t="s">
        <v>17</v>
      </c>
      <c r="C884" t="s">
        <v>263</v>
      </c>
      <c r="D884" t="s">
        <v>128</v>
      </c>
      <c r="E884" t="s">
        <v>284</v>
      </c>
      <c r="F884" t="s">
        <v>96</v>
      </c>
      <c r="G884" t="s">
        <v>275</v>
      </c>
      <c r="H884" t="s">
        <v>276</v>
      </c>
      <c r="I884">
        <v>1</v>
      </c>
      <c r="J884" t="s">
        <v>99</v>
      </c>
      <c r="K884" t="s">
        <v>277</v>
      </c>
      <c r="L884" t="s">
        <v>278</v>
      </c>
      <c r="M884" t="s">
        <v>27</v>
      </c>
      <c r="N884" t="s">
        <v>24</v>
      </c>
      <c r="O884" t="s">
        <v>279</v>
      </c>
      <c r="P884">
        <v>35.428894040000003</v>
      </c>
      <c r="Q884">
        <v>36.23828125</v>
      </c>
    </row>
    <row r="885" spans="2:17">
      <c r="B885" t="s">
        <v>17</v>
      </c>
      <c r="C885" t="s">
        <v>263</v>
      </c>
      <c r="D885" t="s">
        <v>128</v>
      </c>
      <c r="E885" t="s">
        <v>285</v>
      </c>
      <c r="F885" t="s">
        <v>96</v>
      </c>
      <c r="G885" t="s">
        <v>275</v>
      </c>
      <c r="H885" t="s">
        <v>276</v>
      </c>
      <c r="I885">
        <v>1</v>
      </c>
      <c r="J885" t="s">
        <v>99</v>
      </c>
      <c r="K885" t="s">
        <v>277</v>
      </c>
      <c r="L885" t="s">
        <v>278</v>
      </c>
      <c r="M885" t="s">
        <v>27</v>
      </c>
      <c r="N885" t="s">
        <v>24</v>
      </c>
      <c r="O885" t="s">
        <v>281</v>
      </c>
      <c r="P885">
        <v>36.55767822</v>
      </c>
      <c r="Q885">
        <v>40.649291990000002</v>
      </c>
    </row>
    <row r="886" spans="2:17">
      <c r="B886" t="s">
        <v>17</v>
      </c>
      <c r="C886" t="s">
        <v>263</v>
      </c>
      <c r="D886" t="s">
        <v>128</v>
      </c>
      <c r="E886" t="s">
        <v>286</v>
      </c>
      <c r="F886" t="s">
        <v>96</v>
      </c>
      <c r="G886" t="s">
        <v>275</v>
      </c>
      <c r="H886" t="s">
        <v>276</v>
      </c>
      <c r="I886">
        <v>1</v>
      </c>
      <c r="J886" t="s">
        <v>99</v>
      </c>
      <c r="K886" t="s">
        <v>277</v>
      </c>
      <c r="L886" t="s">
        <v>278</v>
      </c>
      <c r="M886" t="s">
        <v>27</v>
      </c>
      <c r="N886" t="s">
        <v>24</v>
      </c>
      <c r="O886" t="s">
        <v>283</v>
      </c>
      <c r="P886">
        <v>35.361877440000001</v>
      </c>
      <c r="Q886">
        <v>36.393920899999998</v>
      </c>
    </row>
    <row r="887" spans="2:17">
      <c r="B887" t="s">
        <v>17</v>
      </c>
      <c r="C887" t="s">
        <v>263</v>
      </c>
      <c r="D887" t="s">
        <v>128</v>
      </c>
      <c r="E887" t="s">
        <v>287</v>
      </c>
      <c r="F887" t="s">
        <v>96</v>
      </c>
      <c r="G887" t="s">
        <v>275</v>
      </c>
      <c r="H887" t="s">
        <v>276</v>
      </c>
      <c r="I887">
        <v>1</v>
      </c>
      <c r="J887" t="s">
        <v>99</v>
      </c>
      <c r="K887" t="s">
        <v>277</v>
      </c>
      <c r="L887" t="s">
        <v>278</v>
      </c>
      <c r="M887" t="s">
        <v>27</v>
      </c>
      <c r="N887" t="s">
        <v>24</v>
      </c>
      <c r="O887" t="str">
        <f>_xlfn.XLOOKUP(E887,[1]syr_populatedplaces!$L:$L,[1]syr_populatedplaces!$M:$M)</f>
        <v>C6710</v>
      </c>
      <c r="P887">
        <f>_xlfn.XLOOKUP(E887,[1]syr_populatedplaces!$L:$L,[1]syr_populatedplaces!$AD:$AD)</f>
        <v>35.630126949999998</v>
      </c>
      <c r="Q887">
        <f>_xlfn.XLOOKUP(E887,[1]syr_populatedplaces!$L:$L,[1]syr_populatedplaces!$AC:$AC)</f>
        <v>36.387084960000003</v>
      </c>
    </row>
    <row r="888" spans="2:17">
      <c r="B888" t="s">
        <v>17</v>
      </c>
      <c r="C888" t="s">
        <v>263</v>
      </c>
      <c r="D888" t="s">
        <v>128</v>
      </c>
      <c r="E888" t="s">
        <v>289</v>
      </c>
      <c r="F888" t="s">
        <v>96</v>
      </c>
      <c r="G888" t="s">
        <v>275</v>
      </c>
      <c r="H888" t="s">
        <v>276</v>
      </c>
      <c r="I888">
        <v>1</v>
      </c>
      <c r="J888" t="s">
        <v>99</v>
      </c>
      <c r="K888" t="s">
        <v>277</v>
      </c>
      <c r="L888" t="s">
        <v>278</v>
      </c>
      <c r="M888" t="s">
        <v>27</v>
      </c>
      <c r="N888" t="s">
        <v>24</v>
      </c>
      <c r="O888" t="s">
        <v>269</v>
      </c>
      <c r="P888">
        <v>35.353271479999997</v>
      </c>
      <c r="Q888">
        <v>36.558288570000002</v>
      </c>
    </row>
    <row r="889" spans="2:17">
      <c r="B889" t="s">
        <v>17</v>
      </c>
      <c r="C889" t="s">
        <v>263</v>
      </c>
      <c r="D889" t="s">
        <v>128</v>
      </c>
      <c r="E889" t="s">
        <v>291</v>
      </c>
      <c r="F889" t="s">
        <v>96</v>
      </c>
      <c r="G889" t="s">
        <v>275</v>
      </c>
      <c r="H889" t="s">
        <v>276</v>
      </c>
      <c r="I889">
        <v>1</v>
      </c>
      <c r="J889" t="s">
        <v>99</v>
      </c>
      <c r="K889" t="s">
        <v>277</v>
      </c>
      <c r="L889" t="s">
        <v>278</v>
      </c>
      <c r="M889" t="s">
        <v>27</v>
      </c>
      <c r="N889" t="s">
        <v>24</v>
      </c>
      <c r="O889" t="str">
        <f>_xlfn.XLOOKUP(E889,[1]syr_populatedplaces!$L:$L,[1]syr_populatedplaces!$M:$M)</f>
        <v>C3170</v>
      </c>
      <c r="P889">
        <f>_xlfn.XLOOKUP(E889,[1]syr_populatedplaces!$L:$L,[1]syr_populatedplaces!$AD:$AD)</f>
        <v>35.685729979999998</v>
      </c>
      <c r="Q889">
        <f>_xlfn.XLOOKUP(E889,[1]syr_populatedplaces!$L:$L,[1]syr_populatedplaces!$AC:$AC)</f>
        <v>36.389282229999999</v>
      </c>
    </row>
    <row r="890" spans="2:17">
      <c r="B890" t="s">
        <v>17</v>
      </c>
      <c r="C890" t="s">
        <v>263</v>
      </c>
      <c r="D890" t="s">
        <v>128</v>
      </c>
      <c r="E890" t="s">
        <v>292</v>
      </c>
      <c r="F890" t="s">
        <v>96</v>
      </c>
      <c r="G890" t="s">
        <v>275</v>
      </c>
      <c r="H890" t="s">
        <v>276</v>
      </c>
      <c r="I890">
        <v>1</v>
      </c>
      <c r="J890" t="s">
        <v>99</v>
      </c>
      <c r="K890" t="s">
        <v>277</v>
      </c>
      <c r="L890" t="s">
        <v>278</v>
      </c>
      <c r="M890" t="s">
        <v>27</v>
      </c>
      <c r="N890" t="s">
        <v>24</v>
      </c>
      <c r="O890" t="s">
        <v>288</v>
      </c>
      <c r="P890">
        <v>35.630126949999998</v>
      </c>
      <c r="Q890">
        <v>36.387084960000003</v>
      </c>
    </row>
    <row r="891" spans="2:17">
      <c r="B891" t="s">
        <v>17</v>
      </c>
      <c r="C891" t="s">
        <v>263</v>
      </c>
      <c r="D891" t="s">
        <v>128</v>
      </c>
      <c r="E891" t="s">
        <v>294</v>
      </c>
      <c r="F891" t="s">
        <v>96</v>
      </c>
      <c r="G891" t="s">
        <v>275</v>
      </c>
      <c r="H891" t="s">
        <v>276</v>
      </c>
      <c r="I891">
        <v>1</v>
      </c>
      <c r="J891" t="s">
        <v>99</v>
      </c>
      <c r="K891" t="s">
        <v>277</v>
      </c>
      <c r="L891" t="s">
        <v>278</v>
      </c>
      <c r="M891" t="s">
        <v>27</v>
      </c>
      <c r="N891" t="s">
        <v>24</v>
      </c>
      <c r="O891" t="s">
        <v>290</v>
      </c>
      <c r="P891">
        <v>34.664123539999999</v>
      </c>
      <c r="Q891">
        <v>36.0255127</v>
      </c>
    </row>
    <row r="892" spans="2:17">
      <c r="B892" t="s">
        <v>17</v>
      </c>
      <c r="C892" t="s">
        <v>263</v>
      </c>
      <c r="D892" t="s">
        <v>128</v>
      </c>
      <c r="E892" t="s">
        <v>296</v>
      </c>
      <c r="F892" t="s">
        <v>96</v>
      </c>
      <c r="G892" t="s">
        <v>275</v>
      </c>
      <c r="H892" t="s">
        <v>276</v>
      </c>
      <c r="I892">
        <v>1</v>
      </c>
      <c r="J892" t="s">
        <v>99</v>
      </c>
      <c r="K892" t="s">
        <v>277</v>
      </c>
      <c r="L892" t="s">
        <v>278</v>
      </c>
      <c r="M892" t="s">
        <v>27</v>
      </c>
      <c r="N892" t="s">
        <v>24</v>
      </c>
      <c r="O892" t="str">
        <f>_xlfn.XLOOKUP(E892,[1]syr_populatedplaces!$L:$L,[1]syr_populatedplaces!$M:$M)</f>
        <v>C8434</v>
      </c>
      <c r="P892">
        <f>_xlfn.XLOOKUP(E892,[1]syr_populatedplaces!$L:$L,[1]syr_populatedplaces!$AD:$AD)</f>
        <v>35.774719240000003</v>
      </c>
      <c r="Q892">
        <f>_xlfn.XLOOKUP(E892,[1]syr_populatedplaces!$L:$L,[1]syr_populatedplaces!$AC:$AC)</f>
        <v>36.800720220000002</v>
      </c>
    </row>
    <row r="893" spans="2:17">
      <c r="B893" t="s">
        <v>17</v>
      </c>
      <c r="C893" t="s">
        <v>263</v>
      </c>
      <c r="D893" t="s">
        <v>128</v>
      </c>
      <c r="E893" t="s">
        <v>297</v>
      </c>
      <c r="F893" t="s">
        <v>96</v>
      </c>
      <c r="G893" t="s">
        <v>275</v>
      </c>
      <c r="H893" t="s">
        <v>276</v>
      </c>
      <c r="I893">
        <v>1</v>
      </c>
      <c r="J893" t="s">
        <v>99</v>
      </c>
      <c r="K893" t="s">
        <v>277</v>
      </c>
      <c r="L893" t="s">
        <v>278</v>
      </c>
      <c r="M893" t="s">
        <v>27</v>
      </c>
      <c r="N893" t="s">
        <v>24</v>
      </c>
      <c r="O893" t="s">
        <v>293</v>
      </c>
      <c r="P893">
        <v>35.26147461</v>
      </c>
      <c r="Q893">
        <v>36.560485839999998</v>
      </c>
    </row>
    <row r="894" spans="2:17">
      <c r="B894" t="s">
        <v>17</v>
      </c>
      <c r="C894" t="s">
        <v>263</v>
      </c>
      <c r="D894" t="s">
        <v>128</v>
      </c>
      <c r="E894" t="s">
        <v>299</v>
      </c>
      <c r="F894" t="s">
        <v>96</v>
      </c>
      <c r="G894" t="s">
        <v>275</v>
      </c>
      <c r="H894" t="s">
        <v>276</v>
      </c>
      <c r="I894">
        <v>1</v>
      </c>
      <c r="J894" t="s">
        <v>99</v>
      </c>
      <c r="K894" t="s">
        <v>277</v>
      </c>
      <c r="L894" t="s">
        <v>278</v>
      </c>
      <c r="M894" t="s">
        <v>27</v>
      </c>
      <c r="N894" t="s">
        <v>24</v>
      </c>
      <c r="O894" t="s">
        <v>295</v>
      </c>
      <c r="P894">
        <v>35.258483890000001</v>
      </c>
      <c r="Q894">
        <v>36.608886720000001</v>
      </c>
    </row>
    <row r="895" spans="2:17">
      <c r="B895" t="s">
        <v>17</v>
      </c>
      <c r="C895" t="s">
        <v>263</v>
      </c>
      <c r="D895" t="s">
        <v>128</v>
      </c>
      <c r="E895" t="s">
        <v>280</v>
      </c>
      <c r="F895" t="s">
        <v>96</v>
      </c>
      <c r="G895" t="s">
        <v>275</v>
      </c>
      <c r="H895" t="s">
        <v>276</v>
      </c>
      <c r="I895">
        <v>1</v>
      </c>
      <c r="J895" t="s">
        <v>99</v>
      </c>
      <c r="K895" t="s">
        <v>277</v>
      </c>
      <c r="L895" t="s">
        <v>278</v>
      </c>
      <c r="M895" t="s">
        <v>27</v>
      </c>
      <c r="N895" t="s">
        <v>24</v>
      </c>
      <c r="O895" t="str">
        <f>_xlfn.XLOOKUP(E895,[1]syr_populatedplaces!$L:$L,[1]syr_populatedplaces!$M:$M)</f>
        <v>C4351</v>
      </c>
      <c r="P895">
        <f>_xlfn.XLOOKUP(E895,[1]syr_populatedplaces!$L:$L,[1]syr_populatedplaces!$AD:$AD)</f>
        <v>36.55767822</v>
      </c>
      <c r="Q895">
        <f>_xlfn.XLOOKUP(E895,[1]syr_populatedplaces!$L:$L,[1]syr_populatedplaces!$AC:$AC)</f>
        <v>40.649291990000002</v>
      </c>
    </row>
    <row r="896" spans="2:17">
      <c r="B896" t="s">
        <v>17</v>
      </c>
      <c r="C896" t="s">
        <v>263</v>
      </c>
      <c r="D896" t="s">
        <v>128</v>
      </c>
      <c r="E896" t="s">
        <v>308</v>
      </c>
      <c r="F896" t="s">
        <v>96</v>
      </c>
      <c r="G896" t="s">
        <v>275</v>
      </c>
      <c r="H896" t="s">
        <v>276</v>
      </c>
      <c r="I896">
        <v>1</v>
      </c>
      <c r="J896" t="s">
        <v>99</v>
      </c>
      <c r="K896" t="s">
        <v>277</v>
      </c>
      <c r="L896" t="s">
        <v>278</v>
      </c>
      <c r="M896" t="s">
        <v>27</v>
      </c>
      <c r="N896" t="s">
        <v>24</v>
      </c>
      <c r="O896" t="s">
        <v>298</v>
      </c>
      <c r="P896">
        <v>35.065917970000001</v>
      </c>
      <c r="Q896">
        <v>36.262512209999997</v>
      </c>
    </row>
    <row r="897" spans="2:17">
      <c r="B897" t="s">
        <v>17</v>
      </c>
      <c r="C897" t="s">
        <v>263</v>
      </c>
      <c r="D897" t="s">
        <v>128</v>
      </c>
      <c r="E897" t="s">
        <v>514</v>
      </c>
      <c r="F897" t="s">
        <v>96</v>
      </c>
      <c r="G897" t="s">
        <v>275</v>
      </c>
      <c r="H897" t="s">
        <v>276</v>
      </c>
      <c r="I897">
        <v>1</v>
      </c>
      <c r="J897" t="s">
        <v>99</v>
      </c>
      <c r="K897" t="s">
        <v>277</v>
      </c>
      <c r="L897" t="s">
        <v>278</v>
      </c>
      <c r="M897" t="s">
        <v>27</v>
      </c>
      <c r="N897" t="s">
        <v>24</v>
      </c>
      <c r="O897" t="s">
        <v>300</v>
      </c>
      <c r="P897">
        <v>35.213073729999998</v>
      </c>
      <c r="Q897">
        <v>36.343872070000003</v>
      </c>
    </row>
    <row r="898" spans="2:17">
      <c r="B898" t="s">
        <v>17</v>
      </c>
      <c r="C898" t="s">
        <v>263</v>
      </c>
      <c r="D898" t="s">
        <v>128</v>
      </c>
      <c r="E898" t="s">
        <v>289</v>
      </c>
      <c r="F898" t="s">
        <v>96</v>
      </c>
      <c r="G898" t="s">
        <v>301</v>
      </c>
      <c r="H898" t="s">
        <v>302</v>
      </c>
      <c r="I898">
        <v>1</v>
      </c>
      <c r="J898" t="s">
        <v>108</v>
      </c>
      <c r="K898" t="s">
        <v>303</v>
      </c>
      <c r="L898" t="s">
        <v>304</v>
      </c>
      <c r="M898" t="s">
        <v>305</v>
      </c>
      <c r="N898" t="s">
        <v>108</v>
      </c>
      <c r="O898" t="s">
        <v>281</v>
      </c>
      <c r="P898">
        <v>36.55767822</v>
      </c>
      <c r="Q898">
        <v>40.649291990000002</v>
      </c>
    </row>
    <row r="899" spans="2:17">
      <c r="B899" t="s">
        <v>17</v>
      </c>
      <c r="C899" t="s">
        <v>263</v>
      </c>
      <c r="D899" t="s">
        <v>128</v>
      </c>
      <c r="E899" t="s">
        <v>282</v>
      </c>
      <c r="F899" t="s">
        <v>96</v>
      </c>
      <c r="G899" t="s">
        <v>301</v>
      </c>
      <c r="H899" t="s">
        <v>302</v>
      </c>
      <c r="I899">
        <v>1</v>
      </c>
      <c r="J899" t="s">
        <v>108</v>
      </c>
      <c r="K899" t="s">
        <v>303</v>
      </c>
      <c r="L899" t="s">
        <v>304</v>
      </c>
      <c r="M899" t="s">
        <v>305</v>
      </c>
      <c r="N899" t="s">
        <v>108</v>
      </c>
      <c r="O899" t="s">
        <v>271</v>
      </c>
      <c r="P899">
        <v>35.320678710000003</v>
      </c>
      <c r="Q899">
        <v>36.623291020000003</v>
      </c>
    </row>
    <row r="900" spans="2:17">
      <c r="B900" t="s">
        <v>17</v>
      </c>
      <c r="C900" t="s">
        <v>263</v>
      </c>
      <c r="D900" t="s">
        <v>128</v>
      </c>
      <c r="E900" t="s">
        <v>516</v>
      </c>
      <c r="F900" t="s">
        <v>96</v>
      </c>
      <c r="G900" t="s">
        <v>301</v>
      </c>
      <c r="H900" t="s">
        <v>302</v>
      </c>
      <c r="I900">
        <v>1</v>
      </c>
      <c r="J900" t="s">
        <v>108</v>
      </c>
      <c r="K900" t="s">
        <v>303</v>
      </c>
      <c r="L900" t="s">
        <v>304</v>
      </c>
      <c r="M900" t="s">
        <v>305</v>
      </c>
      <c r="N900" t="s">
        <v>108</v>
      </c>
      <c r="O900" t="s">
        <v>307</v>
      </c>
      <c r="P900">
        <v>35.246704100000002</v>
      </c>
      <c r="Q900">
        <v>36.574523929999998</v>
      </c>
    </row>
    <row r="901" spans="2:17">
      <c r="B901" t="s">
        <v>17</v>
      </c>
      <c r="C901" t="s">
        <v>263</v>
      </c>
      <c r="D901" t="s">
        <v>128</v>
      </c>
      <c r="E901" t="s">
        <v>282</v>
      </c>
      <c r="F901" t="s">
        <v>96</v>
      </c>
      <c r="G901" t="s">
        <v>301</v>
      </c>
      <c r="H901" t="s">
        <v>302</v>
      </c>
      <c r="I901">
        <v>1</v>
      </c>
      <c r="J901" t="s">
        <v>108</v>
      </c>
      <c r="K901" t="s">
        <v>303</v>
      </c>
      <c r="L901" t="s">
        <v>304</v>
      </c>
      <c r="M901" t="s">
        <v>305</v>
      </c>
      <c r="N901" t="s">
        <v>108</v>
      </c>
      <c r="O901" t="s">
        <v>309</v>
      </c>
      <c r="P901">
        <v>35.353515629999997</v>
      </c>
      <c r="Q901">
        <v>36.971130369999997</v>
      </c>
    </row>
    <row r="902" spans="2:17">
      <c r="B902" t="s">
        <v>381</v>
      </c>
      <c r="C902" t="s">
        <v>263</v>
      </c>
      <c r="D902" t="s">
        <v>128</v>
      </c>
      <c r="E902" t="s">
        <v>509</v>
      </c>
      <c r="F902" t="s">
        <v>96</v>
      </c>
      <c r="G902" t="s">
        <v>510</v>
      </c>
      <c r="H902" t="s">
        <v>511</v>
      </c>
      <c r="I902">
        <v>1</v>
      </c>
      <c r="J902" t="s">
        <v>99</v>
      </c>
      <c r="K902" t="s">
        <v>265</v>
      </c>
      <c r="L902" t="s">
        <v>512</v>
      </c>
      <c r="M902" t="s">
        <v>27</v>
      </c>
      <c r="N902" t="s">
        <v>24</v>
      </c>
      <c r="O902" t="s">
        <v>513</v>
      </c>
      <c r="P902">
        <v>36.15991211</v>
      </c>
      <c r="Q902">
        <v>37.189880369999997</v>
      </c>
    </row>
    <row r="903" spans="2:17">
      <c r="B903" t="s">
        <v>381</v>
      </c>
      <c r="C903" t="s">
        <v>263</v>
      </c>
      <c r="D903" t="s">
        <v>128</v>
      </c>
      <c r="E903" t="s">
        <v>514</v>
      </c>
      <c r="F903" t="s">
        <v>96</v>
      </c>
      <c r="G903" t="s">
        <v>510</v>
      </c>
      <c r="H903" t="s">
        <v>511</v>
      </c>
      <c r="I903">
        <v>1</v>
      </c>
      <c r="J903" t="s">
        <v>99</v>
      </c>
      <c r="K903" t="s">
        <v>265</v>
      </c>
      <c r="L903" t="s">
        <v>512</v>
      </c>
      <c r="M903" t="s">
        <v>27</v>
      </c>
      <c r="N903" t="s">
        <v>24</v>
      </c>
      <c r="O903" t="str">
        <f>_xlfn.XLOOKUP(E903,[1]syr_populatedplaces!$L:$L,[1]syr_populatedplaces!$M:$M)</f>
        <v>C6588</v>
      </c>
      <c r="P903">
        <f>_xlfn.XLOOKUP(E903,[1]syr_populatedplaces!$L:$L,[1]syr_populatedplaces!$AD:$AD)</f>
        <v>35.322082520000002</v>
      </c>
      <c r="Q903">
        <f>_xlfn.XLOOKUP(E903,[1]syr_populatedplaces!$L:$L,[1]syr_populatedplaces!$AC:$AC)</f>
        <v>36.974304199999999</v>
      </c>
    </row>
    <row r="904" spans="2:17">
      <c r="B904" t="s">
        <v>381</v>
      </c>
      <c r="C904" t="s">
        <v>263</v>
      </c>
      <c r="D904" t="s">
        <v>128</v>
      </c>
      <c r="E904" t="s">
        <v>294</v>
      </c>
      <c r="F904" t="s">
        <v>96</v>
      </c>
      <c r="G904" t="s">
        <v>510</v>
      </c>
      <c r="H904" t="s">
        <v>511</v>
      </c>
      <c r="I904">
        <v>1</v>
      </c>
      <c r="J904" t="s">
        <v>99</v>
      </c>
      <c r="K904" t="s">
        <v>265</v>
      </c>
      <c r="L904" t="s">
        <v>512</v>
      </c>
      <c r="M904" t="s">
        <v>27</v>
      </c>
      <c r="N904" t="s">
        <v>24</v>
      </c>
      <c r="O904" t="s">
        <v>295</v>
      </c>
      <c r="P904">
        <v>35.258483890000001</v>
      </c>
      <c r="Q904">
        <v>36.608886720000001</v>
      </c>
    </row>
    <row r="905" spans="2:17">
      <c r="B905" t="s">
        <v>381</v>
      </c>
      <c r="C905" t="s">
        <v>263</v>
      </c>
      <c r="D905" t="s">
        <v>128</v>
      </c>
      <c r="E905" t="s">
        <v>289</v>
      </c>
      <c r="F905" t="s">
        <v>96</v>
      </c>
      <c r="G905" t="s">
        <v>510</v>
      </c>
      <c r="H905" t="s">
        <v>511</v>
      </c>
      <c r="I905">
        <v>1</v>
      </c>
      <c r="J905" t="s">
        <v>99</v>
      </c>
      <c r="K905" t="s">
        <v>265</v>
      </c>
      <c r="L905" t="s">
        <v>512</v>
      </c>
      <c r="M905" t="s">
        <v>27</v>
      </c>
      <c r="N905" t="s">
        <v>24</v>
      </c>
      <c r="O905" t="s">
        <v>290</v>
      </c>
      <c r="P905">
        <v>34.664123539999999</v>
      </c>
      <c r="Q905">
        <v>36.0255127</v>
      </c>
    </row>
    <row r="906" spans="2:17">
      <c r="B906" t="s">
        <v>381</v>
      </c>
      <c r="C906" t="s">
        <v>263</v>
      </c>
      <c r="D906" t="s">
        <v>128</v>
      </c>
      <c r="E906" t="s">
        <v>282</v>
      </c>
      <c r="F906" t="s">
        <v>96</v>
      </c>
      <c r="G906" t="s">
        <v>510</v>
      </c>
      <c r="H906" t="s">
        <v>511</v>
      </c>
      <c r="I906">
        <v>1</v>
      </c>
      <c r="J906" t="s">
        <v>99</v>
      </c>
      <c r="K906" t="s">
        <v>265</v>
      </c>
      <c r="L906" t="s">
        <v>512</v>
      </c>
      <c r="M906" t="s">
        <v>27</v>
      </c>
      <c r="N906" t="s">
        <v>24</v>
      </c>
      <c r="O906" t="s">
        <v>283</v>
      </c>
      <c r="P906">
        <v>35.361877440000001</v>
      </c>
      <c r="Q906">
        <v>36.393920899999998</v>
      </c>
    </row>
    <row r="907" spans="2:17">
      <c r="B907" t="s">
        <v>381</v>
      </c>
      <c r="C907" t="s">
        <v>263</v>
      </c>
      <c r="D907" t="s">
        <v>128</v>
      </c>
      <c r="E907" t="s">
        <v>516</v>
      </c>
      <c r="F907" t="s">
        <v>96</v>
      </c>
      <c r="G907" t="s">
        <v>510</v>
      </c>
      <c r="H907" t="s">
        <v>511</v>
      </c>
      <c r="I907">
        <v>1</v>
      </c>
      <c r="J907" t="s">
        <v>99</v>
      </c>
      <c r="K907" t="s">
        <v>265</v>
      </c>
      <c r="L907" t="s">
        <v>512</v>
      </c>
      <c r="M907" t="s">
        <v>27</v>
      </c>
      <c r="N907" t="s">
        <v>24</v>
      </c>
      <c r="O907" t="s">
        <v>517</v>
      </c>
      <c r="P907">
        <v>35.37268066</v>
      </c>
      <c r="Q907">
        <v>36.245483399999998</v>
      </c>
    </row>
    <row r="908" spans="2:17">
      <c r="B908" t="s">
        <v>381</v>
      </c>
      <c r="C908" t="s">
        <v>263</v>
      </c>
      <c r="D908" t="s">
        <v>282</v>
      </c>
      <c r="E908" t="s">
        <v>282</v>
      </c>
      <c r="F908" t="s">
        <v>96</v>
      </c>
      <c r="G908" t="s">
        <v>518</v>
      </c>
      <c r="H908" t="s">
        <v>124</v>
      </c>
      <c r="I908">
        <v>1</v>
      </c>
      <c r="J908" t="s">
        <v>99</v>
      </c>
      <c r="K908" t="s">
        <v>444</v>
      </c>
      <c r="L908" t="s">
        <v>519</v>
      </c>
      <c r="M908" t="s">
        <v>27</v>
      </c>
      <c r="N908" t="s">
        <v>99</v>
      </c>
      <c r="O908" t="s">
        <v>283</v>
      </c>
      <c r="P908">
        <v>35.361877440000001</v>
      </c>
      <c r="Q908">
        <v>36.393920899999998</v>
      </c>
    </row>
    <row r="909" spans="2:17">
      <c r="B909" t="s">
        <v>381</v>
      </c>
      <c r="C909" t="s">
        <v>263</v>
      </c>
      <c r="D909" t="s">
        <v>520</v>
      </c>
      <c r="E909" t="s">
        <v>521</v>
      </c>
      <c r="F909" t="s">
        <v>96</v>
      </c>
      <c r="G909" t="s">
        <v>522</v>
      </c>
      <c r="H909" t="s">
        <v>411</v>
      </c>
      <c r="I909">
        <v>1</v>
      </c>
      <c r="J909" t="s">
        <v>108</v>
      </c>
      <c r="K909" t="s">
        <v>523</v>
      </c>
      <c r="L909" t="s">
        <v>524</v>
      </c>
      <c r="M909" t="s">
        <v>27</v>
      </c>
      <c r="N909" t="s">
        <v>108</v>
      </c>
      <c r="O909" t="str">
        <f>_xlfn.XLOOKUP(E909,[1]syr_populatedplaces!$L:$L,[1]syr_populatedplaces!$M:$M)</f>
        <v>C3465</v>
      </c>
      <c r="P909">
        <f>_xlfn.XLOOKUP(E909,[1]syr_populatedplaces!$L:$L,[1]syr_populatedplaces!$AD:$AD)</f>
        <v>35.4083252</v>
      </c>
      <c r="Q909">
        <f>_xlfn.XLOOKUP(E909,[1]syr_populatedplaces!$L:$L,[1]syr_populatedplaces!$AC:$AC)</f>
        <v>36.487670899999998</v>
      </c>
    </row>
    <row r="910" spans="2:17">
      <c r="B910" t="s">
        <v>381</v>
      </c>
      <c r="C910" t="s">
        <v>263</v>
      </c>
      <c r="D910" t="s">
        <v>128</v>
      </c>
      <c r="E910" t="s">
        <v>529</v>
      </c>
      <c r="F910" t="s">
        <v>96</v>
      </c>
      <c r="G910" t="s">
        <v>275</v>
      </c>
      <c r="H910" t="s">
        <v>276</v>
      </c>
      <c r="I910">
        <v>1</v>
      </c>
      <c r="J910" t="s">
        <v>99</v>
      </c>
      <c r="K910" t="s">
        <v>496</v>
      </c>
      <c r="L910" t="s">
        <v>278</v>
      </c>
      <c r="M910" t="s">
        <v>27</v>
      </c>
      <c r="N910" t="s">
        <v>24</v>
      </c>
      <c r="O910" t="s">
        <v>530</v>
      </c>
      <c r="P910">
        <v>35.489685059999999</v>
      </c>
      <c r="Q910">
        <v>36.322326660000002</v>
      </c>
    </row>
    <row r="911" spans="2:17">
      <c r="B911" t="s">
        <v>381</v>
      </c>
      <c r="C911" t="s">
        <v>263</v>
      </c>
      <c r="D911" t="s">
        <v>128</v>
      </c>
      <c r="E911" t="s">
        <v>531</v>
      </c>
      <c r="F911" t="s">
        <v>96</v>
      </c>
      <c r="G911" t="s">
        <v>275</v>
      </c>
      <c r="H911" t="s">
        <v>276</v>
      </c>
      <c r="I911">
        <v>1</v>
      </c>
      <c r="J911" t="s">
        <v>99</v>
      </c>
      <c r="K911" t="s">
        <v>496</v>
      </c>
      <c r="L911" t="s">
        <v>278</v>
      </c>
      <c r="M911" t="s">
        <v>27</v>
      </c>
      <c r="N911" t="s">
        <v>24</v>
      </c>
      <c r="O911" t="s">
        <v>532</v>
      </c>
      <c r="P911">
        <v>35.351074220000001</v>
      </c>
      <c r="Q911">
        <v>36.276489259999998</v>
      </c>
    </row>
    <row r="912" spans="2:17">
      <c r="B912" t="s">
        <v>381</v>
      </c>
      <c r="C912" t="s">
        <v>263</v>
      </c>
      <c r="D912" t="s">
        <v>128</v>
      </c>
      <c r="E912" t="s">
        <v>533</v>
      </c>
      <c r="F912" t="s">
        <v>96</v>
      </c>
      <c r="G912" t="s">
        <v>275</v>
      </c>
      <c r="H912" t="s">
        <v>276</v>
      </c>
      <c r="I912">
        <v>1</v>
      </c>
      <c r="J912" t="s">
        <v>99</v>
      </c>
      <c r="K912" t="s">
        <v>496</v>
      </c>
      <c r="L912" t="s">
        <v>278</v>
      </c>
      <c r="M912" t="s">
        <v>27</v>
      </c>
      <c r="N912" t="s">
        <v>24</v>
      </c>
      <c r="O912" t="s">
        <v>534</v>
      </c>
      <c r="P912">
        <v>35.22772217</v>
      </c>
      <c r="Q912">
        <v>36.521484379999997</v>
      </c>
    </row>
    <row r="913" spans="2:17">
      <c r="B913" t="s">
        <v>381</v>
      </c>
      <c r="C913" t="s">
        <v>263</v>
      </c>
      <c r="D913" t="s">
        <v>128</v>
      </c>
      <c r="E913" t="s">
        <v>535</v>
      </c>
      <c r="F913" t="s">
        <v>96</v>
      </c>
      <c r="G913" t="s">
        <v>275</v>
      </c>
      <c r="H913" t="s">
        <v>276</v>
      </c>
      <c r="I913">
        <v>1</v>
      </c>
      <c r="J913" t="s">
        <v>99</v>
      </c>
      <c r="K913" t="s">
        <v>496</v>
      </c>
      <c r="L913" t="s">
        <v>278</v>
      </c>
      <c r="M913" t="s">
        <v>27</v>
      </c>
      <c r="N913" t="s">
        <v>24</v>
      </c>
      <c r="O913" t="str">
        <f>_xlfn.XLOOKUP(E913,[1]syr_populatedplaces!$L:$L,[1]syr_populatedplaces!$M:$M)</f>
        <v>C3111</v>
      </c>
      <c r="P913">
        <f>_xlfn.XLOOKUP(E913,[1]syr_populatedplaces!$L:$L,[1]syr_populatedplaces!$AD:$AD)</f>
        <v>35.353515629999997</v>
      </c>
      <c r="Q913">
        <f>_xlfn.XLOOKUP(E913,[1]syr_populatedplaces!$L:$L,[1]syr_populatedplaces!$AC:$AC)</f>
        <v>36.439514160000002</v>
      </c>
    </row>
    <row r="914" spans="2:17">
      <c r="B914" t="s">
        <v>381</v>
      </c>
      <c r="C914" t="s">
        <v>263</v>
      </c>
      <c r="D914" t="s">
        <v>128</v>
      </c>
      <c r="E914" t="s">
        <v>536</v>
      </c>
      <c r="F914" t="s">
        <v>96</v>
      </c>
      <c r="G914" t="s">
        <v>275</v>
      </c>
      <c r="H914" t="s">
        <v>276</v>
      </c>
      <c r="I914">
        <v>1</v>
      </c>
      <c r="J914" t="s">
        <v>99</v>
      </c>
      <c r="K914" t="s">
        <v>496</v>
      </c>
      <c r="L914" t="s">
        <v>278</v>
      </c>
      <c r="M914" t="s">
        <v>27</v>
      </c>
      <c r="N914" t="s">
        <v>24</v>
      </c>
      <c r="O914" t="s">
        <v>537</v>
      </c>
      <c r="P914">
        <v>35.445495610000002</v>
      </c>
      <c r="Q914">
        <v>36.456481930000002</v>
      </c>
    </row>
    <row r="915" spans="2:17">
      <c r="B915" t="s">
        <v>381</v>
      </c>
      <c r="C915" t="s">
        <v>263</v>
      </c>
      <c r="D915" t="s">
        <v>128</v>
      </c>
      <c r="E915" t="s">
        <v>306</v>
      </c>
      <c r="F915" t="s">
        <v>96</v>
      </c>
      <c r="G915" t="s">
        <v>275</v>
      </c>
      <c r="H915" t="s">
        <v>276</v>
      </c>
      <c r="I915">
        <v>1</v>
      </c>
      <c r="J915" t="s">
        <v>99</v>
      </c>
      <c r="K915" t="s">
        <v>496</v>
      </c>
      <c r="L915" t="s">
        <v>278</v>
      </c>
      <c r="M915" t="s">
        <v>27</v>
      </c>
      <c r="N915" t="s">
        <v>24</v>
      </c>
      <c r="O915" t="s">
        <v>307</v>
      </c>
      <c r="P915">
        <v>35.246704100000002</v>
      </c>
      <c r="Q915">
        <v>36.574523929999998</v>
      </c>
    </row>
    <row r="916" spans="2:17">
      <c r="B916" t="s">
        <v>381</v>
      </c>
      <c r="C916" t="s">
        <v>263</v>
      </c>
      <c r="D916" t="s">
        <v>128</v>
      </c>
      <c r="E916" t="s">
        <v>538</v>
      </c>
      <c r="F916" t="s">
        <v>96</v>
      </c>
      <c r="G916" t="s">
        <v>275</v>
      </c>
      <c r="H916" t="s">
        <v>276</v>
      </c>
      <c r="I916">
        <v>1</v>
      </c>
      <c r="J916" t="s">
        <v>99</v>
      </c>
      <c r="K916" t="s">
        <v>496</v>
      </c>
      <c r="L916" t="s">
        <v>278</v>
      </c>
      <c r="M916" t="s">
        <v>27</v>
      </c>
      <c r="N916" t="s">
        <v>24</v>
      </c>
      <c r="O916" t="s">
        <v>539</v>
      </c>
      <c r="P916">
        <v>35.066284179999997</v>
      </c>
      <c r="Q916">
        <v>36.342102050000001</v>
      </c>
    </row>
    <row r="917" spans="2:17">
      <c r="B917" t="s">
        <v>381</v>
      </c>
      <c r="C917" t="s">
        <v>263</v>
      </c>
      <c r="D917" t="s">
        <v>540</v>
      </c>
      <c r="E917" t="s">
        <v>541</v>
      </c>
      <c r="F917" t="s">
        <v>96</v>
      </c>
      <c r="G917" t="s">
        <v>542</v>
      </c>
      <c r="H917" t="s">
        <v>541</v>
      </c>
      <c r="I917">
        <v>1</v>
      </c>
      <c r="J917" t="s">
        <v>99</v>
      </c>
      <c r="K917" t="s">
        <v>543</v>
      </c>
      <c r="L917" t="s">
        <v>544</v>
      </c>
      <c r="M917" t="s">
        <v>27</v>
      </c>
      <c r="N917" t="s">
        <v>99</v>
      </c>
      <c r="O917" t="s">
        <v>545</v>
      </c>
      <c r="P917">
        <v>35.907897949999999</v>
      </c>
      <c r="Q917">
        <v>37.395507809999998</v>
      </c>
    </row>
    <row r="918" spans="2:17">
      <c r="B918" t="s">
        <v>381</v>
      </c>
      <c r="C918" t="s">
        <v>263</v>
      </c>
      <c r="D918" t="s">
        <v>289</v>
      </c>
      <c r="E918" t="s">
        <v>289</v>
      </c>
      <c r="F918" t="s">
        <v>96</v>
      </c>
      <c r="G918" t="s">
        <v>506</v>
      </c>
      <c r="H918" t="s">
        <v>124</v>
      </c>
      <c r="I918">
        <v>1</v>
      </c>
      <c r="J918" t="s">
        <v>99</v>
      </c>
      <c r="K918" t="s">
        <v>546</v>
      </c>
      <c r="L918" t="s">
        <v>508</v>
      </c>
      <c r="M918" t="s">
        <v>27</v>
      </c>
      <c r="N918" t="s">
        <v>99</v>
      </c>
      <c r="O918" t="s">
        <v>290</v>
      </c>
      <c r="P918">
        <v>34.664123539999999</v>
      </c>
      <c r="Q918">
        <v>36.0255127</v>
      </c>
    </row>
    <row r="919" spans="2:17">
      <c r="B919" t="s">
        <v>614</v>
      </c>
      <c r="C919" t="s">
        <v>263</v>
      </c>
      <c r="D919" t="s">
        <v>128</v>
      </c>
      <c r="E919" t="s">
        <v>733</v>
      </c>
      <c r="F919" t="s">
        <v>346</v>
      </c>
      <c r="G919" t="s">
        <v>770</v>
      </c>
      <c r="H919" t="s">
        <v>124</v>
      </c>
      <c r="I919">
        <v>1</v>
      </c>
      <c r="J919" t="s">
        <v>108</v>
      </c>
      <c r="K919" t="s">
        <v>552</v>
      </c>
      <c r="L919" t="s">
        <v>132</v>
      </c>
      <c r="M919" t="s">
        <v>27</v>
      </c>
      <c r="N919" t="s">
        <v>108</v>
      </c>
      <c r="O919" t="s">
        <v>734</v>
      </c>
      <c r="P919">
        <v>35.32788086</v>
      </c>
      <c r="Q919">
        <v>36.134704589999998</v>
      </c>
    </row>
    <row r="920" spans="2:17">
      <c r="B920" t="s">
        <v>614</v>
      </c>
      <c r="C920" t="s">
        <v>263</v>
      </c>
      <c r="D920" t="s">
        <v>128</v>
      </c>
      <c r="E920" t="s">
        <v>733</v>
      </c>
      <c r="F920" t="s">
        <v>346</v>
      </c>
      <c r="G920" t="s">
        <v>770</v>
      </c>
      <c r="H920" t="s">
        <v>124</v>
      </c>
      <c r="I920">
        <v>1</v>
      </c>
      <c r="J920" t="s">
        <v>108</v>
      </c>
      <c r="K920" t="s">
        <v>552</v>
      </c>
      <c r="L920" t="s">
        <v>132</v>
      </c>
      <c r="M920" t="s">
        <v>27</v>
      </c>
      <c r="N920" t="s">
        <v>108</v>
      </c>
      <c r="O920" t="s">
        <v>734</v>
      </c>
      <c r="P920">
        <v>35.32788086</v>
      </c>
      <c r="Q920">
        <v>36.134704589999998</v>
      </c>
    </row>
    <row r="921" spans="2:17">
      <c r="B921" t="s">
        <v>614</v>
      </c>
      <c r="C921" t="s">
        <v>263</v>
      </c>
      <c r="D921" t="s">
        <v>128</v>
      </c>
      <c r="E921" t="s">
        <v>538</v>
      </c>
      <c r="F921" t="s">
        <v>346</v>
      </c>
      <c r="G921" t="s">
        <v>770</v>
      </c>
      <c r="H921" t="s">
        <v>124</v>
      </c>
      <c r="I921">
        <v>1</v>
      </c>
      <c r="J921" t="s">
        <v>108</v>
      </c>
      <c r="K921" t="s">
        <v>552</v>
      </c>
      <c r="L921" t="s">
        <v>132</v>
      </c>
      <c r="M921" t="s">
        <v>27</v>
      </c>
      <c r="N921" t="s">
        <v>108</v>
      </c>
      <c r="O921" t="s">
        <v>539</v>
      </c>
      <c r="P921">
        <v>35.066284179999997</v>
      </c>
      <c r="Q921">
        <v>36.342102050000001</v>
      </c>
    </row>
    <row r="922" spans="2:17">
      <c r="B922" t="s">
        <v>614</v>
      </c>
      <c r="C922" t="s">
        <v>263</v>
      </c>
      <c r="D922" t="s">
        <v>128</v>
      </c>
      <c r="E922" t="s">
        <v>257</v>
      </c>
      <c r="F922" t="s">
        <v>346</v>
      </c>
      <c r="G922" t="s">
        <v>770</v>
      </c>
      <c r="H922" t="s">
        <v>124</v>
      </c>
      <c r="I922">
        <v>1</v>
      </c>
      <c r="J922" t="s">
        <v>108</v>
      </c>
      <c r="K922" t="s">
        <v>552</v>
      </c>
      <c r="L922" t="s">
        <v>132</v>
      </c>
      <c r="M922" t="s">
        <v>27</v>
      </c>
      <c r="N922" t="s">
        <v>108</v>
      </c>
      <c r="O922" t="s">
        <v>258</v>
      </c>
      <c r="P922">
        <v>35.088317869999997</v>
      </c>
      <c r="Q922">
        <v>36.14727783</v>
      </c>
    </row>
    <row r="923" spans="2:17">
      <c r="B923" t="s">
        <v>614</v>
      </c>
      <c r="C923" t="s">
        <v>263</v>
      </c>
      <c r="D923" t="s">
        <v>128</v>
      </c>
      <c r="E923" t="s">
        <v>297</v>
      </c>
      <c r="F923" t="s">
        <v>346</v>
      </c>
      <c r="G923" t="s">
        <v>770</v>
      </c>
      <c r="H923" t="s">
        <v>124</v>
      </c>
      <c r="I923">
        <v>1</v>
      </c>
      <c r="J923" t="s">
        <v>108</v>
      </c>
      <c r="K923" t="s">
        <v>552</v>
      </c>
      <c r="L923" t="s">
        <v>132</v>
      </c>
      <c r="M923" t="s">
        <v>27</v>
      </c>
      <c r="N923" t="s">
        <v>108</v>
      </c>
      <c r="O923" t="s">
        <v>298</v>
      </c>
      <c r="P923">
        <v>35.065917970000001</v>
      </c>
      <c r="Q923">
        <v>36.262512209999997</v>
      </c>
    </row>
    <row r="924" spans="2:17">
      <c r="B924" t="s">
        <v>614</v>
      </c>
      <c r="C924" t="s">
        <v>263</v>
      </c>
      <c r="D924" t="s">
        <v>128</v>
      </c>
      <c r="E924" t="s">
        <v>538</v>
      </c>
      <c r="F924" t="s">
        <v>346</v>
      </c>
      <c r="G924" t="s">
        <v>770</v>
      </c>
      <c r="H924" t="s">
        <v>124</v>
      </c>
      <c r="I924">
        <v>1</v>
      </c>
      <c r="J924" t="s">
        <v>108</v>
      </c>
      <c r="K924" t="s">
        <v>552</v>
      </c>
      <c r="L924" t="s">
        <v>132</v>
      </c>
      <c r="M924" t="s">
        <v>27</v>
      </c>
      <c r="N924" t="s">
        <v>108</v>
      </c>
      <c r="O924" t="s">
        <v>539</v>
      </c>
      <c r="P924">
        <v>35.066284179999997</v>
      </c>
      <c r="Q924">
        <v>36.342102050000001</v>
      </c>
    </row>
    <row r="925" spans="2:17">
      <c r="B925" t="s">
        <v>614</v>
      </c>
      <c r="C925" t="s">
        <v>263</v>
      </c>
      <c r="D925" t="s">
        <v>773</v>
      </c>
      <c r="E925" t="s">
        <v>257</v>
      </c>
      <c r="F925" t="s">
        <v>346</v>
      </c>
      <c r="G925" t="s">
        <v>672</v>
      </c>
      <c r="H925" t="s">
        <v>124</v>
      </c>
      <c r="I925">
        <v>2</v>
      </c>
      <c r="J925" t="s">
        <v>108</v>
      </c>
      <c r="K925" t="s">
        <v>774</v>
      </c>
      <c r="L925" t="s">
        <v>775</v>
      </c>
      <c r="M925" t="s">
        <v>27</v>
      </c>
      <c r="N925" t="s">
        <v>108</v>
      </c>
      <c r="O925" t="s">
        <v>258</v>
      </c>
      <c r="P925">
        <v>35.088317869999997</v>
      </c>
      <c r="Q925">
        <v>36.14727783</v>
      </c>
    </row>
    <row r="926" spans="2:17">
      <c r="B926" t="s">
        <v>1074</v>
      </c>
      <c r="C926" t="s">
        <v>263</v>
      </c>
      <c r="D926" t="s">
        <v>1144</v>
      </c>
      <c r="E926" t="s">
        <v>1144</v>
      </c>
      <c r="F926" t="s">
        <v>1075</v>
      </c>
      <c r="G926" t="s">
        <v>1145</v>
      </c>
      <c r="H926" t="s">
        <v>797</v>
      </c>
      <c r="I926">
        <v>1</v>
      </c>
      <c r="J926" t="s">
        <v>108</v>
      </c>
      <c r="K926" t="s">
        <v>866</v>
      </c>
      <c r="L926" t="s">
        <v>1146</v>
      </c>
      <c r="M926" t="s">
        <v>27</v>
      </c>
      <c r="N926" t="s">
        <v>108</v>
      </c>
      <c r="O926" t="s">
        <v>1147</v>
      </c>
      <c r="P926">
        <v>35.459472660000003</v>
      </c>
      <c r="Q926">
        <v>37.1270752</v>
      </c>
    </row>
    <row r="927" spans="2:17">
      <c r="B927" t="s">
        <v>1074</v>
      </c>
      <c r="C927" t="s">
        <v>263</v>
      </c>
      <c r="D927" t="s">
        <v>282</v>
      </c>
      <c r="E927" t="s">
        <v>282</v>
      </c>
      <c r="F927" t="s">
        <v>1075</v>
      </c>
      <c r="G927" t="s">
        <v>1145</v>
      </c>
      <c r="H927" t="s">
        <v>797</v>
      </c>
      <c r="I927">
        <v>1</v>
      </c>
      <c r="J927" t="s">
        <v>108</v>
      </c>
      <c r="K927" t="s">
        <v>866</v>
      </c>
      <c r="L927" t="s">
        <v>1146</v>
      </c>
      <c r="M927" t="s">
        <v>27</v>
      </c>
      <c r="N927" t="s">
        <v>108</v>
      </c>
      <c r="O927" t="s">
        <v>283</v>
      </c>
      <c r="P927">
        <v>35.361877440000001</v>
      </c>
      <c r="Q927">
        <v>36.393920899999998</v>
      </c>
    </row>
    <row r="928" spans="2:17" ht="15">
      <c r="B928" t="s">
        <v>17</v>
      </c>
      <c r="C928" t="s">
        <v>263</v>
      </c>
      <c r="D928" t="s">
        <v>128</v>
      </c>
      <c r="E928" t="s">
        <v>1821</v>
      </c>
      <c r="F928" t="s">
        <v>96</v>
      </c>
      <c r="G928" t="s">
        <v>264</v>
      </c>
      <c r="H928" t="s">
        <v>124</v>
      </c>
      <c r="I928">
        <v>1</v>
      </c>
      <c r="J928" t="s">
        <v>99</v>
      </c>
      <c r="K928" t="s">
        <v>265</v>
      </c>
      <c r="L928" t="s">
        <v>266</v>
      </c>
      <c r="M928" t="s">
        <v>27</v>
      </c>
      <c r="N928" t="s">
        <v>99</v>
      </c>
      <c r="O928" t="str">
        <f>_xlfn.XLOOKUP(E928,[1]syr_populatedplaces!$L:$L,[1]syr_populatedplaces!$M:$M)</f>
        <v>C3200</v>
      </c>
      <c r="P928" s="4">
        <f>_xlfn.XLOOKUP(الجدول1[[#This Row],[القرية– البلدة]],[1]syr_populatedplaces!$L:$L,[1]syr_populatedplaces!$AD:$AD)</f>
        <v>35.53747559</v>
      </c>
      <c r="Q928" s="4">
        <f>_xlfn.XLOOKUP(الجدول1[[#This Row],[القرية– البلدة]],[1]syr_populatedplaces!$L:$L,[1]syr_populatedplaces!$AC:$AC)</f>
        <v>36.316711429999998</v>
      </c>
    </row>
    <row r="929" spans="2:17">
      <c r="B929" t="s">
        <v>17</v>
      </c>
      <c r="C929" t="s">
        <v>263</v>
      </c>
      <c r="D929" t="s">
        <v>128</v>
      </c>
      <c r="E929" t="s">
        <v>1830</v>
      </c>
      <c r="F929" t="s">
        <v>96</v>
      </c>
      <c r="G929" t="s">
        <v>264</v>
      </c>
      <c r="H929" t="s">
        <v>124</v>
      </c>
      <c r="I929">
        <v>1</v>
      </c>
      <c r="J929" t="s">
        <v>99</v>
      </c>
      <c r="K929" t="s">
        <v>265</v>
      </c>
      <c r="L929" t="s">
        <v>266</v>
      </c>
      <c r="M929" t="s">
        <v>27</v>
      </c>
      <c r="N929" t="s">
        <v>99</v>
      </c>
      <c r="O929" t="str">
        <f>_xlfn.XLOOKUP(E929,[1]syr_populatedplaces!$L:$L,[1]syr_populatedplaces!$M:$M)</f>
        <v>C3028</v>
      </c>
      <c r="P929">
        <f>_xlfn.XLOOKUP(E929,[1]syr_populatedplaces!$L:$L,[1]syr_populatedplaces!$AD:$AD)</f>
        <v>35.264099119999997</v>
      </c>
      <c r="Q929">
        <f>_xlfn.XLOOKUP(E929,[1]syr_populatedplaces!$L:$L,[1]syr_populatedplaces!$AC:$AC)</f>
        <v>36.71069336</v>
      </c>
    </row>
    <row r="930" spans="2:17">
      <c r="B930" t="s">
        <v>17</v>
      </c>
      <c r="C930" t="s">
        <v>263</v>
      </c>
      <c r="D930" t="s">
        <v>128</v>
      </c>
      <c r="E930" t="s">
        <v>1832</v>
      </c>
      <c r="F930" t="s">
        <v>96</v>
      </c>
      <c r="G930" t="s">
        <v>264</v>
      </c>
      <c r="H930" t="s">
        <v>124</v>
      </c>
      <c r="I930">
        <v>1</v>
      </c>
      <c r="J930" t="s">
        <v>99</v>
      </c>
      <c r="K930" t="s">
        <v>265</v>
      </c>
      <c r="L930" t="s">
        <v>266</v>
      </c>
      <c r="M930" t="s">
        <v>27</v>
      </c>
      <c r="N930" t="s">
        <v>99</v>
      </c>
      <c r="O930" t="str">
        <f>_xlfn.XLOOKUP(E930,[1]syr_populatedplaces!$L:$L,[1]syr_populatedplaces!$M:$M)</f>
        <v>C3154</v>
      </c>
      <c r="P930">
        <f>_xlfn.XLOOKUP(E930,[1]syr_populatedplaces!$L:$L,[1]syr_populatedplaces!$AD:$AD)</f>
        <v>35.573120119999999</v>
      </c>
      <c r="Q930">
        <f>_xlfn.XLOOKUP(E930,[1]syr_populatedplaces!$L:$L,[1]syr_populatedplaces!$AC:$AC)</f>
        <v>36.392272949999999</v>
      </c>
    </row>
    <row r="931" spans="2:17">
      <c r="B931" t="s">
        <v>17</v>
      </c>
      <c r="C931" t="s">
        <v>263</v>
      </c>
      <c r="D931" t="s">
        <v>128</v>
      </c>
      <c r="E931" t="s">
        <v>1831</v>
      </c>
      <c r="F931" t="s">
        <v>96</v>
      </c>
      <c r="G931" t="s">
        <v>264</v>
      </c>
      <c r="H931" t="s">
        <v>124</v>
      </c>
      <c r="I931">
        <v>1</v>
      </c>
      <c r="J931" t="s">
        <v>99</v>
      </c>
      <c r="K931" t="s">
        <v>265</v>
      </c>
      <c r="L931" t="s">
        <v>266</v>
      </c>
      <c r="M931" t="s">
        <v>27</v>
      </c>
      <c r="N931" t="s">
        <v>99</v>
      </c>
      <c r="O931" t="str">
        <f>_xlfn.XLOOKUP(E931,[1]syr_populatedplaces!$L:$L,[1]syr_populatedplaces!$M:$M)</f>
        <v>C3209</v>
      </c>
      <c r="P931">
        <f>_xlfn.XLOOKUP(E931,[1]syr_populatedplaces!$L:$L,[1]syr_populatedplaces!$AD:$AD)</f>
        <v>35.432312009999997</v>
      </c>
      <c r="Q931">
        <f>_xlfn.XLOOKUP(E931,[1]syr_populatedplaces!$L:$L,[1]syr_populatedplaces!$AC:$AC)</f>
        <v>36.490905759999997</v>
      </c>
    </row>
    <row r="932" spans="2:17">
      <c r="B932" t="s">
        <v>17</v>
      </c>
      <c r="C932" t="s">
        <v>263</v>
      </c>
      <c r="D932" t="s">
        <v>128</v>
      </c>
      <c r="E932" t="s">
        <v>1831</v>
      </c>
      <c r="F932" t="s">
        <v>96</v>
      </c>
      <c r="G932" t="s">
        <v>275</v>
      </c>
      <c r="H932" t="s">
        <v>276</v>
      </c>
      <c r="I932">
        <v>1</v>
      </c>
      <c r="J932" t="s">
        <v>99</v>
      </c>
      <c r="K932" t="s">
        <v>277</v>
      </c>
      <c r="L932" t="s">
        <v>278</v>
      </c>
      <c r="M932" t="s">
        <v>27</v>
      </c>
      <c r="N932" t="s">
        <v>24</v>
      </c>
      <c r="O932" t="str">
        <f>_xlfn.XLOOKUP(E932,[1]syr_populatedplaces!$L:$L,[1]syr_populatedplaces!$M:$M)</f>
        <v>C3209</v>
      </c>
      <c r="P932">
        <f>_xlfn.XLOOKUP(E932,[1]syr_populatedplaces!$L:$L,[1]syr_populatedplaces!$AD:$AD)</f>
        <v>35.432312009999997</v>
      </c>
      <c r="Q932">
        <f>_xlfn.XLOOKUP(E932,[1]syr_populatedplaces!$L:$L,[1]syr_populatedplaces!$AC:$AC)</f>
        <v>36.490905759999997</v>
      </c>
    </row>
    <row r="933" spans="2:17">
      <c r="B933" t="s">
        <v>17</v>
      </c>
      <c r="C933" t="s">
        <v>263</v>
      </c>
      <c r="D933" t="s">
        <v>128</v>
      </c>
      <c r="E933" t="s">
        <v>1833</v>
      </c>
      <c r="F933" t="s">
        <v>96</v>
      </c>
      <c r="G933" t="s">
        <v>275</v>
      </c>
      <c r="H933" t="s">
        <v>276</v>
      </c>
      <c r="I933">
        <v>1</v>
      </c>
      <c r="J933" t="s">
        <v>99</v>
      </c>
      <c r="K933" t="s">
        <v>277</v>
      </c>
      <c r="L933" t="s">
        <v>278</v>
      </c>
      <c r="M933" t="s">
        <v>27</v>
      </c>
      <c r="N933" t="s">
        <v>24</v>
      </c>
      <c r="O933" t="str">
        <f>_xlfn.XLOOKUP(E933,[1]syr_populatedplaces!$L:$L,[1]syr_populatedplaces!$M:$M)</f>
        <v>C3156</v>
      </c>
      <c r="P933">
        <f>_xlfn.XLOOKUP(E933,[1]syr_populatedplaces!$L:$L,[1]syr_populatedplaces!$AD:$AD)</f>
        <v>35.644470220000002</v>
      </c>
      <c r="Q933">
        <f>_xlfn.XLOOKUP(E933,[1]syr_populatedplaces!$L:$L,[1]syr_populatedplaces!$AC:$AC)</f>
        <v>36.38830566</v>
      </c>
    </row>
    <row r="934" spans="2:17">
      <c r="B934" t="s">
        <v>17</v>
      </c>
      <c r="C934" t="s">
        <v>263</v>
      </c>
      <c r="D934" t="s">
        <v>128</v>
      </c>
      <c r="E934" t="s">
        <v>1834</v>
      </c>
      <c r="F934" t="s">
        <v>96</v>
      </c>
      <c r="G934" t="s">
        <v>275</v>
      </c>
      <c r="H934" t="s">
        <v>276</v>
      </c>
      <c r="I934">
        <v>1</v>
      </c>
      <c r="J934" t="s">
        <v>99</v>
      </c>
      <c r="K934" t="s">
        <v>277</v>
      </c>
      <c r="L934" t="s">
        <v>278</v>
      </c>
      <c r="M934" t="s">
        <v>27</v>
      </c>
      <c r="N934" t="s">
        <v>24</v>
      </c>
      <c r="O934" t="str">
        <f>_xlfn.XLOOKUP(E934,[1]syr_populatedplaces!$L:$L,[1]syr_populatedplaces!$M:$M)</f>
        <v>C3385</v>
      </c>
      <c r="P934">
        <f>_xlfn.XLOOKUP(E934,[1]syr_populatedplaces!$L:$L,[1]syr_populatedplaces!$AD:$AD)</f>
        <v>35.160095220000002</v>
      </c>
      <c r="Q934">
        <f>_xlfn.XLOOKUP(E934,[1]syr_populatedplaces!$L:$L,[1]syr_populatedplaces!$AC:$AC)</f>
        <v>36.39868164</v>
      </c>
    </row>
    <row r="935" spans="2:17">
      <c r="B935" t="s">
        <v>17</v>
      </c>
      <c r="C935" t="s">
        <v>263</v>
      </c>
      <c r="D935" t="s">
        <v>128</v>
      </c>
      <c r="E935" t="s">
        <v>1823</v>
      </c>
      <c r="F935" t="s">
        <v>96</v>
      </c>
      <c r="G935" t="s">
        <v>275</v>
      </c>
      <c r="H935" t="s">
        <v>276</v>
      </c>
      <c r="I935">
        <v>1</v>
      </c>
      <c r="J935" t="s">
        <v>99</v>
      </c>
      <c r="K935" t="s">
        <v>277</v>
      </c>
      <c r="L935" t="s">
        <v>278</v>
      </c>
      <c r="M935" t="s">
        <v>27</v>
      </c>
      <c r="N935" t="s">
        <v>24</v>
      </c>
      <c r="O935" t="str">
        <f>_xlfn.XLOOKUP(E935,[1]syr_populatedplaces!$L:$L,[1]syr_populatedplaces!$M:$M)</f>
        <v>C3167</v>
      </c>
      <c r="P935">
        <f>_xlfn.XLOOKUP(E935,[1]syr_populatedplaces!$L:$L,[1]syr_populatedplaces!$AD:$AD)</f>
        <v>35.612915039999997</v>
      </c>
      <c r="Q935">
        <f>_xlfn.XLOOKUP(E935,[1]syr_populatedplaces!$L:$L,[1]syr_populatedplaces!$AC:$AC)</f>
        <v>36.385314940000001</v>
      </c>
    </row>
    <row r="936" spans="2:17">
      <c r="B936" t="s">
        <v>17</v>
      </c>
      <c r="C936" t="s">
        <v>263</v>
      </c>
      <c r="D936" t="s">
        <v>128</v>
      </c>
      <c r="E936" t="s">
        <v>1835</v>
      </c>
      <c r="F936" t="s">
        <v>96</v>
      </c>
      <c r="G936" t="s">
        <v>301</v>
      </c>
      <c r="H936" t="s">
        <v>302</v>
      </c>
      <c r="I936">
        <v>1</v>
      </c>
      <c r="J936" t="s">
        <v>108</v>
      </c>
      <c r="K936" t="s">
        <v>303</v>
      </c>
      <c r="L936" t="s">
        <v>304</v>
      </c>
      <c r="M936" t="s">
        <v>305</v>
      </c>
      <c r="N936" t="s">
        <v>108</v>
      </c>
      <c r="O936" t="str">
        <f>_xlfn.XLOOKUP(E936,[1]syr_populatedplaces!$L:$L,[1]syr_populatedplaces!$M:$M)</f>
        <v>C3104</v>
      </c>
      <c r="P936">
        <f>_xlfn.XLOOKUP(E936,[1]syr_populatedplaces!$L:$L,[1]syr_populatedplaces!$AD:$AD)</f>
        <v>35.401916499999999</v>
      </c>
      <c r="Q936">
        <f>_xlfn.XLOOKUP(E936,[1]syr_populatedplaces!$L:$L,[1]syr_populatedplaces!$AC:$AC)</f>
        <v>37.026123050000002</v>
      </c>
    </row>
    <row r="937" spans="2:17">
      <c r="B937" t="s">
        <v>17</v>
      </c>
      <c r="C937" t="s">
        <v>263</v>
      </c>
      <c r="D937" t="s">
        <v>128</v>
      </c>
      <c r="E937" t="s">
        <v>263</v>
      </c>
      <c r="F937" t="s">
        <v>96</v>
      </c>
      <c r="G937" t="s">
        <v>259</v>
      </c>
      <c r="H937" t="s">
        <v>260</v>
      </c>
      <c r="I937">
        <v>7</v>
      </c>
      <c r="J937" t="s">
        <v>99</v>
      </c>
      <c r="K937" t="s">
        <v>259</v>
      </c>
      <c r="L937" t="s">
        <v>311</v>
      </c>
      <c r="M937" t="s">
        <v>27</v>
      </c>
      <c r="N937" t="s">
        <v>99</v>
      </c>
      <c r="O937" t="str">
        <f>_xlfn.XLOOKUP(E937,[1]syr_populatedplaces!$L:$L,[1]syr_populatedplaces!$M:$M)</f>
        <v>C2987</v>
      </c>
      <c r="P937">
        <f>_xlfn.XLOOKUP(E937,[1]syr_populatedplaces!$L:$L,[1]syr_populatedplaces!$AD:$AD)</f>
        <v>35.13372803</v>
      </c>
      <c r="Q937">
        <f>_xlfn.XLOOKUP(E937,[1]syr_populatedplaces!$L:$L,[1]syr_populatedplaces!$AC:$AC)</f>
        <v>36.761291499999999</v>
      </c>
    </row>
    <row r="938" spans="2:17">
      <c r="B938" t="s">
        <v>381</v>
      </c>
      <c r="C938" t="s">
        <v>263</v>
      </c>
      <c r="D938" t="s">
        <v>128</v>
      </c>
      <c r="E938" t="s">
        <v>263</v>
      </c>
      <c r="F938" t="s">
        <v>96</v>
      </c>
      <c r="G938" t="s">
        <v>510</v>
      </c>
      <c r="H938" t="s">
        <v>511</v>
      </c>
      <c r="I938">
        <v>1</v>
      </c>
      <c r="J938" t="s">
        <v>99</v>
      </c>
      <c r="K938" t="s">
        <v>265</v>
      </c>
      <c r="L938" t="s">
        <v>512</v>
      </c>
      <c r="M938" t="s">
        <v>27</v>
      </c>
      <c r="N938" t="s">
        <v>24</v>
      </c>
      <c r="O938" t="str">
        <f>_xlfn.XLOOKUP(E938,[1]syr_populatedplaces!$L:$L,[1]syr_populatedplaces!$M:$M)</f>
        <v>C2987</v>
      </c>
      <c r="P938">
        <f>_xlfn.XLOOKUP(E938,[1]syr_populatedplaces!$L:$L,[1]syr_populatedplaces!$AD:$AD)</f>
        <v>35.13372803</v>
      </c>
      <c r="Q938">
        <f>_xlfn.XLOOKUP(E938,[1]syr_populatedplaces!$L:$L,[1]syr_populatedplaces!$AC:$AC)</f>
        <v>36.761291499999999</v>
      </c>
    </row>
    <row r="939" spans="2:17">
      <c r="B939" t="s">
        <v>381</v>
      </c>
      <c r="C939" t="s">
        <v>263</v>
      </c>
      <c r="D939" t="s">
        <v>128</v>
      </c>
      <c r="E939" t="s">
        <v>263</v>
      </c>
      <c r="F939" t="s">
        <v>96</v>
      </c>
      <c r="G939" t="s">
        <v>510</v>
      </c>
      <c r="H939" t="s">
        <v>511</v>
      </c>
      <c r="I939">
        <v>1</v>
      </c>
      <c r="J939" t="s">
        <v>99</v>
      </c>
      <c r="K939" t="s">
        <v>265</v>
      </c>
      <c r="L939" t="s">
        <v>512</v>
      </c>
      <c r="M939" t="s">
        <v>27</v>
      </c>
      <c r="N939" t="s">
        <v>24</v>
      </c>
      <c r="O939" t="str">
        <f>_xlfn.XLOOKUP(E939,[1]syr_populatedplaces!$L:$L,[1]syr_populatedplaces!$M:$M)</f>
        <v>C2987</v>
      </c>
      <c r="P939">
        <f>_xlfn.XLOOKUP(E939,[1]syr_populatedplaces!$L:$L,[1]syr_populatedplaces!$AD:$AD)</f>
        <v>35.13372803</v>
      </c>
      <c r="Q939">
        <f>_xlfn.XLOOKUP(E939,[1]syr_populatedplaces!$L:$L,[1]syr_populatedplaces!$AC:$AC)</f>
        <v>36.761291499999999</v>
      </c>
    </row>
    <row r="940" spans="2:17">
      <c r="B940" t="s">
        <v>381</v>
      </c>
      <c r="C940" t="s">
        <v>263</v>
      </c>
      <c r="D940" t="s">
        <v>282</v>
      </c>
      <c r="E940" t="s">
        <v>282</v>
      </c>
      <c r="F940" t="s">
        <v>96</v>
      </c>
      <c r="G940" t="s">
        <v>526</v>
      </c>
      <c r="H940" t="s">
        <v>477</v>
      </c>
      <c r="I940">
        <v>1</v>
      </c>
      <c r="J940" t="s">
        <v>108</v>
      </c>
      <c r="K940" t="s">
        <v>525</v>
      </c>
      <c r="L940" t="s">
        <v>527</v>
      </c>
      <c r="M940" t="s">
        <v>27</v>
      </c>
      <c r="N940" t="s">
        <v>108</v>
      </c>
      <c r="O940" t="str">
        <f>_xlfn.XLOOKUP(E940,[1]syr_populatedplaces!$L:$L,[1]syr_populatedplaces!$M:$M)</f>
        <v>C3114</v>
      </c>
      <c r="P940">
        <f>_xlfn.XLOOKUP(E940,[1]syr_populatedplaces!$L:$L,[1]syr_populatedplaces!$AD:$AD)</f>
        <v>35.361877440000001</v>
      </c>
      <c r="Q940">
        <f>_xlfn.XLOOKUP(E940,[1]syr_populatedplaces!$L:$L,[1]syr_populatedplaces!$AC:$AC)</f>
        <v>36.393920899999998</v>
      </c>
    </row>
    <row r="941" spans="2:17">
      <c r="B941" t="s">
        <v>381</v>
      </c>
      <c r="C941" t="s">
        <v>263</v>
      </c>
      <c r="D941" t="s">
        <v>128</v>
      </c>
      <c r="E941" t="s">
        <v>1836</v>
      </c>
      <c r="F941" t="s">
        <v>96</v>
      </c>
      <c r="G941" t="s">
        <v>318</v>
      </c>
      <c r="H941" t="s">
        <v>411</v>
      </c>
      <c r="I941">
        <v>1</v>
      </c>
      <c r="J941" t="s">
        <v>24</v>
      </c>
      <c r="K941" t="s">
        <v>528</v>
      </c>
      <c r="L941" t="s">
        <v>360</v>
      </c>
      <c r="M941" t="s">
        <v>27</v>
      </c>
      <c r="N941" t="s">
        <v>108</v>
      </c>
      <c r="O941" t="str">
        <f>_xlfn.XLOOKUP(E941,[1]syr_populatedplaces!$L:$L,[1]syr_populatedplaces!$M:$M)</f>
        <v>C1282</v>
      </c>
      <c r="P941">
        <f>_xlfn.XLOOKUP(E941,[1]syr_populatedplaces!$L:$L,[1]syr_populatedplaces!$AD:$AD)</f>
        <v>36.179321289999997</v>
      </c>
      <c r="Q941">
        <f>_xlfn.XLOOKUP(E941,[1]syr_populatedplaces!$L:$L,[1]syr_populatedplaces!$AC:$AC)</f>
        <v>37.5098877</v>
      </c>
    </row>
    <row r="942" spans="2:17">
      <c r="B942" t="s">
        <v>381</v>
      </c>
      <c r="C942" t="s">
        <v>263</v>
      </c>
      <c r="D942" t="s">
        <v>128</v>
      </c>
      <c r="E942" t="s">
        <v>1837</v>
      </c>
      <c r="F942" t="s">
        <v>96</v>
      </c>
      <c r="G942" t="s">
        <v>318</v>
      </c>
      <c r="H942" t="s">
        <v>411</v>
      </c>
      <c r="I942">
        <v>1</v>
      </c>
      <c r="J942" t="s">
        <v>24</v>
      </c>
      <c r="K942" t="s">
        <v>528</v>
      </c>
      <c r="L942" t="s">
        <v>360</v>
      </c>
      <c r="M942" t="s">
        <v>27</v>
      </c>
      <c r="N942" t="s">
        <v>108</v>
      </c>
      <c r="O942" t="str">
        <f>_xlfn.XLOOKUP(E942,[1]syr_populatedplaces!$L:$L,[1]syr_populatedplaces!$M:$M)</f>
        <v>C1256</v>
      </c>
      <c r="P942">
        <f>_xlfn.XLOOKUP(E942,[1]syr_populatedplaces!$L:$L,[1]syr_populatedplaces!$AD:$AD)</f>
        <v>36.552917479999998</v>
      </c>
      <c r="Q942">
        <f>_xlfn.XLOOKUP(E942,[1]syr_populatedplaces!$L:$L,[1]syr_populatedplaces!$AC:$AC)</f>
        <v>37.460876470000002</v>
      </c>
    </row>
    <row r="943" spans="2:17">
      <c r="B943" t="s">
        <v>381</v>
      </c>
      <c r="C943" t="s">
        <v>263</v>
      </c>
      <c r="D943" t="s">
        <v>128</v>
      </c>
      <c r="E943" t="s">
        <v>1838</v>
      </c>
      <c r="F943" t="s">
        <v>96</v>
      </c>
      <c r="G943" t="s">
        <v>318</v>
      </c>
      <c r="H943" t="s">
        <v>411</v>
      </c>
      <c r="I943">
        <v>1</v>
      </c>
      <c r="J943" t="s">
        <v>24</v>
      </c>
      <c r="K943" t="s">
        <v>528</v>
      </c>
      <c r="L943" t="s">
        <v>360</v>
      </c>
      <c r="M943" t="s">
        <v>27</v>
      </c>
      <c r="N943" t="s">
        <v>108</v>
      </c>
      <c r="O943" t="str">
        <f>_xlfn.XLOOKUP(E943,[1]syr_populatedplaces!$L:$L,[1]syr_populatedplaces!$M:$M)</f>
        <v>C7172</v>
      </c>
      <c r="P943">
        <f>_xlfn.XLOOKUP(E943,[1]syr_populatedplaces!$L:$L,[1]syr_populatedplaces!$AD:$AD)</f>
        <v>34.980285649999999</v>
      </c>
      <c r="Q943">
        <f>_xlfn.XLOOKUP(E943,[1]syr_populatedplaces!$L:$L,[1]syr_populatedplaces!$AC:$AC)</f>
        <v>37.585876470000002</v>
      </c>
    </row>
    <row r="944" spans="2:17">
      <c r="B944" t="s">
        <v>614</v>
      </c>
      <c r="C944" t="s">
        <v>263</v>
      </c>
      <c r="D944" t="s">
        <v>128</v>
      </c>
      <c r="E944" t="s">
        <v>1839</v>
      </c>
      <c r="F944" t="s">
        <v>346</v>
      </c>
      <c r="G944" t="s">
        <v>770</v>
      </c>
      <c r="H944" t="s">
        <v>124</v>
      </c>
      <c r="I944">
        <v>1</v>
      </c>
      <c r="J944" t="s">
        <v>108</v>
      </c>
      <c r="K944" t="s">
        <v>552</v>
      </c>
      <c r="L944" t="s">
        <v>132</v>
      </c>
      <c r="M944" t="s">
        <v>27</v>
      </c>
      <c r="N944" t="s">
        <v>108</v>
      </c>
      <c r="O944" t="str">
        <f>_xlfn.XLOOKUP(E944,[1]syr_populatedplaces!$L:$L,[1]syr_populatedplaces!$M:$M)</f>
        <v>C3150</v>
      </c>
      <c r="P944">
        <f>_xlfn.XLOOKUP(E944,[1]syr_populatedplaces!$L:$L,[1]syr_populatedplaces!$AD:$AD)</f>
        <v>35.29272461</v>
      </c>
      <c r="Q944">
        <f>_xlfn.XLOOKUP(E944,[1]syr_populatedplaces!$L:$L,[1]syr_populatedplaces!$AC:$AC)</f>
        <v>36.343322749999999</v>
      </c>
    </row>
    <row r="945" spans="2:17">
      <c r="B945" t="s">
        <v>614</v>
      </c>
      <c r="C945" t="s">
        <v>263</v>
      </c>
      <c r="D945" t="s">
        <v>128</v>
      </c>
      <c r="E945" t="s">
        <v>1839</v>
      </c>
      <c r="F945" t="s">
        <v>346</v>
      </c>
      <c r="G945" t="s">
        <v>770</v>
      </c>
      <c r="H945" t="s">
        <v>124</v>
      </c>
      <c r="I945">
        <v>1</v>
      </c>
      <c r="J945" t="s">
        <v>108</v>
      </c>
      <c r="K945" t="s">
        <v>552</v>
      </c>
      <c r="L945" t="s">
        <v>132</v>
      </c>
      <c r="M945" t="s">
        <v>27</v>
      </c>
      <c r="N945" t="s">
        <v>108</v>
      </c>
      <c r="O945" t="str">
        <f>_xlfn.XLOOKUP(E945,[1]syr_populatedplaces!$L:$L,[1]syr_populatedplaces!$M:$M)</f>
        <v>C3150</v>
      </c>
      <c r="P945">
        <f>_xlfn.XLOOKUP(E945,[1]syr_populatedplaces!$L:$L,[1]syr_populatedplaces!$AD:$AD)</f>
        <v>35.29272461</v>
      </c>
      <c r="Q945">
        <f>_xlfn.XLOOKUP(E945,[1]syr_populatedplaces!$L:$L,[1]syr_populatedplaces!$AC:$AC)</f>
        <v>36.343322749999999</v>
      </c>
    </row>
    <row r="946" spans="2:17">
      <c r="B946" t="s">
        <v>614</v>
      </c>
      <c r="C946" t="s">
        <v>263</v>
      </c>
      <c r="D946" t="s">
        <v>128</v>
      </c>
      <c r="E946" t="s">
        <v>1841</v>
      </c>
      <c r="F946" t="s">
        <v>346</v>
      </c>
      <c r="G946" t="s">
        <v>770</v>
      </c>
      <c r="H946" t="s">
        <v>124</v>
      </c>
      <c r="I946">
        <v>1</v>
      </c>
      <c r="J946" t="s">
        <v>108</v>
      </c>
      <c r="K946" t="s">
        <v>552</v>
      </c>
      <c r="L946" t="s">
        <v>132</v>
      </c>
      <c r="M946" t="s">
        <v>27</v>
      </c>
      <c r="N946" t="s">
        <v>108</v>
      </c>
      <c r="O946" t="str">
        <f>_xlfn.XLOOKUP(E946,[1]syr_populatedplaces!$L:$L,[1]syr_populatedplaces!$M:$M)</f>
        <v>C3403</v>
      </c>
      <c r="P946">
        <f>_xlfn.XLOOKUP(E946,[1]syr_populatedplaces!$L:$L,[1]syr_populatedplaces!$AD:$AD)</f>
        <v>34.940307619999999</v>
      </c>
      <c r="Q946">
        <f>_xlfn.XLOOKUP(E946,[1]syr_populatedplaces!$L:$L,[1]syr_populatedplaces!$AC:$AC)</f>
        <v>36.322875979999999</v>
      </c>
    </row>
    <row r="947" spans="2:17">
      <c r="B947" t="s">
        <v>614</v>
      </c>
      <c r="C947" t="s">
        <v>263</v>
      </c>
      <c r="D947" t="s">
        <v>128</v>
      </c>
      <c r="E947" t="s">
        <v>1840</v>
      </c>
      <c r="F947" t="s">
        <v>346</v>
      </c>
      <c r="G947" t="s">
        <v>770</v>
      </c>
      <c r="H947" t="s">
        <v>124</v>
      </c>
      <c r="I947">
        <v>1</v>
      </c>
      <c r="J947" t="s">
        <v>108</v>
      </c>
      <c r="K947" t="s">
        <v>552</v>
      </c>
      <c r="L947" t="s">
        <v>132</v>
      </c>
      <c r="M947" t="s">
        <v>27</v>
      </c>
      <c r="N947" t="s">
        <v>108</v>
      </c>
      <c r="O947" t="str">
        <f>_xlfn.XLOOKUP(E947,[1]syr_populatedplaces!$L:$L,[1]syr_populatedplaces!$M:$M)</f>
        <v>C3407</v>
      </c>
      <c r="P947">
        <f>_xlfn.XLOOKUP(E947,[1]syr_populatedplaces!$L:$L,[1]syr_populatedplaces!$AD:$AD)</f>
        <v>34.890319820000002</v>
      </c>
      <c r="Q947">
        <f>_xlfn.XLOOKUP(E947,[1]syr_populatedplaces!$L:$L,[1]syr_populatedplaces!$AC:$AC)</f>
        <v>36.34490967</v>
      </c>
    </row>
    <row r="948" spans="2:17">
      <c r="B948" t="s">
        <v>614</v>
      </c>
      <c r="C948" t="s">
        <v>263</v>
      </c>
      <c r="D948" t="s">
        <v>771</v>
      </c>
      <c r="E948" t="s">
        <v>1839</v>
      </c>
      <c r="F948" t="s">
        <v>346</v>
      </c>
      <c r="G948" t="s">
        <v>254</v>
      </c>
      <c r="H948" t="s">
        <v>124</v>
      </c>
      <c r="I948">
        <v>10</v>
      </c>
      <c r="J948" t="s">
        <v>108</v>
      </c>
      <c r="K948" t="s">
        <v>772</v>
      </c>
      <c r="L948" t="s">
        <v>762</v>
      </c>
      <c r="M948" t="s">
        <v>27</v>
      </c>
      <c r="N948" t="s">
        <v>387</v>
      </c>
      <c r="O948" t="str">
        <f>_xlfn.XLOOKUP(E948,[1]syr_populatedplaces!$L:$L,[1]syr_populatedplaces!$M:$M)</f>
        <v>C3150</v>
      </c>
      <c r="P948">
        <f>_xlfn.XLOOKUP(E948,[1]syr_populatedplaces!$L:$L,[1]syr_populatedplaces!$AD:$AD)</f>
        <v>35.29272461</v>
      </c>
      <c r="Q948">
        <f>_xlfn.XLOOKUP(E948,[1]syr_populatedplaces!$L:$L,[1]syr_populatedplaces!$AC:$AC)</f>
        <v>36.343322749999999</v>
      </c>
    </row>
    <row r="949" spans="2:17">
      <c r="B949" t="s">
        <v>614</v>
      </c>
      <c r="C949" t="s">
        <v>263</v>
      </c>
      <c r="D949" t="s">
        <v>773</v>
      </c>
      <c r="E949" t="s">
        <v>538</v>
      </c>
      <c r="F949" t="s">
        <v>346</v>
      </c>
      <c r="G949" t="s">
        <v>672</v>
      </c>
      <c r="H949" t="s">
        <v>124</v>
      </c>
      <c r="I949">
        <v>2</v>
      </c>
      <c r="J949" t="s">
        <v>108</v>
      </c>
      <c r="K949" t="s">
        <v>774</v>
      </c>
      <c r="L949" t="s">
        <v>775</v>
      </c>
      <c r="M949" t="s">
        <v>27</v>
      </c>
      <c r="N949" t="s">
        <v>108</v>
      </c>
      <c r="O949" t="str">
        <f>_xlfn.XLOOKUP(E949,[1]syr_populatedplaces!$L:$L,[1]syr_populatedplaces!$M:$M)</f>
        <v>C3367</v>
      </c>
      <c r="P949">
        <f>_xlfn.XLOOKUP(E949,[1]syr_populatedplaces!$L:$L,[1]syr_populatedplaces!$AD:$AD)</f>
        <v>35.066284179999997</v>
      </c>
      <c r="Q949">
        <f>_xlfn.XLOOKUP(E949,[1]syr_populatedplaces!$L:$L,[1]syr_populatedplaces!$AC:$AC)</f>
        <v>36.342102050000001</v>
      </c>
    </row>
    <row r="950" spans="2:17">
      <c r="B950" t="s">
        <v>1309</v>
      </c>
      <c r="C950" t="s">
        <v>263</v>
      </c>
      <c r="D950" t="s">
        <v>1382</v>
      </c>
      <c r="E950" t="s">
        <v>1825</v>
      </c>
      <c r="F950" t="s">
        <v>812</v>
      </c>
      <c r="G950" t="s">
        <v>1384</v>
      </c>
      <c r="H950" t="s">
        <v>124</v>
      </c>
      <c r="I950">
        <v>1</v>
      </c>
      <c r="J950" t="s">
        <v>99</v>
      </c>
      <c r="K950" t="s">
        <v>1385</v>
      </c>
      <c r="L950" t="s">
        <v>519</v>
      </c>
      <c r="M950" t="s">
        <v>1314</v>
      </c>
      <c r="N950" t="s">
        <v>99</v>
      </c>
      <c r="O950" t="str">
        <f>_xlfn.XLOOKUP(E950,[1]syr_populatedplaces!$L:$L,[1]syr_populatedplaces!$M:$M)</f>
        <v>C2991</v>
      </c>
      <c r="P950">
        <f>_xlfn.XLOOKUP(E950,[1]syr_populatedplaces!$L:$L,[1]syr_populatedplaces!$AD:$AD)</f>
        <v>35.195678710000003</v>
      </c>
      <c r="Q950">
        <f>_xlfn.XLOOKUP(E950,[1]syr_populatedplaces!$L:$L,[1]syr_populatedplaces!$AC:$AC)</f>
        <v>36.668518069999998</v>
      </c>
    </row>
    <row r="951" spans="2:17">
      <c r="B951" t="s">
        <v>1309</v>
      </c>
      <c r="C951" t="s">
        <v>263</v>
      </c>
      <c r="D951" t="s">
        <v>1386</v>
      </c>
      <c r="E951" t="s">
        <v>263</v>
      </c>
      <c r="F951" t="s">
        <v>812</v>
      </c>
      <c r="G951" t="s">
        <v>337</v>
      </c>
      <c r="H951" t="s">
        <v>578</v>
      </c>
      <c r="I951">
        <v>1</v>
      </c>
      <c r="J951" t="s">
        <v>108</v>
      </c>
      <c r="K951" t="s">
        <v>1387</v>
      </c>
      <c r="L951" t="s">
        <v>589</v>
      </c>
      <c r="M951" t="s">
        <v>1314</v>
      </c>
      <c r="N951" t="s">
        <v>108</v>
      </c>
      <c r="O951" t="str">
        <f>_xlfn.XLOOKUP(E951,[1]syr_populatedplaces!$L:$L,[1]syr_populatedplaces!$M:$M)</f>
        <v>C2987</v>
      </c>
      <c r="P951">
        <f>_xlfn.XLOOKUP(E951,[1]syr_populatedplaces!$L:$L,[1]syr_populatedplaces!$AD:$AD)</f>
        <v>35.13372803</v>
      </c>
      <c r="Q951">
        <f>_xlfn.XLOOKUP(E951,[1]syr_populatedplaces!$L:$L,[1]syr_populatedplaces!$AC:$AC)</f>
        <v>36.761291499999999</v>
      </c>
    </row>
    <row r="952" spans="2:17">
      <c r="B952" t="s">
        <v>1309</v>
      </c>
      <c r="C952" t="s">
        <v>263</v>
      </c>
      <c r="D952" t="s">
        <v>270</v>
      </c>
      <c r="E952" t="s">
        <v>270</v>
      </c>
      <c r="F952" t="s">
        <v>812</v>
      </c>
      <c r="G952" t="s">
        <v>1388</v>
      </c>
      <c r="H952" t="s">
        <v>477</v>
      </c>
      <c r="I952">
        <v>1</v>
      </c>
      <c r="J952" t="s">
        <v>387</v>
      </c>
      <c r="K952" t="s">
        <v>1389</v>
      </c>
      <c r="L952" t="s">
        <v>1390</v>
      </c>
      <c r="M952" t="s">
        <v>1314</v>
      </c>
      <c r="N952" t="s">
        <v>108</v>
      </c>
      <c r="O952" t="str">
        <f>_xlfn.XLOOKUP(E952,[1]syr_populatedplaces!$L:$L,[1]syr_populatedplaces!$M:$M)</f>
        <v>C3458</v>
      </c>
      <c r="P952">
        <f>_xlfn.XLOOKUP(E952,[1]syr_populatedplaces!$L:$L,[1]syr_populatedplaces!$AD:$AD)</f>
        <v>35.320678710000003</v>
      </c>
      <c r="Q952">
        <f>_xlfn.XLOOKUP(E952,[1]syr_populatedplaces!$L:$L,[1]syr_populatedplaces!$AC:$AC)</f>
        <v>36.623291020000003</v>
      </c>
    </row>
    <row r="953" spans="2:17">
      <c r="B953" t="s">
        <v>1309</v>
      </c>
      <c r="C953" t="s">
        <v>263</v>
      </c>
      <c r="D953" t="s">
        <v>1391</v>
      </c>
      <c r="E953" t="s">
        <v>1391</v>
      </c>
      <c r="F953" t="s">
        <v>812</v>
      </c>
      <c r="G953" t="s">
        <v>1392</v>
      </c>
      <c r="H953" t="s">
        <v>1393</v>
      </c>
      <c r="I953">
        <v>1</v>
      </c>
      <c r="J953" t="s">
        <v>387</v>
      </c>
      <c r="K953" t="s">
        <v>1394</v>
      </c>
      <c r="L953" t="s">
        <v>1395</v>
      </c>
      <c r="M953" t="s">
        <v>1314</v>
      </c>
      <c r="N953" t="s">
        <v>387</v>
      </c>
      <c r="O953" t="str">
        <f>_xlfn.XLOOKUP(E953,[1]syr_populatedplaces!$L:$L,[1]syr_populatedplaces!$M:$M)</f>
        <v>C3029</v>
      </c>
      <c r="P953">
        <f>_xlfn.XLOOKUP(E953,[1]syr_populatedplaces!$L:$L,[1]syr_populatedplaces!$AD:$AD)</f>
        <v>35.373901369999999</v>
      </c>
      <c r="Q953">
        <f>_xlfn.XLOOKUP(E953,[1]syr_populatedplaces!$L:$L,[1]syr_populatedplaces!$AC:$AC)</f>
        <v>36.689270020000002</v>
      </c>
    </row>
    <row r="954" spans="2:17">
      <c r="B954" t="s">
        <v>1694</v>
      </c>
      <c r="C954" t="s">
        <v>263</v>
      </c>
      <c r="D954" t="s">
        <v>1695</v>
      </c>
      <c r="E954" t="s">
        <v>1826</v>
      </c>
      <c r="F954" t="s">
        <v>1075</v>
      </c>
      <c r="G954" t="s">
        <v>1696</v>
      </c>
      <c r="H954" t="s">
        <v>1697</v>
      </c>
      <c r="I954">
        <v>1</v>
      </c>
      <c r="J954" t="s">
        <v>883</v>
      </c>
      <c r="K954" t="s">
        <v>1698</v>
      </c>
      <c r="L954" t="s">
        <v>1699</v>
      </c>
      <c r="M954" t="s">
        <v>1163</v>
      </c>
      <c r="N954" t="s">
        <v>108</v>
      </c>
      <c r="O954" t="str">
        <f>_xlfn.XLOOKUP(E954,[1]syr_populatedplaces!$L:$L,[1]syr_populatedplaces!$M:$M)</f>
        <v>C3282</v>
      </c>
      <c r="P954">
        <f>_xlfn.XLOOKUP(E954,[1]syr_populatedplaces!$L:$L,[1]syr_populatedplaces!$AD:$AD)</f>
        <v>35.28747559</v>
      </c>
      <c r="Q954">
        <f>_xlfn.XLOOKUP(E954,[1]syr_populatedplaces!$L:$L,[1]syr_populatedplaces!$AC:$AC)</f>
        <v>37.465515140000001</v>
      </c>
    </row>
    <row r="955" spans="2:17">
      <c r="B955" t="s">
        <v>1694</v>
      </c>
      <c r="C955" t="s">
        <v>263</v>
      </c>
      <c r="D955" t="s">
        <v>272</v>
      </c>
      <c r="E955" t="s">
        <v>1827</v>
      </c>
      <c r="F955" t="s">
        <v>1075</v>
      </c>
      <c r="G955" t="s">
        <v>1735</v>
      </c>
      <c r="H955" t="s">
        <v>1736</v>
      </c>
      <c r="I955">
        <v>1</v>
      </c>
      <c r="J955" t="s">
        <v>108</v>
      </c>
      <c r="K955" t="s">
        <v>1737</v>
      </c>
      <c r="L955" t="s">
        <v>1738</v>
      </c>
      <c r="M955" t="s">
        <v>27</v>
      </c>
      <c r="N955" t="s">
        <v>108</v>
      </c>
      <c r="O955" t="str">
        <f>_xlfn.XLOOKUP(E955,[1]syr_populatedplaces!$L:$L,[1]syr_populatedplaces!$M:$M)</f>
        <v>C3281</v>
      </c>
      <c r="P955">
        <f>_xlfn.XLOOKUP(E955,[1]syr_populatedplaces!$L:$L,[1]syr_populatedplaces!$AD:$AD)</f>
        <v>35.249694820000002</v>
      </c>
      <c r="Q955">
        <f>_xlfn.XLOOKUP(E955,[1]syr_populatedplaces!$L:$L,[1]syr_populatedplaces!$AC:$AC)</f>
        <v>37.504272460000003</v>
      </c>
    </row>
    <row r="956" spans="2:17">
      <c r="B956" t="s">
        <v>1694</v>
      </c>
      <c r="C956" t="s">
        <v>263</v>
      </c>
      <c r="D956" t="s">
        <v>272</v>
      </c>
      <c r="E956" t="s">
        <v>1827</v>
      </c>
      <c r="F956" t="s">
        <v>1075</v>
      </c>
      <c r="G956" t="s">
        <v>1739</v>
      </c>
      <c r="H956" t="s">
        <v>1736</v>
      </c>
      <c r="I956">
        <v>1</v>
      </c>
      <c r="J956" t="s">
        <v>108</v>
      </c>
      <c r="K956" t="s">
        <v>1740</v>
      </c>
      <c r="L956" t="s">
        <v>1741</v>
      </c>
      <c r="M956" t="s">
        <v>27</v>
      </c>
      <c r="N956" t="s">
        <v>108</v>
      </c>
      <c r="O956" t="str">
        <f>_xlfn.XLOOKUP(E956,[1]syr_populatedplaces!$L:$L,[1]syr_populatedplaces!$M:$M)</f>
        <v>C3281</v>
      </c>
      <c r="P956">
        <f>_xlfn.XLOOKUP(E956,[1]syr_populatedplaces!$L:$L,[1]syr_populatedplaces!$AD:$AD)</f>
        <v>35.249694820000002</v>
      </c>
      <c r="Q956">
        <f>_xlfn.XLOOKUP(E956,[1]syr_populatedplaces!$L:$L,[1]syr_populatedplaces!$AC:$AC)</f>
        <v>37.504272460000003</v>
      </c>
    </row>
    <row r="957" spans="2:17" ht="15">
      <c r="B957" t="s">
        <v>1694</v>
      </c>
      <c r="C957" t="s">
        <v>263</v>
      </c>
      <c r="D957" t="s">
        <v>1695</v>
      </c>
      <c r="E957" t="s">
        <v>1764</v>
      </c>
      <c r="F957" t="s">
        <v>1075</v>
      </c>
      <c r="G957" t="s">
        <v>1735</v>
      </c>
      <c r="H957" t="s">
        <v>1765</v>
      </c>
      <c r="I957">
        <v>1</v>
      </c>
      <c r="J957" t="s">
        <v>108</v>
      </c>
      <c r="K957" t="s">
        <v>1766</v>
      </c>
      <c r="L957" t="s">
        <v>1767</v>
      </c>
      <c r="M957" t="s">
        <v>27</v>
      </c>
      <c r="N957" t="s">
        <v>108</v>
      </c>
      <c r="O957" t="e">
        <f>_xlfn.XLOOKUP(E957,[1]syr_populatedplaces!$L:$L,[1]syr_populatedplaces!$M:$M)</f>
        <v>#N/A</v>
      </c>
      <c r="P957" s="4" t="e">
        <f>_xlfn.XLOOKUP(الجدول1[[#This Row],[القرية– البلدة]],[1]syr_populatedplaces!$L:$L,[1]syr_populatedplaces!$AD:$AD)</f>
        <v>#N/A</v>
      </c>
      <c r="Q957" s="4" t="e">
        <f>_xlfn.XLOOKUP(الجدول1[[#This Row],[القرية– البلدة]],[1]syr_populatedplaces!$L:$L,[1]syr_populatedplaces!$AC:$AC)</f>
        <v>#N/A</v>
      </c>
    </row>
    <row r="958" spans="2:17">
      <c r="B958" t="s">
        <v>1074</v>
      </c>
      <c r="C958" t="s">
        <v>263</v>
      </c>
      <c r="D958" t="s">
        <v>282</v>
      </c>
      <c r="E958" t="s">
        <v>282</v>
      </c>
      <c r="F958" t="s">
        <v>1075</v>
      </c>
      <c r="G958" t="s">
        <v>1148</v>
      </c>
      <c r="H958" t="s">
        <v>840</v>
      </c>
      <c r="I958">
        <v>1</v>
      </c>
      <c r="J958" t="s">
        <v>108</v>
      </c>
      <c r="K958" t="s">
        <v>1149</v>
      </c>
      <c r="L958" t="s">
        <v>1150</v>
      </c>
      <c r="M958" t="s">
        <v>1151</v>
      </c>
      <c r="N958" t="s">
        <v>108</v>
      </c>
      <c r="O958" t="str">
        <f>_xlfn.XLOOKUP(E958,[1]syr_populatedplaces!$L:$L,[1]syr_populatedplaces!$M:$M)</f>
        <v>C3114</v>
      </c>
      <c r="P958">
        <f>_xlfn.XLOOKUP(E958,[1]syr_populatedplaces!$L:$L,[1]syr_populatedplaces!$AD:$AD)</f>
        <v>35.361877440000001</v>
      </c>
      <c r="Q958">
        <f>_xlfn.XLOOKUP(E958,[1]syr_populatedplaces!$L:$L,[1]syr_populatedplaces!$AC:$AC)</f>
        <v>36.393920899999998</v>
      </c>
    </row>
    <row r="959" spans="2:17">
      <c r="B959" t="s">
        <v>1074</v>
      </c>
      <c r="C959" t="s">
        <v>263</v>
      </c>
      <c r="D959" t="s">
        <v>1152</v>
      </c>
      <c r="E959" t="s">
        <v>263</v>
      </c>
      <c r="F959" t="s">
        <v>1075</v>
      </c>
      <c r="G959" t="s">
        <v>496</v>
      </c>
      <c r="H959" t="s">
        <v>1153</v>
      </c>
      <c r="I959">
        <v>1</v>
      </c>
      <c r="J959" t="s">
        <v>99</v>
      </c>
      <c r="K959" t="s">
        <v>815</v>
      </c>
      <c r="L959" t="s">
        <v>1154</v>
      </c>
      <c r="M959" t="s">
        <v>27</v>
      </c>
      <c r="N959" t="s">
        <v>99</v>
      </c>
      <c r="O959" t="str">
        <f>_xlfn.XLOOKUP(E959,[1]syr_populatedplaces!$L:$L,[1]syr_populatedplaces!$M:$M)</f>
        <v>C2987</v>
      </c>
      <c r="P959">
        <f>_xlfn.XLOOKUP(E959,[1]syr_populatedplaces!$L:$L,[1]syr_populatedplaces!$AD:$AD)</f>
        <v>35.13372803</v>
      </c>
      <c r="Q959">
        <f>_xlfn.XLOOKUP(E959,[1]syr_populatedplaces!$L:$L,[1]syr_populatedplaces!$AC:$AC)</f>
        <v>36.761291499999999</v>
      </c>
    </row>
    <row r="960" spans="2:17">
      <c r="B960" t="s">
        <v>1215</v>
      </c>
      <c r="C960" t="s">
        <v>263</v>
      </c>
      <c r="D960" t="s">
        <v>755</v>
      </c>
      <c r="E960" t="s">
        <v>1828</v>
      </c>
      <c r="F960" t="s">
        <v>1216</v>
      </c>
      <c r="G960" t="s">
        <v>1145</v>
      </c>
      <c r="H960" t="s">
        <v>260</v>
      </c>
      <c r="I960">
        <v>2</v>
      </c>
      <c r="J960" t="s">
        <v>108</v>
      </c>
      <c r="K960" t="s">
        <v>1223</v>
      </c>
      <c r="L960" t="s">
        <v>1266</v>
      </c>
      <c r="M960" t="s">
        <v>1267</v>
      </c>
      <c r="N960" t="s">
        <v>387</v>
      </c>
      <c r="O960" t="str">
        <f>_xlfn.XLOOKUP(E960,[1]syr_populatedplaces!$L:$L,[1]syr_populatedplaces!$M:$M)</f>
        <v>C3180</v>
      </c>
      <c r="P960">
        <f>_xlfn.XLOOKUP(E960,[1]syr_populatedplaces!$L:$L,[1]syr_populatedplaces!$AD:$AD)</f>
        <v>35.498291020000003</v>
      </c>
      <c r="Q960">
        <f>_xlfn.XLOOKUP(E960,[1]syr_populatedplaces!$L:$L,[1]syr_populatedplaces!$AC:$AC)</f>
        <v>36.243896479999997</v>
      </c>
    </row>
    <row r="961" spans="2:17">
      <c r="B961" t="s">
        <v>1215</v>
      </c>
      <c r="C961" t="s">
        <v>263</v>
      </c>
      <c r="D961" t="s">
        <v>282</v>
      </c>
      <c r="E961" t="s">
        <v>282</v>
      </c>
      <c r="F961" t="s">
        <v>1216</v>
      </c>
      <c r="G961" t="s">
        <v>243</v>
      </c>
      <c r="H961" t="s">
        <v>814</v>
      </c>
      <c r="I961">
        <v>2</v>
      </c>
      <c r="J961" t="s">
        <v>108</v>
      </c>
      <c r="K961" t="s">
        <v>815</v>
      </c>
      <c r="L961" t="s">
        <v>1268</v>
      </c>
      <c r="M961" t="s">
        <v>1269</v>
      </c>
      <c r="N961" t="s">
        <v>387</v>
      </c>
      <c r="O961" t="str">
        <f>_xlfn.XLOOKUP(E961,[1]syr_populatedplaces!$L:$L,[1]syr_populatedplaces!$M:$M)</f>
        <v>C3114</v>
      </c>
      <c r="P961">
        <f>_xlfn.XLOOKUP(E961,[1]syr_populatedplaces!$L:$L,[1]syr_populatedplaces!$AD:$AD)</f>
        <v>35.361877440000001</v>
      </c>
      <c r="Q961">
        <f>_xlfn.XLOOKUP(E961,[1]syr_populatedplaces!$L:$L,[1]syr_populatedplaces!$AC:$AC)</f>
        <v>36.393920899999998</v>
      </c>
    </row>
    <row r="962" spans="2:17">
      <c r="B962" t="s">
        <v>1215</v>
      </c>
      <c r="C962" t="s">
        <v>263</v>
      </c>
      <c r="D962" t="s">
        <v>1283</v>
      </c>
      <c r="E962" t="s">
        <v>263</v>
      </c>
      <c r="F962" t="s">
        <v>1216</v>
      </c>
      <c r="G962" t="s">
        <v>1284</v>
      </c>
      <c r="H962" t="s">
        <v>1285</v>
      </c>
      <c r="I962">
        <v>1</v>
      </c>
      <c r="J962" t="s">
        <v>99</v>
      </c>
      <c r="K962" t="s">
        <v>1286</v>
      </c>
      <c r="L962" t="s">
        <v>1287</v>
      </c>
      <c r="M962" t="s">
        <v>1288</v>
      </c>
      <c r="N962" t="s">
        <v>99</v>
      </c>
      <c r="O962" t="str">
        <f>_xlfn.XLOOKUP(E962,[1]syr_populatedplaces!$L:$L,[1]syr_populatedplaces!$M:$M)</f>
        <v>C2987</v>
      </c>
      <c r="P962">
        <f>_xlfn.XLOOKUP(E962,[1]syr_populatedplaces!$L:$L,[1]syr_populatedplaces!$AD:$AD)</f>
        <v>35.13372803</v>
      </c>
      <c r="Q962">
        <f>_xlfn.XLOOKUP(E962,[1]syr_populatedplaces!$L:$L,[1]syr_populatedplaces!$AC:$AC)</f>
        <v>36.761291499999999</v>
      </c>
    </row>
    <row r="963" spans="2:17" ht="15">
      <c r="B963" t="s">
        <v>1694</v>
      </c>
      <c r="C963" t="s">
        <v>263</v>
      </c>
      <c r="D963" t="s">
        <v>1695</v>
      </c>
      <c r="E963" t="s">
        <v>1829</v>
      </c>
      <c r="F963" t="s">
        <v>1075</v>
      </c>
      <c r="G963" t="s">
        <v>1735</v>
      </c>
      <c r="H963" t="s">
        <v>1765</v>
      </c>
      <c r="I963">
        <v>1</v>
      </c>
      <c r="J963" t="s">
        <v>108</v>
      </c>
      <c r="K963" t="s">
        <v>1766</v>
      </c>
      <c r="L963" t="s">
        <v>1767</v>
      </c>
      <c r="M963" t="s">
        <v>27</v>
      </c>
      <c r="N963" t="s">
        <v>108</v>
      </c>
      <c r="O963" t="e">
        <f>_xlfn.XLOOKUP(E963,[1]syr_populatedplaces!$L:$L,[1]syr_populatedplaces!$M:$M)</f>
        <v>#N/A</v>
      </c>
      <c r="P963" t="e">
        <f>_xlfn.XLOOKUP(E963,[1]syr_populatedplaces!$L:$L,[1]syr_populatedplaces!$AD:$AD)</f>
        <v>#N/A</v>
      </c>
      <c r="Q963" s="4" t="e">
        <f>_xlfn.XLOOKUP(الجدول1[[#This Row],[القرية– البلدة]],[1]syr_populatedplaces!$L:$L,[1]syr_populatedplaces!$AC:$AC)</f>
        <v>#N/A</v>
      </c>
    </row>
    <row r="964" spans="2:17">
      <c r="B964" t="s">
        <v>17</v>
      </c>
      <c r="C964" t="s">
        <v>312</v>
      </c>
      <c r="D964" t="s">
        <v>128</v>
      </c>
      <c r="E964" t="s">
        <v>531</v>
      </c>
      <c r="F964" t="s">
        <v>96</v>
      </c>
      <c r="G964" t="s">
        <v>313</v>
      </c>
      <c r="H964" t="s">
        <v>124</v>
      </c>
      <c r="I964">
        <v>1</v>
      </c>
      <c r="J964" t="s">
        <v>99</v>
      </c>
      <c r="K964" t="s">
        <v>314</v>
      </c>
      <c r="L964" t="s">
        <v>214</v>
      </c>
      <c r="M964" t="s">
        <v>27</v>
      </c>
      <c r="N964" t="s">
        <v>99</v>
      </c>
      <c r="O964" t="s">
        <v>315</v>
      </c>
      <c r="P964">
        <v>34.71368408</v>
      </c>
      <c r="Q964">
        <v>36.253112790000003</v>
      </c>
    </row>
    <row r="965" spans="2:17">
      <c r="B965" t="s">
        <v>17</v>
      </c>
      <c r="C965" t="s">
        <v>312</v>
      </c>
      <c r="D965" t="s">
        <v>128</v>
      </c>
      <c r="E965" t="s">
        <v>533</v>
      </c>
      <c r="F965" t="s">
        <v>96</v>
      </c>
      <c r="G965" t="s">
        <v>313</v>
      </c>
      <c r="H965" t="s">
        <v>124</v>
      </c>
      <c r="I965">
        <v>1</v>
      </c>
      <c r="J965" t="s">
        <v>99</v>
      </c>
      <c r="K965" t="s">
        <v>314</v>
      </c>
      <c r="L965" t="s">
        <v>214</v>
      </c>
      <c r="M965" t="s">
        <v>27</v>
      </c>
      <c r="N965" t="s">
        <v>99</v>
      </c>
      <c r="O965" t="s">
        <v>316</v>
      </c>
      <c r="P965">
        <v>34.730102539999997</v>
      </c>
      <c r="Q965">
        <v>36.719726559999998</v>
      </c>
    </row>
    <row r="966" spans="2:17">
      <c r="B966" t="s">
        <v>17</v>
      </c>
      <c r="C966" t="s">
        <v>312</v>
      </c>
      <c r="D966" t="s">
        <v>128</v>
      </c>
      <c r="E966" t="s">
        <v>535</v>
      </c>
      <c r="F966" t="s">
        <v>96</v>
      </c>
      <c r="G966" t="s">
        <v>313</v>
      </c>
      <c r="H966" t="s">
        <v>124</v>
      </c>
      <c r="I966">
        <v>1</v>
      </c>
      <c r="J966" t="s">
        <v>99</v>
      </c>
      <c r="K966" t="s">
        <v>314</v>
      </c>
      <c r="L966" t="s">
        <v>214</v>
      </c>
      <c r="M966" t="s">
        <v>27</v>
      </c>
      <c r="N966" t="s">
        <v>99</v>
      </c>
      <c r="O966" t="s">
        <v>247</v>
      </c>
      <c r="P966">
        <v>34.88671875</v>
      </c>
      <c r="Q966">
        <v>35.893493650000003</v>
      </c>
    </row>
    <row r="967" spans="2:17">
      <c r="B967" t="s">
        <v>17</v>
      </c>
      <c r="C967" t="s">
        <v>312</v>
      </c>
      <c r="D967" t="s">
        <v>128</v>
      </c>
      <c r="E967" t="s">
        <v>536</v>
      </c>
      <c r="F967" t="s">
        <v>96</v>
      </c>
      <c r="G967" t="s">
        <v>313</v>
      </c>
      <c r="H967" t="s">
        <v>124</v>
      </c>
      <c r="I967">
        <v>1</v>
      </c>
      <c r="J967" t="s">
        <v>99</v>
      </c>
      <c r="K967" t="s">
        <v>314</v>
      </c>
      <c r="L967" t="s">
        <v>214</v>
      </c>
      <c r="M967" t="s">
        <v>27</v>
      </c>
      <c r="N967" t="s">
        <v>99</v>
      </c>
      <c r="O967" t="str">
        <f>_xlfn.XLOOKUP(E967,[1]syr_populatedplaces!$L:$L,[1]syr_populatedplaces!$M:$M)</f>
        <v>C3197</v>
      </c>
      <c r="P967">
        <f>_xlfn.XLOOKUP(E967,[1]syr_populatedplaces!$L:$L,[1]syr_populatedplaces!$AD:$AD)</f>
        <v>35.445495610000002</v>
      </c>
      <c r="Q967">
        <f>_xlfn.XLOOKUP(E967,[1]syr_populatedplaces!$L:$L,[1]syr_populatedplaces!$AC:$AC)</f>
        <v>36.456481930000002</v>
      </c>
    </row>
    <row r="968" spans="2:17">
      <c r="B968" t="s">
        <v>17</v>
      </c>
      <c r="C968" t="s">
        <v>312</v>
      </c>
      <c r="D968" t="s">
        <v>128</v>
      </c>
      <c r="E968" t="s">
        <v>306</v>
      </c>
      <c r="F968" t="s">
        <v>96</v>
      </c>
      <c r="G968" t="s">
        <v>313</v>
      </c>
      <c r="H968" t="s">
        <v>124</v>
      </c>
      <c r="I968">
        <v>1</v>
      </c>
      <c r="J968" t="s">
        <v>99</v>
      </c>
      <c r="K968" t="s">
        <v>314</v>
      </c>
      <c r="L968" t="s">
        <v>214</v>
      </c>
      <c r="M968" t="s">
        <v>27</v>
      </c>
      <c r="N968" t="s">
        <v>99</v>
      </c>
      <c r="O968" t="s">
        <v>317</v>
      </c>
      <c r="P968">
        <v>36.976928710000003</v>
      </c>
      <c r="Q968">
        <v>42.246704100000002</v>
      </c>
    </row>
    <row r="969" spans="2:17">
      <c r="B969" t="s">
        <v>17</v>
      </c>
      <c r="C969" t="s">
        <v>312</v>
      </c>
      <c r="D969" t="s">
        <v>128</v>
      </c>
      <c r="E969" t="s">
        <v>538</v>
      </c>
      <c r="F969" t="s">
        <v>96</v>
      </c>
      <c r="G969" t="s">
        <v>313</v>
      </c>
      <c r="H969" t="s">
        <v>124</v>
      </c>
      <c r="I969">
        <v>1</v>
      </c>
      <c r="J969" t="s">
        <v>99</v>
      </c>
      <c r="K969" t="s">
        <v>314</v>
      </c>
      <c r="L969" t="s">
        <v>214</v>
      </c>
      <c r="M969" t="s">
        <v>27</v>
      </c>
      <c r="N969" t="s">
        <v>99</v>
      </c>
      <c r="O969" t="str">
        <f>_xlfn.XLOOKUP(E969,[1]syr_populatedplaces!$L:$L,[1]syr_populatedplaces!$M:$M)</f>
        <v>C3367</v>
      </c>
      <c r="P969">
        <f>_xlfn.XLOOKUP(E969,[1]syr_populatedplaces!$L:$L,[1]syr_populatedplaces!$AD:$AD)</f>
        <v>35.066284179999997</v>
      </c>
      <c r="Q969">
        <f>_xlfn.XLOOKUP(E969,[1]syr_populatedplaces!$L:$L,[1]syr_populatedplaces!$AC:$AC)</f>
        <v>36.342102050000001</v>
      </c>
    </row>
    <row r="970" spans="2:17">
      <c r="B970" t="s">
        <v>17</v>
      </c>
      <c r="C970" t="s">
        <v>312</v>
      </c>
      <c r="D970" t="s">
        <v>128</v>
      </c>
      <c r="E970" t="s">
        <v>541</v>
      </c>
      <c r="F970" t="s">
        <v>96</v>
      </c>
      <c r="G970" t="s">
        <v>318</v>
      </c>
      <c r="H970" t="s">
        <v>319</v>
      </c>
      <c r="I970">
        <v>1</v>
      </c>
      <c r="J970" t="s">
        <v>108</v>
      </c>
      <c r="K970" t="s">
        <v>320</v>
      </c>
      <c r="L970" t="s">
        <v>321</v>
      </c>
      <c r="M970" t="s">
        <v>27</v>
      </c>
      <c r="N970" t="s">
        <v>108</v>
      </c>
      <c r="O970" t="s">
        <v>322</v>
      </c>
      <c r="P970">
        <v>34.8770752</v>
      </c>
      <c r="Q970">
        <v>36.468078609999999</v>
      </c>
    </row>
    <row r="971" spans="2:17">
      <c r="B971" t="s">
        <v>17</v>
      </c>
      <c r="C971" t="s">
        <v>312</v>
      </c>
      <c r="D971" t="s">
        <v>128</v>
      </c>
      <c r="E971" t="s">
        <v>733</v>
      </c>
      <c r="F971" t="s">
        <v>96</v>
      </c>
      <c r="G971" t="s">
        <v>318</v>
      </c>
      <c r="H971" t="s">
        <v>319</v>
      </c>
      <c r="I971">
        <v>1</v>
      </c>
      <c r="J971" t="s">
        <v>108</v>
      </c>
      <c r="K971" t="s">
        <v>320</v>
      </c>
      <c r="L971" t="s">
        <v>321</v>
      </c>
      <c r="M971" t="s">
        <v>27</v>
      </c>
      <c r="N971" t="s">
        <v>108</v>
      </c>
      <c r="O971" t="s">
        <v>323</v>
      </c>
      <c r="P971">
        <v>34.842712400000003</v>
      </c>
      <c r="Q971">
        <v>36.726684570000003</v>
      </c>
    </row>
    <row r="972" spans="2:17">
      <c r="B972" t="s">
        <v>17</v>
      </c>
      <c r="C972" t="s">
        <v>312</v>
      </c>
      <c r="D972" t="s">
        <v>128</v>
      </c>
      <c r="E972" t="s">
        <v>538</v>
      </c>
      <c r="F972" t="s">
        <v>96</v>
      </c>
      <c r="G972" t="s">
        <v>318</v>
      </c>
      <c r="H972" t="s">
        <v>319</v>
      </c>
      <c r="I972">
        <v>1</v>
      </c>
      <c r="J972" t="s">
        <v>108</v>
      </c>
      <c r="K972" t="s">
        <v>320</v>
      </c>
      <c r="L972" t="s">
        <v>321</v>
      </c>
      <c r="M972" t="s">
        <v>27</v>
      </c>
      <c r="N972" t="s">
        <v>108</v>
      </c>
      <c r="O972" t="s">
        <v>324</v>
      </c>
      <c r="P972">
        <v>34.73828125</v>
      </c>
      <c r="Q972">
        <v>36.666076660000002</v>
      </c>
    </row>
    <row r="973" spans="2:17">
      <c r="B973" t="s">
        <v>381</v>
      </c>
      <c r="C973" t="s">
        <v>312</v>
      </c>
      <c r="D973" t="s">
        <v>383</v>
      </c>
      <c r="E973" t="s">
        <v>1827</v>
      </c>
      <c r="F973" t="s">
        <v>96</v>
      </c>
      <c r="G973" t="s">
        <v>385</v>
      </c>
      <c r="H973" t="s">
        <v>386</v>
      </c>
      <c r="I973">
        <v>1</v>
      </c>
      <c r="J973" t="s">
        <v>387</v>
      </c>
      <c r="K973" t="s">
        <v>388</v>
      </c>
      <c r="L973" t="s">
        <v>389</v>
      </c>
      <c r="M973" t="s">
        <v>390</v>
      </c>
      <c r="N973" t="s">
        <v>387</v>
      </c>
      <c r="O973" t="str">
        <f>_xlfn.XLOOKUP(E973,[1]syr_populatedplaces!$L:$L,[1]syr_populatedplaces!$M:$M)</f>
        <v>C3281</v>
      </c>
      <c r="P973">
        <f>_xlfn.XLOOKUP(E973,[1]syr_populatedplaces!$L:$L,[1]syr_populatedplaces!$AD:$AD)</f>
        <v>35.249694820000002</v>
      </c>
      <c r="Q973">
        <f>_xlfn.XLOOKUP(E973,[1]syr_populatedplaces!$L:$L,[1]syr_populatedplaces!$AC:$AC)</f>
        <v>37.504272460000003</v>
      </c>
    </row>
    <row r="974" spans="2:17">
      <c r="B974" t="s">
        <v>381</v>
      </c>
      <c r="C974" t="s">
        <v>312</v>
      </c>
      <c r="D974" t="s">
        <v>289</v>
      </c>
      <c r="E974" t="s">
        <v>289</v>
      </c>
      <c r="F974" t="s">
        <v>96</v>
      </c>
      <c r="G974" t="s">
        <v>551</v>
      </c>
      <c r="H974" t="s">
        <v>124</v>
      </c>
      <c r="I974">
        <v>1</v>
      </c>
      <c r="J974" t="s">
        <v>99</v>
      </c>
      <c r="K974" t="s">
        <v>552</v>
      </c>
      <c r="L974" t="s">
        <v>550</v>
      </c>
      <c r="M974" t="s">
        <v>27</v>
      </c>
      <c r="N974" t="s">
        <v>99</v>
      </c>
      <c r="O974" t="s">
        <v>290</v>
      </c>
      <c r="P974">
        <v>34.664123539999999</v>
      </c>
      <c r="Q974">
        <v>36.0255127</v>
      </c>
    </row>
    <row r="975" spans="2:17">
      <c r="B975" t="s">
        <v>381</v>
      </c>
      <c r="C975" t="s">
        <v>312</v>
      </c>
      <c r="D975" t="s">
        <v>383</v>
      </c>
      <c r="E975" t="s">
        <v>384</v>
      </c>
      <c r="F975" t="s">
        <v>96</v>
      </c>
      <c r="G975" t="s">
        <v>385</v>
      </c>
      <c r="H975" t="s">
        <v>411</v>
      </c>
      <c r="I975">
        <v>1</v>
      </c>
      <c r="J975" t="s">
        <v>387</v>
      </c>
      <c r="K975" t="s">
        <v>553</v>
      </c>
      <c r="L975" t="s">
        <v>554</v>
      </c>
      <c r="M975" t="s">
        <v>390</v>
      </c>
      <c r="N975" t="s">
        <v>387</v>
      </c>
      <c r="O975" t="str">
        <f>_xlfn.XLOOKUP(E975,[1]syr_populatedplaces!$L:$L,[1]syr_populatedplaces!$M:$M)</f>
        <v>C2798</v>
      </c>
      <c r="P975">
        <f>_xlfn.XLOOKUP(E975,[1]syr_populatedplaces!$L:$L,[1]syr_populatedplaces!$AD:$AD)</f>
        <v>34.692871089999997</v>
      </c>
      <c r="Q975">
        <f>_xlfn.XLOOKUP(E975,[1]syr_populatedplaces!$L:$L,[1]syr_populatedplaces!$AC:$AC)</f>
        <v>36.366088869999999</v>
      </c>
    </row>
    <row r="976" spans="2:17">
      <c r="B976" t="s">
        <v>381</v>
      </c>
      <c r="C976" t="s">
        <v>312</v>
      </c>
      <c r="D976" t="s">
        <v>128</v>
      </c>
      <c r="E976" t="s">
        <v>555</v>
      </c>
      <c r="F976" t="s">
        <v>96</v>
      </c>
      <c r="G976" t="s">
        <v>556</v>
      </c>
      <c r="H976" t="s">
        <v>557</v>
      </c>
      <c r="I976">
        <v>1</v>
      </c>
      <c r="J976" t="s">
        <v>24</v>
      </c>
      <c r="K976" t="s">
        <v>558</v>
      </c>
      <c r="L976" t="s">
        <v>544</v>
      </c>
      <c r="M976" t="s">
        <v>27</v>
      </c>
      <c r="N976" t="s">
        <v>108</v>
      </c>
      <c r="O976" t="s">
        <v>559</v>
      </c>
      <c r="P976">
        <v>34.730285649999999</v>
      </c>
      <c r="Q976">
        <v>36.63787842</v>
      </c>
    </row>
    <row r="977" spans="2:17">
      <c r="B977" t="s">
        <v>381</v>
      </c>
      <c r="C977" t="s">
        <v>312</v>
      </c>
      <c r="D977" t="s">
        <v>128</v>
      </c>
      <c r="E977" t="s">
        <v>560</v>
      </c>
      <c r="F977" t="s">
        <v>96</v>
      </c>
      <c r="G977" t="s">
        <v>556</v>
      </c>
      <c r="H977" t="s">
        <v>557</v>
      </c>
      <c r="I977">
        <v>1</v>
      </c>
      <c r="J977" t="s">
        <v>24</v>
      </c>
      <c r="K977" t="s">
        <v>558</v>
      </c>
      <c r="L977" t="s">
        <v>544</v>
      </c>
      <c r="M977" t="s">
        <v>27</v>
      </c>
      <c r="N977" t="s">
        <v>108</v>
      </c>
      <c r="O977" t="str">
        <f>_xlfn.XLOOKUP(E977,[1]syr_populatedplaces!$L:$L,[1]syr_populatedplaces!$M:$M)</f>
        <v>C2281</v>
      </c>
      <c r="P977">
        <f>_xlfn.XLOOKUP(E977,[1]syr_populatedplaces!$L:$L,[1]syr_populatedplaces!$AD:$AD)</f>
        <v>33.332519529999999</v>
      </c>
      <c r="Q977">
        <f>_xlfn.XLOOKUP(E977,[1]syr_populatedplaces!$L:$L,[1]syr_populatedplaces!$AC:$AC)</f>
        <v>36.203308110000002</v>
      </c>
    </row>
    <row r="978" spans="2:17">
      <c r="B978" t="s">
        <v>381</v>
      </c>
      <c r="C978" t="s">
        <v>312</v>
      </c>
      <c r="D978" t="s">
        <v>128</v>
      </c>
      <c r="E978" t="s">
        <v>561</v>
      </c>
      <c r="F978" t="s">
        <v>96</v>
      </c>
      <c r="G978" t="s">
        <v>556</v>
      </c>
      <c r="H978" t="s">
        <v>557</v>
      </c>
      <c r="I978">
        <v>1</v>
      </c>
      <c r="J978" t="s">
        <v>24</v>
      </c>
      <c r="K978" t="s">
        <v>558</v>
      </c>
      <c r="L978" t="s">
        <v>544</v>
      </c>
      <c r="M978" t="s">
        <v>27</v>
      </c>
      <c r="N978" t="s">
        <v>108</v>
      </c>
      <c r="O978" t="str">
        <f>_xlfn.XLOOKUP(E978,[1]syr_populatedplaces!$L:$L,[1]syr_populatedplaces!$M:$M)</f>
        <v>C2556</v>
      </c>
      <c r="P978">
        <f>_xlfn.XLOOKUP(E978,[1]syr_populatedplaces!$L:$L,[1]syr_populatedplaces!$AD:$AD)</f>
        <v>34.894103999999999</v>
      </c>
      <c r="Q978">
        <f>_xlfn.XLOOKUP(E978,[1]syr_populatedplaces!$L:$L,[1]syr_populatedplaces!$AC:$AC)</f>
        <v>36.496276860000002</v>
      </c>
    </row>
    <row r="979" spans="2:17">
      <c r="B979" t="s">
        <v>381</v>
      </c>
      <c r="C979" t="s">
        <v>312</v>
      </c>
      <c r="D979" t="s">
        <v>128</v>
      </c>
      <c r="E979" t="s">
        <v>564</v>
      </c>
      <c r="F979" t="s">
        <v>96</v>
      </c>
      <c r="G979" t="s">
        <v>565</v>
      </c>
      <c r="H979" t="s">
        <v>276</v>
      </c>
      <c r="I979">
        <v>1</v>
      </c>
      <c r="J979" t="s">
        <v>99</v>
      </c>
      <c r="K979" t="s">
        <v>496</v>
      </c>
      <c r="L979" t="s">
        <v>278</v>
      </c>
      <c r="M979" t="s">
        <v>27</v>
      </c>
      <c r="N979" t="s">
        <v>24</v>
      </c>
      <c r="O979" t="s">
        <v>566</v>
      </c>
      <c r="P979">
        <v>34.874694820000002</v>
      </c>
      <c r="Q979">
        <v>36.523925779999999</v>
      </c>
    </row>
    <row r="980" spans="2:17">
      <c r="B980" t="s">
        <v>381</v>
      </c>
      <c r="C980" t="s">
        <v>312</v>
      </c>
      <c r="D980" t="s">
        <v>128</v>
      </c>
      <c r="E980" t="s">
        <v>567</v>
      </c>
      <c r="F980" t="s">
        <v>96</v>
      </c>
      <c r="G980" t="s">
        <v>565</v>
      </c>
      <c r="H980" t="s">
        <v>276</v>
      </c>
      <c r="I980">
        <v>1</v>
      </c>
      <c r="J980" t="s">
        <v>99</v>
      </c>
      <c r="K980" t="s">
        <v>496</v>
      </c>
      <c r="L980" t="s">
        <v>278</v>
      </c>
      <c r="M980" t="s">
        <v>27</v>
      </c>
      <c r="N980" t="s">
        <v>24</v>
      </c>
      <c r="O980" t="s">
        <v>568</v>
      </c>
      <c r="P980">
        <v>34.924072270000003</v>
      </c>
      <c r="Q980">
        <v>36.731323240000002</v>
      </c>
    </row>
    <row r="981" spans="2:17">
      <c r="B981" t="s">
        <v>381</v>
      </c>
      <c r="C981" t="s">
        <v>312</v>
      </c>
      <c r="D981" t="s">
        <v>128</v>
      </c>
      <c r="E981" t="s">
        <v>569</v>
      </c>
      <c r="F981" t="s">
        <v>96</v>
      </c>
      <c r="G981" t="s">
        <v>565</v>
      </c>
      <c r="H981" t="s">
        <v>276</v>
      </c>
      <c r="I981">
        <v>1</v>
      </c>
      <c r="J981" t="s">
        <v>99</v>
      </c>
      <c r="K981" t="s">
        <v>496</v>
      </c>
      <c r="L981" t="s">
        <v>278</v>
      </c>
      <c r="M981" t="s">
        <v>27</v>
      </c>
      <c r="N981" t="s">
        <v>24</v>
      </c>
      <c r="O981" t="str">
        <f>_xlfn.XLOOKUP(E981,[1]syr_populatedplaces!$L:$L,[1]syr_populatedplaces!$M:$M)</f>
        <v>C2868</v>
      </c>
      <c r="P981">
        <f>_xlfn.XLOOKUP(E981,[1]syr_populatedplaces!$L:$L,[1]syr_populatedplaces!$AD:$AD)</f>
        <v>34.897888180000002</v>
      </c>
      <c r="Q981">
        <f>_xlfn.XLOOKUP(E981,[1]syr_populatedplaces!$L:$L,[1]syr_populatedplaces!$AC:$AC)</f>
        <v>36.681091309999999</v>
      </c>
    </row>
    <row r="982" spans="2:17">
      <c r="B982" t="s">
        <v>381</v>
      </c>
      <c r="C982" t="s">
        <v>312</v>
      </c>
      <c r="D982" t="s">
        <v>128</v>
      </c>
      <c r="E982" t="s">
        <v>570</v>
      </c>
      <c r="F982" t="s">
        <v>96</v>
      </c>
      <c r="G982" t="s">
        <v>565</v>
      </c>
      <c r="H982" t="s">
        <v>276</v>
      </c>
      <c r="I982">
        <v>1</v>
      </c>
      <c r="J982" t="s">
        <v>99</v>
      </c>
      <c r="K982" t="s">
        <v>496</v>
      </c>
      <c r="L982" t="s">
        <v>278</v>
      </c>
      <c r="M982" t="s">
        <v>27</v>
      </c>
      <c r="N982" t="s">
        <v>24</v>
      </c>
      <c r="O982" t="s">
        <v>571</v>
      </c>
      <c r="P982">
        <v>34.813293459999997</v>
      </c>
      <c r="Q982">
        <v>36.478088380000003</v>
      </c>
    </row>
    <row r="983" spans="2:17">
      <c r="B983" t="s">
        <v>381</v>
      </c>
      <c r="C983" t="s">
        <v>312</v>
      </c>
      <c r="D983" t="s">
        <v>128</v>
      </c>
      <c r="E983" t="s">
        <v>459</v>
      </c>
      <c r="F983" t="s">
        <v>96</v>
      </c>
      <c r="G983" t="s">
        <v>565</v>
      </c>
      <c r="H983" t="s">
        <v>276</v>
      </c>
      <c r="I983">
        <v>1</v>
      </c>
      <c r="J983" t="s">
        <v>99</v>
      </c>
      <c r="K983" t="s">
        <v>496</v>
      </c>
      <c r="L983" t="s">
        <v>278</v>
      </c>
      <c r="M983" t="s">
        <v>27</v>
      </c>
      <c r="N983" t="s">
        <v>24</v>
      </c>
      <c r="O983" t="str">
        <f>_xlfn.XLOOKUP(E983,[1]syr_populatedplaces!$L:$L,[1]syr_populatedplaces!$M:$M)</f>
        <v>C2733</v>
      </c>
      <c r="P983">
        <f>_xlfn.XLOOKUP(E983,[1]syr_populatedplaces!$L:$L,[1]syr_populatedplaces!$AD:$AD)</f>
        <v>34.509704589999998</v>
      </c>
      <c r="Q983">
        <f>_xlfn.XLOOKUP(E983,[1]syr_populatedplaces!$L:$L,[1]syr_populatedplaces!$AC:$AC)</f>
        <v>36.579895020000002</v>
      </c>
    </row>
    <row r="984" spans="2:17">
      <c r="B984" t="s">
        <v>381</v>
      </c>
      <c r="C984" t="s">
        <v>312</v>
      </c>
      <c r="D984" t="s">
        <v>128</v>
      </c>
      <c r="E984" t="s">
        <v>573</v>
      </c>
      <c r="F984" t="s">
        <v>96</v>
      </c>
      <c r="G984" t="s">
        <v>565</v>
      </c>
      <c r="H984" t="s">
        <v>276</v>
      </c>
      <c r="I984">
        <v>1</v>
      </c>
      <c r="J984" t="s">
        <v>99</v>
      </c>
      <c r="K984" t="s">
        <v>496</v>
      </c>
      <c r="L984" t="s">
        <v>278</v>
      </c>
      <c r="M984" t="s">
        <v>27</v>
      </c>
      <c r="N984" t="s">
        <v>24</v>
      </c>
      <c r="O984" t="s">
        <v>574</v>
      </c>
      <c r="P984">
        <v>34.694274900000003</v>
      </c>
      <c r="Q984">
        <v>36.63647461</v>
      </c>
    </row>
    <row r="985" spans="2:17">
      <c r="B985" t="s">
        <v>381</v>
      </c>
      <c r="C985" t="s">
        <v>312</v>
      </c>
      <c r="D985" t="s">
        <v>128</v>
      </c>
      <c r="E985" t="s">
        <v>575</v>
      </c>
      <c r="F985" t="s">
        <v>96</v>
      </c>
      <c r="G985" t="s">
        <v>518</v>
      </c>
      <c r="H985" t="s">
        <v>124</v>
      </c>
      <c r="I985">
        <v>1</v>
      </c>
      <c r="J985" t="s">
        <v>99</v>
      </c>
      <c r="K985" t="s">
        <v>444</v>
      </c>
      <c r="L985" t="s">
        <v>576</v>
      </c>
      <c r="M985" t="s">
        <v>27</v>
      </c>
      <c r="N985" t="s">
        <v>99</v>
      </c>
      <c r="O985" t="str">
        <f>_xlfn.XLOOKUP(E985,[1]syr_populatedplaces!$L:$L,[1]syr_populatedplaces!$M:$M)</f>
        <v>C8461</v>
      </c>
      <c r="P985">
        <f>_xlfn.XLOOKUP(E985,[1]syr_populatedplaces!$L:$L,[1]syr_populatedplaces!$AD:$AD)</f>
        <v>36.867492679999998</v>
      </c>
      <c r="Q985">
        <f>_xlfn.XLOOKUP(E985,[1]syr_populatedplaces!$L:$L,[1]syr_populatedplaces!$AC:$AC)</f>
        <v>41.152282720000002</v>
      </c>
    </row>
    <row r="986" spans="2:17">
      <c r="B986" t="s">
        <v>381</v>
      </c>
      <c r="C986" t="s">
        <v>312</v>
      </c>
      <c r="D986" t="s">
        <v>128</v>
      </c>
      <c r="E986" t="s">
        <v>564</v>
      </c>
      <c r="F986" t="s">
        <v>96</v>
      </c>
      <c r="G986" t="s">
        <v>518</v>
      </c>
      <c r="H986" t="s">
        <v>124</v>
      </c>
      <c r="I986">
        <v>1</v>
      </c>
      <c r="J986" t="s">
        <v>99</v>
      </c>
      <c r="K986" t="s">
        <v>444</v>
      </c>
      <c r="L986" t="s">
        <v>576</v>
      </c>
      <c r="M986" t="s">
        <v>27</v>
      </c>
      <c r="N986" t="s">
        <v>99</v>
      </c>
      <c r="O986" t="s">
        <v>566</v>
      </c>
      <c r="P986">
        <v>34.874694820000002</v>
      </c>
      <c r="Q986">
        <v>36.523925779999999</v>
      </c>
    </row>
    <row r="987" spans="2:17">
      <c r="B987" t="s">
        <v>381</v>
      </c>
      <c r="C987" t="s">
        <v>312</v>
      </c>
      <c r="D987" t="s">
        <v>128</v>
      </c>
      <c r="E987" t="s">
        <v>459</v>
      </c>
      <c r="F987" t="s">
        <v>96</v>
      </c>
      <c r="G987" t="s">
        <v>518</v>
      </c>
      <c r="H987" t="s">
        <v>124</v>
      </c>
      <c r="I987">
        <v>1</v>
      </c>
      <c r="J987" t="s">
        <v>99</v>
      </c>
      <c r="K987" t="s">
        <v>444</v>
      </c>
      <c r="L987" t="s">
        <v>576</v>
      </c>
      <c r="M987" t="s">
        <v>27</v>
      </c>
      <c r="N987" t="s">
        <v>99</v>
      </c>
      <c r="O987" t="str">
        <f>_xlfn.XLOOKUP(E987,[1]syr_populatedplaces!$L:$L,[1]syr_populatedplaces!$M:$M)</f>
        <v>C2733</v>
      </c>
      <c r="P987">
        <f>_xlfn.XLOOKUP(E987,[1]syr_populatedplaces!$L:$L,[1]syr_populatedplaces!$AD:$AD)</f>
        <v>34.509704589999998</v>
      </c>
      <c r="Q987">
        <f>_xlfn.XLOOKUP(E987,[1]syr_populatedplaces!$L:$L,[1]syr_populatedplaces!$AC:$AC)</f>
        <v>36.579895020000002</v>
      </c>
    </row>
    <row r="988" spans="2:17">
      <c r="B988" t="s">
        <v>614</v>
      </c>
      <c r="C988" t="s">
        <v>312</v>
      </c>
      <c r="D988" t="s">
        <v>128</v>
      </c>
      <c r="E988" t="s">
        <v>776</v>
      </c>
      <c r="F988" t="s">
        <v>346</v>
      </c>
      <c r="G988" t="s">
        <v>777</v>
      </c>
      <c r="H988" t="s">
        <v>124</v>
      </c>
      <c r="I988">
        <v>1</v>
      </c>
      <c r="J988" t="s">
        <v>24</v>
      </c>
      <c r="K988" t="s">
        <v>778</v>
      </c>
      <c r="L988" t="s">
        <v>214</v>
      </c>
      <c r="M988" t="s">
        <v>27</v>
      </c>
      <c r="N988" t="s">
        <v>24</v>
      </c>
      <c r="O988" t="s">
        <v>779</v>
      </c>
      <c r="P988">
        <v>34.841308589999997</v>
      </c>
      <c r="Q988">
        <v>36.927917479999998</v>
      </c>
    </row>
    <row r="989" spans="2:17">
      <c r="B989" t="s">
        <v>614</v>
      </c>
      <c r="C989" t="s">
        <v>312</v>
      </c>
      <c r="D989" t="s">
        <v>128</v>
      </c>
      <c r="E989" t="s">
        <v>272</v>
      </c>
      <c r="F989" t="s">
        <v>346</v>
      </c>
      <c r="G989" t="s">
        <v>777</v>
      </c>
      <c r="H989" t="s">
        <v>124</v>
      </c>
      <c r="I989">
        <v>1</v>
      </c>
      <c r="J989" t="s">
        <v>24</v>
      </c>
      <c r="K989" t="s">
        <v>778</v>
      </c>
      <c r="L989" t="s">
        <v>214</v>
      </c>
      <c r="M989" t="s">
        <v>27</v>
      </c>
      <c r="N989" t="s">
        <v>24</v>
      </c>
      <c r="O989" t="s">
        <v>273</v>
      </c>
      <c r="P989">
        <v>35.011291499999999</v>
      </c>
      <c r="Q989">
        <v>37.051086429999998</v>
      </c>
    </row>
    <row r="990" spans="2:17">
      <c r="B990" t="s">
        <v>614</v>
      </c>
      <c r="C990" t="s">
        <v>312</v>
      </c>
      <c r="D990" t="s">
        <v>128</v>
      </c>
      <c r="E990" t="s">
        <v>355</v>
      </c>
      <c r="F990" t="s">
        <v>346</v>
      </c>
      <c r="G990" t="s">
        <v>777</v>
      </c>
      <c r="H990" t="s">
        <v>124</v>
      </c>
      <c r="I990">
        <v>1</v>
      </c>
      <c r="J990" t="s">
        <v>24</v>
      </c>
      <c r="K990" t="s">
        <v>778</v>
      </c>
      <c r="L990" t="s">
        <v>214</v>
      </c>
      <c r="M990" t="s">
        <v>27</v>
      </c>
      <c r="N990" t="s">
        <v>24</v>
      </c>
      <c r="O990" t="s">
        <v>600</v>
      </c>
      <c r="P990">
        <v>33.517272949999999</v>
      </c>
      <c r="Q990">
        <v>36.276672359999999</v>
      </c>
    </row>
    <row r="991" spans="2:17">
      <c r="B991" t="s">
        <v>614</v>
      </c>
      <c r="C991" t="s">
        <v>312</v>
      </c>
      <c r="D991" t="s">
        <v>128</v>
      </c>
      <c r="E991" t="s">
        <v>18</v>
      </c>
      <c r="F991" t="s">
        <v>346</v>
      </c>
      <c r="G991" t="s">
        <v>777</v>
      </c>
      <c r="H991" t="s">
        <v>124</v>
      </c>
      <c r="I991">
        <v>1</v>
      </c>
      <c r="J991" t="s">
        <v>24</v>
      </c>
      <c r="K991" t="s">
        <v>778</v>
      </c>
      <c r="L991" t="s">
        <v>214</v>
      </c>
      <c r="M991" t="s">
        <v>27</v>
      </c>
      <c r="N991" t="s">
        <v>24</v>
      </c>
      <c r="O991" t="s">
        <v>62</v>
      </c>
      <c r="P991">
        <v>36.20611572</v>
      </c>
      <c r="Q991">
        <v>37.152526860000002</v>
      </c>
    </row>
    <row r="992" spans="2:17">
      <c r="B992" t="s">
        <v>614</v>
      </c>
      <c r="C992" t="s">
        <v>312</v>
      </c>
      <c r="D992" t="s">
        <v>128</v>
      </c>
      <c r="E992" t="s">
        <v>780</v>
      </c>
      <c r="F992" t="s">
        <v>346</v>
      </c>
      <c r="G992" t="s">
        <v>777</v>
      </c>
      <c r="H992" t="s">
        <v>124</v>
      </c>
      <c r="I992">
        <v>1</v>
      </c>
      <c r="J992" t="s">
        <v>24</v>
      </c>
      <c r="K992" t="s">
        <v>778</v>
      </c>
      <c r="L992" t="s">
        <v>214</v>
      </c>
      <c r="M992" t="s">
        <v>27</v>
      </c>
      <c r="N992" t="s">
        <v>24</v>
      </c>
      <c r="O992" t="s">
        <v>781</v>
      </c>
      <c r="P992">
        <v>34.410705569999998</v>
      </c>
      <c r="Q992">
        <v>36.759704589999998</v>
      </c>
    </row>
    <row r="993" spans="2:17">
      <c r="B993" t="s">
        <v>614</v>
      </c>
      <c r="C993" t="s">
        <v>312</v>
      </c>
      <c r="D993" t="s">
        <v>782</v>
      </c>
      <c r="E993" t="s">
        <v>272</v>
      </c>
      <c r="F993" t="s">
        <v>346</v>
      </c>
      <c r="G993" t="s">
        <v>783</v>
      </c>
      <c r="H993" t="s">
        <v>124</v>
      </c>
      <c r="I993">
        <v>1</v>
      </c>
      <c r="J993" t="s">
        <v>99</v>
      </c>
      <c r="K993" t="s">
        <v>784</v>
      </c>
      <c r="L993" t="s">
        <v>785</v>
      </c>
      <c r="M993" t="s">
        <v>27</v>
      </c>
      <c r="N993" t="s">
        <v>99</v>
      </c>
      <c r="O993" t="s">
        <v>273</v>
      </c>
      <c r="P993">
        <v>35.011291499999999</v>
      </c>
      <c r="Q993">
        <v>37.051086429999998</v>
      </c>
    </row>
    <row r="994" spans="2:17">
      <c r="B994" t="s">
        <v>614</v>
      </c>
      <c r="C994" t="s">
        <v>312</v>
      </c>
      <c r="D994" t="s">
        <v>564</v>
      </c>
      <c r="E994" t="s">
        <v>564</v>
      </c>
      <c r="F994" t="s">
        <v>346</v>
      </c>
      <c r="G994" t="s">
        <v>786</v>
      </c>
      <c r="H994" t="s">
        <v>124</v>
      </c>
      <c r="I994">
        <v>1</v>
      </c>
      <c r="J994" t="s">
        <v>99</v>
      </c>
      <c r="K994" t="s">
        <v>444</v>
      </c>
      <c r="L994" t="s">
        <v>519</v>
      </c>
      <c r="M994" t="s">
        <v>27</v>
      </c>
      <c r="N994" t="s">
        <v>99</v>
      </c>
      <c r="O994" t="s">
        <v>566</v>
      </c>
      <c r="P994">
        <v>34.874694820000002</v>
      </c>
      <c r="Q994">
        <v>36.523925779999999</v>
      </c>
    </row>
    <row r="995" spans="2:17">
      <c r="B995" t="s">
        <v>17</v>
      </c>
      <c r="C995" t="s">
        <v>312</v>
      </c>
      <c r="D995" t="s">
        <v>128</v>
      </c>
      <c r="E995" t="s">
        <v>1842</v>
      </c>
      <c r="F995" t="s">
        <v>96</v>
      </c>
      <c r="G995" t="s">
        <v>318</v>
      </c>
      <c r="H995" t="s">
        <v>319</v>
      </c>
      <c r="I995">
        <v>1</v>
      </c>
      <c r="J995" t="s">
        <v>108</v>
      </c>
      <c r="K995" t="s">
        <v>320</v>
      </c>
      <c r="L995" t="s">
        <v>321</v>
      </c>
      <c r="M995" t="s">
        <v>27</v>
      </c>
      <c r="N995" t="s">
        <v>108</v>
      </c>
      <c r="O995" t="e">
        <f>_xlfn.XLOOKUP(E995,[1]syr_populatedplaces!$L:$L,[1]syr_populatedplaces!$M:$M)</f>
        <v>#N/A</v>
      </c>
      <c r="P995" s="3">
        <v>34.756999999999998</v>
      </c>
      <c r="Q995" s="3">
        <v>36.744999999999997</v>
      </c>
    </row>
    <row r="996" spans="2:17">
      <c r="B996" t="s">
        <v>17</v>
      </c>
      <c r="C996" t="s">
        <v>312</v>
      </c>
      <c r="D996" t="s">
        <v>128</v>
      </c>
      <c r="E996" t="s">
        <v>383</v>
      </c>
      <c r="F996" t="s">
        <v>96</v>
      </c>
      <c r="G996" t="s">
        <v>318</v>
      </c>
      <c r="H996" t="s">
        <v>319</v>
      </c>
      <c r="I996">
        <v>1</v>
      </c>
      <c r="J996" t="s">
        <v>108</v>
      </c>
      <c r="K996" t="s">
        <v>320</v>
      </c>
      <c r="L996" t="s">
        <v>321</v>
      </c>
      <c r="M996" t="s">
        <v>27</v>
      </c>
      <c r="N996" t="s">
        <v>108</v>
      </c>
      <c r="O996" t="str">
        <f>_xlfn.XLOOKUP(E996,[1]syr_populatedplaces!$L:$L,[1]syr_populatedplaces!$M:$M)</f>
        <v>C2762</v>
      </c>
      <c r="P996">
        <f>_xlfn.XLOOKUP(E996,[1]syr_populatedplaces!$L:$L,[1]syr_populatedplaces!$AD:$AD)</f>
        <v>34.669494630000003</v>
      </c>
      <c r="Q996">
        <f>_xlfn.XLOOKUP(E996,[1]syr_populatedplaces!$L:$L,[1]syr_populatedplaces!$AC:$AC)</f>
        <v>36.258483890000001</v>
      </c>
    </row>
    <row r="997" spans="2:17">
      <c r="B997" t="s">
        <v>17</v>
      </c>
      <c r="C997" t="s">
        <v>312</v>
      </c>
      <c r="D997" t="s">
        <v>128</v>
      </c>
      <c r="E997" t="s">
        <v>312</v>
      </c>
      <c r="F997" t="s">
        <v>96</v>
      </c>
      <c r="G997" t="s">
        <v>259</v>
      </c>
      <c r="H997" t="s">
        <v>260</v>
      </c>
      <c r="I997">
        <v>4</v>
      </c>
      <c r="J997" t="s">
        <v>99</v>
      </c>
      <c r="K997" t="s">
        <v>259</v>
      </c>
      <c r="L997" t="s">
        <v>325</v>
      </c>
      <c r="M997" t="s">
        <v>27</v>
      </c>
      <c r="N997" t="s">
        <v>99</v>
      </c>
      <c r="O997" t="str">
        <f>_xlfn.XLOOKUP(E997,[1]syr_populatedplaces!$L:$L,[1]syr_populatedplaces!$M:$M)</f>
        <v>C2528</v>
      </c>
      <c r="P997">
        <f>_xlfn.XLOOKUP(E997,[1]syr_populatedplaces!$L:$L,[1]syr_populatedplaces!$AD:$AD)</f>
        <v>34.730102539999997</v>
      </c>
      <c r="Q997">
        <f>_xlfn.XLOOKUP(E997,[1]syr_populatedplaces!$L:$L,[1]syr_populatedplaces!$AC:$AC)</f>
        <v>36.719726559999998</v>
      </c>
    </row>
    <row r="998" spans="2:17">
      <c r="B998" t="s">
        <v>381</v>
      </c>
      <c r="C998" t="s">
        <v>312</v>
      </c>
      <c r="D998" t="s">
        <v>547</v>
      </c>
      <c r="E998" t="s">
        <v>1843</v>
      </c>
      <c r="F998" t="s">
        <v>96</v>
      </c>
      <c r="G998" t="s">
        <v>548</v>
      </c>
      <c r="H998" t="s">
        <v>124</v>
      </c>
      <c r="I998">
        <v>1</v>
      </c>
      <c r="J998" t="s">
        <v>99</v>
      </c>
      <c r="K998" t="s">
        <v>549</v>
      </c>
      <c r="L998" t="s">
        <v>550</v>
      </c>
      <c r="M998" t="s">
        <v>27</v>
      </c>
      <c r="N998" t="s">
        <v>99</v>
      </c>
      <c r="O998" t="str">
        <f>_xlfn.XLOOKUP(E998,[1]syr_populatedplaces!$L:$L,[1]syr_populatedplaces!$M:$M)</f>
        <v>C8302</v>
      </c>
      <c r="P998">
        <f>_xlfn.XLOOKUP(E998,[1]syr_populatedplaces!$L:$L,[1]syr_populatedplaces!$AD:$AD)</f>
        <v>36.837280270000001</v>
      </c>
      <c r="Q998">
        <f>_xlfn.XLOOKUP(E998,[1]syr_populatedplaces!$L:$L,[1]syr_populatedplaces!$AC:$AC)</f>
        <v>38.059082029999999</v>
      </c>
    </row>
    <row r="999" spans="2:17">
      <c r="B999" t="s">
        <v>381</v>
      </c>
      <c r="C999" t="s">
        <v>312</v>
      </c>
      <c r="D999" t="s">
        <v>128</v>
      </c>
      <c r="E999" t="s">
        <v>1844</v>
      </c>
      <c r="F999" t="s">
        <v>96</v>
      </c>
      <c r="G999" t="s">
        <v>556</v>
      </c>
      <c r="H999" t="s">
        <v>557</v>
      </c>
      <c r="I999">
        <v>1</v>
      </c>
      <c r="J999" t="s">
        <v>24</v>
      </c>
      <c r="K999" t="s">
        <v>558</v>
      </c>
      <c r="L999" t="s">
        <v>544</v>
      </c>
      <c r="M999" t="s">
        <v>27</v>
      </c>
      <c r="N999" t="s">
        <v>108</v>
      </c>
      <c r="O999" t="str">
        <f>_xlfn.XLOOKUP(E999,[1]syr_populatedplaces!$L:$L,[1]syr_populatedplaces!$M:$M)</f>
        <v>C6307</v>
      </c>
      <c r="P999">
        <f>_xlfn.XLOOKUP(E999,[1]syr_populatedplaces!$L:$L,[1]syr_populatedplaces!$AD:$AD)</f>
        <v>34.790527339999997</v>
      </c>
      <c r="Q999">
        <f>_xlfn.XLOOKUP(E999,[1]syr_populatedplaces!$L:$L,[1]syr_populatedplaces!$AC:$AC)</f>
        <v>36.742309570000003</v>
      </c>
    </row>
    <row r="1000" spans="2:17" ht="15">
      <c r="B1000" t="s">
        <v>381</v>
      </c>
      <c r="C1000" t="s">
        <v>312</v>
      </c>
      <c r="D1000" t="s">
        <v>128</v>
      </c>
      <c r="E1000" t="s">
        <v>1845</v>
      </c>
      <c r="F1000" t="s">
        <v>96</v>
      </c>
      <c r="G1000" t="s">
        <v>556</v>
      </c>
      <c r="H1000" t="s">
        <v>557</v>
      </c>
      <c r="I1000">
        <v>1</v>
      </c>
      <c r="J1000" t="s">
        <v>24</v>
      </c>
      <c r="K1000" t="s">
        <v>558</v>
      </c>
      <c r="L1000" t="s">
        <v>544</v>
      </c>
      <c r="M1000" t="s">
        <v>27</v>
      </c>
      <c r="N1000" t="s">
        <v>108</v>
      </c>
      <c r="O1000" t="s">
        <v>1866</v>
      </c>
      <c r="P1000" s="4">
        <v>34.708497000000001</v>
      </c>
      <c r="Q1000" s="4">
        <v>36.732080000000003</v>
      </c>
    </row>
    <row r="1001" spans="2:17" ht="15">
      <c r="B1001" t="s">
        <v>381</v>
      </c>
      <c r="C1001" t="s">
        <v>312</v>
      </c>
      <c r="D1001" t="s">
        <v>128</v>
      </c>
      <c r="E1001" t="s">
        <v>562</v>
      </c>
      <c r="F1001" t="s">
        <v>96</v>
      </c>
      <c r="G1001" t="s">
        <v>556</v>
      </c>
      <c r="H1001" t="s">
        <v>557</v>
      </c>
      <c r="I1001">
        <v>1</v>
      </c>
      <c r="J1001" t="s">
        <v>24</v>
      </c>
      <c r="K1001" t="s">
        <v>558</v>
      </c>
      <c r="L1001" t="s">
        <v>544</v>
      </c>
      <c r="M1001" t="s">
        <v>27</v>
      </c>
      <c r="N1001" t="s">
        <v>108</v>
      </c>
      <c r="O1001" t="str">
        <f>_xlfn.XLOOKUP(الجدول1[[#This Row],[القرية– البلدة]],[1]syr_neighborhoods!$B:$B,[1]syr_neighborhoods!$C:$C)</f>
        <v>N0246</v>
      </c>
      <c r="P1001" s="4" t="e">
        <f>_xlfn.XLOOKUP(الجدول1[[#This Row],[القرية– البلدة]],[1]syr_populatedplaces!$L:$L,[1]syr_populatedplaces!$AD:$AD)</f>
        <v>#N/A</v>
      </c>
      <c r="Q1001" s="4" t="e">
        <f>_xlfn.XLOOKUP(الجدول1[[#This Row],[القرية– البلدة]],[1]syr_populatedplaces!$L:$L,[1]syr_populatedplaces!$AC:$AC)</f>
        <v>#N/A</v>
      </c>
    </row>
    <row r="1002" spans="2:17">
      <c r="B1002" t="s">
        <v>381</v>
      </c>
      <c r="C1002" t="s">
        <v>312</v>
      </c>
      <c r="D1002" t="s">
        <v>128</v>
      </c>
      <c r="E1002" t="s">
        <v>1846</v>
      </c>
      <c r="F1002" t="s">
        <v>96</v>
      </c>
      <c r="G1002" t="s">
        <v>556</v>
      </c>
      <c r="H1002" t="s">
        <v>557</v>
      </c>
      <c r="I1002">
        <v>1</v>
      </c>
      <c r="J1002" t="s">
        <v>24</v>
      </c>
      <c r="K1002" t="s">
        <v>558</v>
      </c>
      <c r="L1002" t="s">
        <v>544</v>
      </c>
      <c r="M1002" t="s">
        <v>27</v>
      </c>
      <c r="N1002" t="s">
        <v>108</v>
      </c>
      <c r="O1002" t="e">
        <f>_xlfn.XLOOKUP(E1002,[1]syr_populatedplaces!$L:$L,[1]syr_populatedplaces!$M:$M)</f>
        <v>#N/A</v>
      </c>
      <c r="P1002" s="3">
        <v>34.697000000000003</v>
      </c>
      <c r="Q1002" s="3">
        <v>36.855200000000004</v>
      </c>
    </row>
    <row r="1003" spans="2:17">
      <c r="B1003" t="s">
        <v>381</v>
      </c>
      <c r="C1003" t="s">
        <v>312</v>
      </c>
      <c r="D1003" t="s">
        <v>128</v>
      </c>
      <c r="E1003" t="s">
        <v>563</v>
      </c>
      <c r="F1003" t="s">
        <v>96</v>
      </c>
      <c r="G1003" t="s">
        <v>556</v>
      </c>
      <c r="H1003" t="s">
        <v>557</v>
      </c>
      <c r="I1003">
        <v>1</v>
      </c>
      <c r="J1003" t="s">
        <v>24</v>
      </c>
      <c r="K1003" t="s">
        <v>558</v>
      </c>
      <c r="L1003" t="s">
        <v>544</v>
      </c>
      <c r="M1003" t="s">
        <v>27</v>
      </c>
      <c r="N1003" t="s">
        <v>108</v>
      </c>
      <c r="O1003" t="str">
        <f>_xlfn.XLOOKUP(الجدول1[[#This Row],[القرية– البلدة]],[1]syr_neighborhoods!$B:$B,[1]syr_neighborhoods!$C:$C)</f>
        <v>N0083</v>
      </c>
      <c r="P1003" s="3">
        <v>34.805500000000002</v>
      </c>
      <c r="Q1003" s="3">
        <v>36.790199999999999</v>
      </c>
    </row>
    <row r="1004" spans="2:17" ht="15">
      <c r="B1004" t="s">
        <v>381</v>
      </c>
      <c r="C1004" t="s">
        <v>312</v>
      </c>
      <c r="D1004" t="s">
        <v>128</v>
      </c>
      <c r="E1004" t="s">
        <v>572</v>
      </c>
      <c r="F1004" t="s">
        <v>96</v>
      </c>
      <c r="G1004" t="s">
        <v>565</v>
      </c>
      <c r="H1004" t="s">
        <v>276</v>
      </c>
      <c r="I1004">
        <v>1</v>
      </c>
      <c r="J1004" t="s">
        <v>99</v>
      </c>
      <c r="K1004" t="s">
        <v>496</v>
      </c>
      <c r="L1004" t="s">
        <v>278</v>
      </c>
      <c r="M1004" t="s">
        <v>27</v>
      </c>
      <c r="N1004" t="s">
        <v>24</v>
      </c>
      <c r="O1004" t="str">
        <f>_xlfn.XLOOKUP(الجدول1[[#This Row],[القرية– البلدة]],[1]syr_neighborhoods!$B:$B,[1]syr_neighborhoods!$C:$C)</f>
        <v>N0271</v>
      </c>
      <c r="P1004" s="4" t="e">
        <f>_xlfn.XLOOKUP(الجدول1[[#This Row],[القرية– البلدة]],[1]syr_populatedplaces!$L:$L,[1]syr_populatedplaces!$AD:$AD)</f>
        <v>#N/A</v>
      </c>
      <c r="Q1004" s="4" t="e">
        <f>_xlfn.XLOOKUP(الجدول1[[#This Row],[القرية– البلدة]],[1]syr_populatedplaces!$L:$L,[1]syr_populatedplaces!$AC:$AC)</f>
        <v>#N/A</v>
      </c>
    </row>
    <row r="1005" spans="2:17">
      <c r="B1005" t="s">
        <v>614</v>
      </c>
      <c r="C1005" t="s">
        <v>312</v>
      </c>
      <c r="D1005" t="s">
        <v>128</v>
      </c>
      <c r="E1005" t="s">
        <v>459</v>
      </c>
      <c r="F1005" t="s">
        <v>346</v>
      </c>
      <c r="G1005" t="s">
        <v>777</v>
      </c>
      <c r="H1005" t="s">
        <v>124</v>
      </c>
      <c r="I1005">
        <v>1</v>
      </c>
      <c r="J1005" t="s">
        <v>24</v>
      </c>
      <c r="K1005" t="s">
        <v>778</v>
      </c>
      <c r="L1005" t="s">
        <v>214</v>
      </c>
      <c r="M1005" t="s">
        <v>27</v>
      </c>
      <c r="N1005" t="s">
        <v>24</v>
      </c>
      <c r="O1005" t="str">
        <f>_xlfn.XLOOKUP(E1005,[1]syr_populatedplaces!$L:$L,[1]syr_populatedplaces!$M:$M)</f>
        <v>C2733</v>
      </c>
      <c r="P1005">
        <f>_xlfn.XLOOKUP(E1005,[1]syr_populatedplaces!$L:$L,[1]syr_populatedplaces!$AD:$AD)</f>
        <v>34.509704589999998</v>
      </c>
      <c r="Q1005">
        <f>_xlfn.XLOOKUP(E1005,[1]syr_populatedplaces!$L:$L,[1]syr_populatedplaces!$AC:$AC)</f>
        <v>36.579895020000002</v>
      </c>
    </row>
    <row r="1006" spans="2:17">
      <c r="B1006" t="s">
        <v>614</v>
      </c>
      <c r="C1006" t="s">
        <v>312</v>
      </c>
      <c r="D1006" t="s">
        <v>782</v>
      </c>
      <c r="E1006" t="s">
        <v>776</v>
      </c>
      <c r="F1006" t="s">
        <v>346</v>
      </c>
      <c r="G1006" t="s">
        <v>783</v>
      </c>
      <c r="H1006" t="s">
        <v>124</v>
      </c>
      <c r="I1006">
        <v>1</v>
      </c>
      <c r="J1006" t="s">
        <v>99</v>
      </c>
      <c r="K1006" t="s">
        <v>784</v>
      </c>
      <c r="L1006" t="s">
        <v>785</v>
      </c>
      <c r="M1006" t="s">
        <v>27</v>
      </c>
      <c r="N1006" t="s">
        <v>99</v>
      </c>
      <c r="O1006" t="str">
        <f>_xlfn.XLOOKUP(E1006,[1]syr_populatedplaces!$L:$L,[1]syr_populatedplaces!$M:$M)</f>
        <v>C2605</v>
      </c>
      <c r="P1006">
        <f>_xlfn.XLOOKUP(E1006,[1]syr_populatedplaces!$L:$L,[1]syr_populatedplaces!$AD:$AD)</f>
        <v>34.841308589999997</v>
      </c>
      <c r="Q1006">
        <f>_xlfn.XLOOKUP(E1006,[1]syr_populatedplaces!$L:$L,[1]syr_populatedplaces!$AC:$AC)</f>
        <v>36.927917479999998</v>
      </c>
    </row>
    <row r="1007" spans="2:17" ht="15">
      <c r="B1007" t="s">
        <v>614</v>
      </c>
      <c r="C1007" t="s">
        <v>312</v>
      </c>
      <c r="D1007" t="s">
        <v>787</v>
      </c>
      <c r="E1007" t="s">
        <v>788</v>
      </c>
      <c r="F1007" t="s">
        <v>346</v>
      </c>
      <c r="G1007" t="s">
        <v>254</v>
      </c>
      <c r="H1007" t="s">
        <v>787</v>
      </c>
      <c r="I1007">
        <v>1</v>
      </c>
      <c r="J1007" t="s">
        <v>99</v>
      </c>
      <c r="K1007" t="s">
        <v>255</v>
      </c>
      <c r="L1007" t="s">
        <v>762</v>
      </c>
      <c r="M1007" t="s">
        <v>27</v>
      </c>
      <c r="N1007" t="s">
        <v>99</v>
      </c>
      <c r="O1007" t="e">
        <f>_xlfn.XLOOKUP(الجدول1[[#This Row],[القرية– البلدة]],[1]syr_neighborhoods!$B:$B,[1]syr_neighborhoods!$C:$C)</f>
        <v>#N/A</v>
      </c>
      <c r="P1007" s="4" t="e">
        <f>_xlfn.XLOOKUP(الجدول1[[#This Row],[القرية– البلدة]],[1]syr_populatedplaces!$L:$L,[1]syr_populatedplaces!$AD:$AD)</f>
        <v>#N/A</v>
      </c>
      <c r="Q1007" s="4" t="e">
        <f>_xlfn.XLOOKUP(الجدول1[[#This Row],[القرية– البلدة]],[1]syr_populatedplaces!$L:$L,[1]syr_populatedplaces!$AC:$AC)</f>
        <v>#N/A</v>
      </c>
    </row>
    <row r="1008" spans="2:17" ht="15">
      <c r="B1008" t="s">
        <v>1309</v>
      </c>
      <c r="C1008" t="s">
        <v>312</v>
      </c>
      <c r="D1008" t="s">
        <v>1396</v>
      </c>
      <c r="F1008" t="s">
        <v>812</v>
      </c>
      <c r="G1008" t="s">
        <v>378</v>
      </c>
      <c r="H1008" t="s">
        <v>124</v>
      </c>
      <c r="I1008">
        <v>1</v>
      </c>
      <c r="J1008" t="s">
        <v>99</v>
      </c>
      <c r="K1008" t="s">
        <v>1397</v>
      </c>
      <c r="L1008" t="s">
        <v>380</v>
      </c>
      <c r="M1008" t="s">
        <v>1314</v>
      </c>
      <c r="N1008" t="s">
        <v>99</v>
      </c>
      <c r="O1008">
        <f>_xlfn.XLOOKUP(الجدول1[[#This Row],[القرية– البلدة]],[1]syr_neighborhoods!$B:$B,[1]syr_neighborhoods!$C:$C)</f>
        <v>0</v>
      </c>
      <c r="P1008" s="4" t="e">
        <f>_xlfn.XLOOKUP(الجدول1[[#This Row],[القرية– البلدة]],[1]syr_populatedplaces!$L:$L,[1]syr_populatedplaces!$AD:$AD)</f>
        <v>#N/A</v>
      </c>
      <c r="Q1008" s="4" t="e">
        <f>_xlfn.XLOOKUP(الجدول1[[#This Row],[القرية– البلدة]],[1]syr_populatedplaces!$L:$L,[1]syr_populatedplaces!$AC:$AC)</f>
        <v>#N/A</v>
      </c>
    </row>
    <row r="1009" spans="2:17">
      <c r="B1009" t="s">
        <v>1309</v>
      </c>
      <c r="C1009" t="s">
        <v>312</v>
      </c>
      <c r="D1009" t="s">
        <v>1398</v>
      </c>
      <c r="E1009" t="s">
        <v>1399</v>
      </c>
      <c r="F1009" t="s">
        <v>1400</v>
      </c>
      <c r="G1009" t="s">
        <v>1401</v>
      </c>
      <c r="H1009" t="s">
        <v>1402</v>
      </c>
      <c r="I1009">
        <v>1</v>
      </c>
      <c r="J1009" t="s">
        <v>387</v>
      </c>
      <c r="K1009" t="s">
        <v>1403</v>
      </c>
      <c r="L1009" t="s">
        <v>1404</v>
      </c>
      <c r="M1009" t="s">
        <v>1314</v>
      </c>
      <c r="N1009" t="s">
        <v>108</v>
      </c>
      <c r="O1009" t="e">
        <f>_xlfn.XLOOKUP(E1009,[1]syr_populatedplaces!$L:$L,[1]syr_populatedplaces!$M:$M)</f>
        <v>#N/A</v>
      </c>
      <c r="P1009" s="3">
        <v>36.879100000000001</v>
      </c>
      <c r="Q1009" s="3">
        <v>36.711500000000001</v>
      </c>
    </row>
    <row r="1010" spans="2:17" ht="15">
      <c r="B1010" t="s">
        <v>1309</v>
      </c>
      <c r="C1010" t="s">
        <v>312</v>
      </c>
      <c r="D1010" t="s">
        <v>1405</v>
      </c>
      <c r="E1010" t="s">
        <v>1406</v>
      </c>
      <c r="F1010" t="s">
        <v>812</v>
      </c>
      <c r="G1010" t="s">
        <v>1407</v>
      </c>
      <c r="H1010" t="s">
        <v>1231</v>
      </c>
      <c r="I1010">
        <v>1</v>
      </c>
      <c r="J1010" t="s">
        <v>387</v>
      </c>
      <c r="K1010" t="s">
        <v>1408</v>
      </c>
      <c r="L1010" t="s">
        <v>1409</v>
      </c>
      <c r="M1010" t="s">
        <v>1410</v>
      </c>
      <c r="N1010" t="s">
        <v>387</v>
      </c>
      <c r="O1010" t="e">
        <f>_xlfn.XLOOKUP(E1010,[1]syr_populatedplaces!$L:$L,[1]syr_populatedplaces!$M:$M)</f>
        <v>#N/A</v>
      </c>
      <c r="P1010" s="4" t="e">
        <f>_xlfn.XLOOKUP(الجدول1[[#This Row],[القرية– البلدة]],[1]syr_populatedplaces!$L:$L,[1]syr_populatedplaces!$AD:$AD)</f>
        <v>#N/A</v>
      </c>
      <c r="Q1010" s="4" t="e">
        <f>_xlfn.XLOOKUP(الجدول1[[#This Row],[القرية– البلدة]],[1]syr_populatedplaces!$L:$L,[1]syr_populatedplaces!$AC:$AC)</f>
        <v>#N/A</v>
      </c>
    </row>
    <row r="1011" spans="2:17" ht="15">
      <c r="B1011" t="s">
        <v>1309</v>
      </c>
      <c r="C1011" t="s">
        <v>312</v>
      </c>
      <c r="D1011" t="s">
        <v>1411</v>
      </c>
      <c r="E1011" t="s">
        <v>411</v>
      </c>
      <c r="F1011" t="s">
        <v>812</v>
      </c>
      <c r="G1011" t="s">
        <v>318</v>
      </c>
      <c r="H1011" t="s">
        <v>411</v>
      </c>
      <c r="J1011" t="s">
        <v>108</v>
      </c>
      <c r="K1011" t="s">
        <v>1412</v>
      </c>
      <c r="L1011" t="s">
        <v>360</v>
      </c>
      <c r="M1011" t="s">
        <v>1314</v>
      </c>
      <c r="N1011" t="s">
        <v>108</v>
      </c>
      <c r="O1011" t="e">
        <f>_xlfn.XLOOKUP(E1011,[1]syr_populatedplaces!$L:$L,[1]syr_populatedplaces!$M:$M)</f>
        <v>#N/A</v>
      </c>
      <c r="P1011" s="4" t="e">
        <f>_xlfn.XLOOKUP(الجدول1[[#This Row],[القرية– البلدة]],[1]syr_populatedplaces!$L:$L,[1]syr_populatedplaces!$AD:$AD)</f>
        <v>#N/A</v>
      </c>
      <c r="Q1011" s="4" t="e">
        <f>_xlfn.XLOOKUP(الجدول1[[#This Row],[القرية– البلدة]],[1]syr_populatedplaces!$L:$L,[1]syr_populatedplaces!$AC:$AC)</f>
        <v>#N/A</v>
      </c>
    </row>
    <row r="1012" spans="2:17">
      <c r="B1012" t="s">
        <v>1694</v>
      </c>
      <c r="C1012" t="s">
        <v>312</v>
      </c>
      <c r="D1012" t="s">
        <v>1405</v>
      </c>
      <c r="E1012" t="s">
        <v>1405</v>
      </c>
      <c r="F1012" t="s">
        <v>1075</v>
      </c>
      <c r="G1012" t="s">
        <v>1742</v>
      </c>
      <c r="H1012" t="s">
        <v>1497</v>
      </c>
      <c r="I1012">
        <v>1</v>
      </c>
      <c r="J1012" t="s">
        <v>108</v>
      </c>
      <c r="K1012" t="s">
        <v>1743</v>
      </c>
      <c r="L1012" t="s">
        <v>1744</v>
      </c>
      <c r="M1012" t="s">
        <v>27</v>
      </c>
      <c r="N1012" t="s">
        <v>108</v>
      </c>
      <c r="O1012" t="str">
        <f>_xlfn.XLOOKUP(E1012,[1]syr_populatedplaces!$L:$L,[1]syr_populatedplaces!$M:$M)</f>
        <v>C2663</v>
      </c>
      <c r="P1012">
        <f>_xlfn.XLOOKUP(E1012,[1]syr_populatedplaces!$L:$L,[1]syr_populatedplaces!$AD:$AD)</f>
        <v>34.226501470000002</v>
      </c>
      <c r="Q1012">
        <f>_xlfn.XLOOKUP(E1012,[1]syr_populatedplaces!$L:$L,[1]syr_populatedplaces!$AC:$AC)</f>
        <v>37.237304690000002</v>
      </c>
    </row>
    <row r="1013" spans="2:17" ht="15">
      <c r="B1013" t="s">
        <v>1694</v>
      </c>
      <c r="C1013" t="s">
        <v>312</v>
      </c>
      <c r="D1013" t="s">
        <v>1405</v>
      </c>
      <c r="E1013" t="s">
        <v>1847</v>
      </c>
      <c r="F1013" t="s">
        <v>1075</v>
      </c>
      <c r="G1013" t="s">
        <v>1742</v>
      </c>
      <c r="H1013" t="s">
        <v>1497</v>
      </c>
      <c r="I1013">
        <v>1</v>
      </c>
      <c r="J1013" t="s">
        <v>108</v>
      </c>
      <c r="K1013" t="s">
        <v>1743</v>
      </c>
      <c r="L1013" t="s">
        <v>1744</v>
      </c>
      <c r="M1013" t="s">
        <v>27</v>
      </c>
      <c r="N1013" t="s">
        <v>108</v>
      </c>
      <c r="O1013" t="e">
        <f>_xlfn.XLOOKUP(E1013,[1]syr_populatedplaces!$L:$L,[1]syr_populatedplaces!$M:$M)</f>
        <v>#N/A</v>
      </c>
      <c r="P1013" s="4" t="e">
        <f>_xlfn.XLOOKUP(الجدول1[[#This Row],[القرية– البلدة]],[1]syr_populatedplaces!$L:$L,[1]syr_populatedplaces!$AD:$AD)</f>
        <v>#N/A</v>
      </c>
      <c r="Q1013" s="4" t="e">
        <f>_xlfn.XLOOKUP(الجدول1[[#This Row],[القرية– البلدة]],[1]syr_populatedplaces!$L:$L,[1]syr_populatedplaces!$AC:$AC)</f>
        <v>#N/A</v>
      </c>
    </row>
    <row r="1014" spans="2:17">
      <c r="B1014" t="s">
        <v>1694</v>
      </c>
      <c r="C1014" t="s">
        <v>312</v>
      </c>
      <c r="D1014" t="s">
        <v>1745</v>
      </c>
      <c r="E1014" t="s">
        <v>1848</v>
      </c>
      <c r="F1014" t="s">
        <v>1075</v>
      </c>
      <c r="G1014" t="s">
        <v>1746</v>
      </c>
      <c r="H1014" t="s">
        <v>1747</v>
      </c>
      <c r="I1014">
        <v>1</v>
      </c>
      <c r="J1014" t="s">
        <v>99</v>
      </c>
      <c r="K1014" t="s">
        <v>1748</v>
      </c>
      <c r="L1014" t="s">
        <v>1749</v>
      </c>
      <c r="M1014" t="s">
        <v>1750</v>
      </c>
      <c r="N1014" t="s">
        <v>99</v>
      </c>
      <c r="O1014" t="str">
        <f>_xlfn.XLOOKUP(E1014,[1]syr_populatedplaces!$L:$L,[1]syr_populatedplaces!$M:$M)</f>
        <v>C5615</v>
      </c>
      <c r="P1014">
        <f>_xlfn.XLOOKUP(E1014,[1]syr_populatedplaces!$L:$L,[1]syr_populatedplaces!$AD:$AD)</f>
        <v>34.937683110000002</v>
      </c>
      <c r="Q1014">
        <f>_xlfn.XLOOKUP(E1014,[1]syr_populatedplaces!$L:$L,[1]syr_populatedplaces!$AC:$AC)</f>
        <v>36.222290039999997</v>
      </c>
    </row>
    <row r="1015" spans="2:17">
      <c r="B1015" t="s">
        <v>1694</v>
      </c>
      <c r="C1015" t="s">
        <v>312</v>
      </c>
      <c r="D1015" t="s">
        <v>459</v>
      </c>
      <c r="E1015" t="s">
        <v>1849</v>
      </c>
      <c r="F1015" t="s">
        <v>1075</v>
      </c>
      <c r="G1015" t="s">
        <v>1751</v>
      </c>
      <c r="H1015" t="s">
        <v>1752</v>
      </c>
      <c r="I1015">
        <v>1</v>
      </c>
      <c r="J1015" t="s">
        <v>108</v>
      </c>
      <c r="K1015" t="s">
        <v>1753</v>
      </c>
      <c r="L1015" t="s">
        <v>1754</v>
      </c>
      <c r="M1015" t="s">
        <v>27</v>
      </c>
      <c r="N1015" t="s">
        <v>108</v>
      </c>
      <c r="O1015" t="str">
        <f>_xlfn.XLOOKUP(E1015,[1]syr_populatedplaces!$L:$L,[1]syr_populatedplaces!$M:$M)</f>
        <v>C2975</v>
      </c>
      <c r="P1015">
        <f>_xlfn.XLOOKUP(E1015,[1]syr_populatedplaces!$L:$L,[1]syr_populatedplaces!$AD:$AD)</f>
        <v>35.097106930000002</v>
      </c>
      <c r="Q1015">
        <f>_xlfn.XLOOKUP(E1015,[1]syr_populatedplaces!$L:$L,[1]syr_populatedplaces!$AC:$AC)</f>
        <v>36.61169434</v>
      </c>
    </row>
    <row r="1016" spans="2:17">
      <c r="B1016" t="s">
        <v>1694</v>
      </c>
      <c r="C1016" t="s">
        <v>312</v>
      </c>
      <c r="D1016" t="s">
        <v>459</v>
      </c>
      <c r="E1016" t="s">
        <v>1851</v>
      </c>
      <c r="F1016" t="s">
        <v>1075</v>
      </c>
      <c r="G1016" t="s">
        <v>1569</v>
      </c>
      <c r="H1016" t="s">
        <v>1755</v>
      </c>
      <c r="I1016">
        <v>1</v>
      </c>
      <c r="J1016" t="s">
        <v>108</v>
      </c>
      <c r="K1016" t="s">
        <v>1756</v>
      </c>
      <c r="L1016" t="s">
        <v>1757</v>
      </c>
      <c r="M1016" t="s">
        <v>27</v>
      </c>
      <c r="N1016" t="s">
        <v>108</v>
      </c>
      <c r="O1016" t="e">
        <f>_xlfn.XLOOKUP(E1016,[1]syr_populatedplaces!$L:$L,[1]syr_populatedplaces!$M:$M)</f>
        <v>#N/A</v>
      </c>
      <c r="P1016" s="3">
        <v>34.508499999999998</v>
      </c>
      <c r="Q1016" s="3">
        <v>36.565199999999997</v>
      </c>
    </row>
    <row r="1017" spans="2:17" ht="15">
      <c r="B1017" t="s">
        <v>1694</v>
      </c>
      <c r="C1017" t="s">
        <v>312</v>
      </c>
      <c r="D1017" t="s">
        <v>459</v>
      </c>
      <c r="E1017" t="s">
        <v>1758</v>
      </c>
      <c r="F1017" t="s">
        <v>1075</v>
      </c>
      <c r="G1017" t="s">
        <v>1569</v>
      </c>
      <c r="H1017" t="s">
        <v>1755</v>
      </c>
      <c r="I1017">
        <v>1</v>
      </c>
      <c r="J1017" t="s">
        <v>108</v>
      </c>
      <c r="K1017" t="s">
        <v>1759</v>
      </c>
      <c r="L1017" t="s">
        <v>1757</v>
      </c>
      <c r="M1017" t="s">
        <v>27</v>
      </c>
      <c r="N1017" t="s">
        <v>108</v>
      </c>
      <c r="O1017" t="e">
        <f>_xlfn.XLOOKUP(E1017,[1]syr_populatedplaces!$L:$L,[1]syr_populatedplaces!$M:$M)</f>
        <v>#N/A</v>
      </c>
      <c r="P1017" s="4" t="e">
        <f>_xlfn.XLOOKUP(الجدول1[[#This Row],[القرية– البلدة]],[1]syr_populatedplaces!$L:$L,[1]syr_populatedplaces!$AD:$AD)</f>
        <v>#N/A</v>
      </c>
      <c r="Q1017" s="4" t="e">
        <f>_xlfn.XLOOKUP(الجدول1[[#This Row],[القرية– البلدة]],[1]syr_populatedplaces!$L:$L,[1]syr_populatedplaces!$AC:$AC)</f>
        <v>#N/A</v>
      </c>
    </row>
    <row r="1018" spans="2:17" ht="15">
      <c r="B1018" t="s">
        <v>1694</v>
      </c>
      <c r="C1018" t="s">
        <v>312</v>
      </c>
      <c r="D1018" t="s">
        <v>459</v>
      </c>
      <c r="E1018" t="s">
        <v>1760</v>
      </c>
      <c r="F1018" t="s">
        <v>1075</v>
      </c>
      <c r="G1018" t="s">
        <v>1569</v>
      </c>
      <c r="H1018" t="s">
        <v>1755</v>
      </c>
      <c r="I1018">
        <v>1</v>
      </c>
      <c r="J1018" t="s">
        <v>108</v>
      </c>
      <c r="K1018" t="s">
        <v>1759</v>
      </c>
      <c r="L1018" t="s">
        <v>1757</v>
      </c>
      <c r="M1018" t="s">
        <v>27</v>
      </c>
      <c r="N1018" t="s">
        <v>108</v>
      </c>
      <c r="O1018" t="e">
        <f>_xlfn.XLOOKUP(E1018,[1]syr_populatedplaces!$L:$L,[1]syr_populatedplaces!$M:$M)</f>
        <v>#N/A</v>
      </c>
      <c r="P1018" s="4" t="e">
        <f>_xlfn.XLOOKUP(الجدول1[[#This Row],[القرية– البلدة]],[1]syr_populatedplaces!$L:$L,[1]syr_populatedplaces!$AD:$AD)</f>
        <v>#N/A</v>
      </c>
      <c r="Q1018" s="4" t="e">
        <f>_xlfn.XLOOKUP(الجدول1[[#This Row],[القرية– البلدة]],[1]syr_populatedplaces!$L:$L,[1]syr_populatedplaces!$AC:$AC)</f>
        <v>#N/A</v>
      </c>
    </row>
    <row r="1019" spans="2:17" ht="15">
      <c r="B1019" t="s">
        <v>1694</v>
      </c>
      <c r="C1019" t="s">
        <v>312</v>
      </c>
      <c r="D1019" t="s">
        <v>459</v>
      </c>
      <c r="E1019" t="s">
        <v>1850</v>
      </c>
      <c r="F1019" t="s">
        <v>1075</v>
      </c>
      <c r="G1019" t="s">
        <v>1569</v>
      </c>
      <c r="H1019" t="s">
        <v>1761</v>
      </c>
      <c r="I1019">
        <v>1</v>
      </c>
      <c r="J1019" t="s">
        <v>108</v>
      </c>
      <c r="K1019" t="s">
        <v>1762</v>
      </c>
      <c r="L1019" t="s">
        <v>1763</v>
      </c>
      <c r="M1019" t="s">
        <v>27</v>
      </c>
      <c r="N1019" t="s">
        <v>108</v>
      </c>
      <c r="O1019" t="e">
        <f>_xlfn.XLOOKUP(E1019,[1]syr_populatedplaces!$L:$L,[1]syr_populatedplaces!$M:$M)</f>
        <v>#N/A</v>
      </c>
      <c r="P1019" s="4" t="e">
        <f>_xlfn.XLOOKUP(الجدول1[[#This Row],[القرية– البلدة]],[1]syr_populatedplaces!$L:$L,[1]syr_populatedplaces!$AD:$AD)</f>
        <v>#N/A</v>
      </c>
      <c r="Q1019" s="4" t="e">
        <f>_xlfn.XLOOKUP(الجدول1[[#This Row],[القرية– البلدة]],[1]syr_populatedplaces!$L:$L,[1]syr_populatedplaces!$AC:$AC)</f>
        <v>#N/A</v>
      </c>
    </row>
    <row r="1020" spans="2:17">
      <c r="B1020" t="s">
        <v>17</v>
      </c>
      <c r="C1020" t="s">
        <v>355</v>
      </c>
      <c r="D1020" t="s">
        <v>364</v>
      </c>
      <c r="E1020" t="s">
        <v>1837</v>
      </c>
      <c r="F1020" t="s">
        <v>96</v>
      </c>
      <c r="G1020" t="s">
        <v>366</v>
      </c>
      <c r="H1020" t="s">
        <v>367</v>
      </c>
      <c r="I1020">
        <v>1</v>
      </c>
      <c r="J1020" t="s">
        <v>99</v>
      </c>
      <c r="K1020" t="s">
        <v>100</v>
      </c>
      <c r="L1020" t="s">
        <v>368</v>
      </c>
      <c r="M1020" t="s">
        <v>27</v>
      </c>
      <c r="N1020" t="s">
        <v>24</v>
      </c>
      <c r="O1020" t="str">
        <f>_xlfn.XLOOKUP(E1020,[1]syr_populatedplaces!$L:$L,[1]syr_populatedplaces!$M:$M)</f>
        <v>C1256</v>
      </c>
      <c r="P1020">
        <f>_xlfn.XLOOKUP(E1020,[1]syr_populatedplaces!$L:$L,[1]syr_populatedplaces!$AD:$AD)</f>
        <v>36.552917479999998</v>
      </c>
      <c r="Q1020">
        <f>_xlfn.XLOOKUP(E1020,[1]syr_populatedplaces!$L:$L,[1]syr_populatedplaces!$AC:$AC)</f>
        <v>37.460876470000002</v>
      </c>
    </row>
    <row r="1021" spans="2:17">
      <c r="B1021" t="s">
        <v>17</v>
      </c>
      <c r="C1021" t="s">
        <v>355</v>
      </c>
      <c r="D1021" t="s">
        <v>364</v>
      </c>
      <c r="E1021" t="s">
        <v>1824</v>
      </c>
      <c r="F1021" t="s">
        <v>96</v>
      </c>
      <c r="G1021" t="s">
        <v>366</v>
      </c>
      <c r="H1021" t="s">
        <v>367</v>
      </c>
      <c r="I1021">
        <v>1</v>
      </c>
      <c r="J1021" t="s">
        <v>99</v>
      </c>
      <c r="K1021" t="s">
        <v>100</v>
      </c>
      <c r="L1021" t="s">
        <v>368</v>
      </c>
      <c r="M1021" t="s">
        <v>27</v>
      </c>
      <c r="N1021" t="s">
        <v>24</v>
      </c>
      <c r="O1021" t="s">
        <v>370</v>
      </c>
      <c r="P1021">
        <v>33.480285649999999</v>
      </c>
      <c r="Q1021">
        <v>36.26287842</v>
      </c>
    </row>
    <row r="1022" spans="2:17">
      <c r="B1022" t="s">
        <v>17</v>
      </c>
      <c r="C1022" t="s">
        <v>355</v>
      </c>
      <c r="D1022" t="s">
        <v>128</v>
      </c>
      <c r="E1022" t="s">
        <v>356</v>
      </c>
      <c r="F1022" t="s">
        <v>96</v>
      </c>
      <c r="G1022" t="s">
        <v>357</v>
      </c>
      <c r="H1022" t="s">
        <v>358</v>
      </c>
      <c r="I1022">
        <v>1</v>
      </c>
      <c r="J1022" t="s">
        <v>24</v>
      </c>
      <c r="K1022" t="s">
        <v>359</v>
      </c>
      <c r="L1022" t="s">
        <v>360</v>
      </c>
      <c r="M1022" t="s">
        <v>27</v>
      </c>
      <c r="N1022" t="s">
        <v>24</v>
      </c>
      <c r="O1022" t="e">
        <f>_xlfn.XLOOKUP(E1022,[1]syr_populatedplaces!$L:$L,[1]syr_populatedplaces!$M:$M)</f>
        <v>#N/A</v>
      </c>
      <c r="P1022">
        <v>33.5015</v>
      </c>
      <c r="Q1022">
        <v>36.252000000000002</v>
      </c>
    </row>
    <row r="1023" spans="2:17">
      <c r="B1023" t="s">
        <v>17</v>
      </c>
      <c r="C1023" t="s">
        <v>355</v>
      </c>
      <c r="D1023" t="s">
        <v>128</v>
      </c>
      <c r="E1023" t="s">
        <v>361</v>
      </c>
      <c r="F1023" t="s">
        <v>96</v>
      </c>
      <c r="G1023" t="s">
        <v>357</v>
      </c>
      <c r="H1023" t="s">
        <v>358</v>
      </c>
      <c r="I1023">
        <v>1</v>
      </c>
      <c r="J1023" t="s">
        <v>24</v>
      </c>
      <c r="K1023" t="s">
        <v>359</v>
      </c>
      <c r="L1023" t="s">
        <v>360</v>
      </c>
      <c r="M1023" t="s">
        <v>27</v>
      </c>
      <c r="N1023" t="s">
        <v>24</v>
      </c>
      <c r="O1023" t="e">
        <f>_xlfn.XLOOKUP(E1023,[1]syr_populatedplaces!$L:$L,[1]syr_populatedplaces!$M:$M)</f>
        <v>#N/A</v>
      </c>
      <c r="P1023" s="3">
        <v>33.534999999999997</v>
      </c>
      <c r="Q1023" s="3">
        <v>36.235500000000002</v>
      </c>
    </row>
    <row r="1024" spans="2:17">
      <c r="B1024" t="s">
        <v>17</v>
      </c>
      <c r="C1024" t="s">
        <v>355</v>
      </c>
      <c r="D1024" t="s">
        <v>128</v>
      </c>
      <c r="E1024" t="s">
        <v>362</v>
      </c>
      <c r="F1024" t="s">
        <v>96</v>
      </c>
      <c r="G1024" t="s">
        <v>357</v>
      </c>
      <c r="H1024" t="s">
        <v>358</v>
      </c>
      <c r="I1024">
        <v>1</v>
      </c>
      <c r="J1024" t="s">
        <v>24</v>
      </c>
      <c r="K1024" t="s">
        <v>359</v>
      </c>
      <c r="L1024" t="s">
        <v>360</v>
      </c>
      <c r="M1024" t="s">
        <v>27</v>
      </c>
      <c r="N1024" t="s">
        <v>24</v>
      </c>
      <c r="O1024" t="e">
        <f>_xlfn.XLOOKUP(E1024,[1]syr_populatedplaces!$L:$L,[1]syr_populatedplaces!$M:$M)</f>
        <v>#N/A</v>
      </c>
      <c r="P1024" s="3">
        <v>33.512</v>
      </c>
      <c r="Q1024" s="3">
        <v>36.311199999999999</v>
      </c>
    </row>
    <row r="1025" spans="2:17">
      <c r="B1025" t="s">
        <v>17</v>
      </c>
      <c r="C1025" t="s">
        <v>355</v>
      </c>
      <c r="D1025" t="s">
        <v>128</v>
      </c>
      <c r="E1025" t="s">
        <v>363</v>
      </c>
      <c r="F1025" t="s">
        <v>96</v>
      </c>
      <c r="G1025" t="s">
        <v>357</v>
      </c>
      <c r="H1025" t="s">
        <v>358</v>
      </c>
      <c r="I1025">
        <v>1</v>
      </c>
      <c r="J1025" t="s">
        <v>24</v>
      </c>
      <c r="K1025" t="s">
        <v>359</v>
      </c>
      <c r="L1025" t="s">
        <v>360</v>
      </c>
      <c r="M1025" t="s">
        <v>27</v>
      </c>
      <c r="N1025" t="s">
        <v>24</v>
      </c>
      <c r="O1025" t="e">
        <f>_xlfn.XLOOKUP(E1025,[1]syr_populatedplaces!$L:$L,[1]syr_populatedplaces!$M:$M)</f>
        <v>#N/A</v>
      </c>
      <c r="P1025" s="3">
        <v>33.511299999999999</v>
      </c>
      <c r="Q1025" s="3">
        <v>36.308700000000002</v>
      </c>
    </row>
    <row r="1026" spans="2:17">
      <c r="B1026" t="s">
        <v>17</v>
      </c>
      <c r="C1026" t="s">
        <v>355</v>
      </c>
      <c r="D1026" t="s">
        <v>364</v>
      </c>
      <c r="E1026" t="s">
        <v>365</v>
      </c>
      <c r="F1026" t="s">
        <v>96</v>
      </c>
      <c r="G1026" t="s">
        <v>366</v>
      </c>
      <c r="H1026" t="s">
        <v>367</v>
      </c>
      <c r="I1026">
        <v>1</v>
      </c>
      <c r="J1026" t="s">
        <v>99</v>
      </c>
      <c r="K1026" t="s">
        <v>100</v>
      </c>
      <c r="L1026" t="s">
        <v>368</v>
      </c>
      <c r="M1026" t="s">
        <v>27</v>
      </c>
      <c r="N1026" t="s">
        <v>24</v>
      </c>
      <c r="O1026" t="e">
        <f>_xlfn.XLOOKUP(E1026,[1]syr_populatedplaces!$L:$L,[1]syr_populatedplaces!$M:$M)</f>
        <v>#N/A</v>
      </c>
      <c r="P1026" s="3">
        <v>33.504199999999997</v>
      </c>
      <c r="Q1026" s="3">
        <v>36.316499999999998</v>
      </c>
    </row>
    <row r="1027" spans="2:17">
      <c r="B1027" t="s">
        <v>17</v>
      </c>
      <c r="C1027" t="s">
        <v>355</v>
      </c>
      <c r="D1027" t="s">
        <v>364</v>
      </c>
      <c r="E1027" t="s">
        <v>369</v>
      </c>
      <c r="F1027" t="s">
        <v>96</v>
      </c>
      <c r="G1027" t="s">
        <v>366</v>
      </c>
      <c r="H1027" t="s">
        <v>367</v>
      </c>
      <c r="I1027">
        <v>1</v>
      </c>
      <c r="J1027" t="s">
        <v>99</v>
      </c>
      <c r="K1027" t="s">
        <v>100</v>
      </c>
      <c r="L1027" t="s">
        <v>368</v>
      </c>
      <c r="M1027" t="s">
        <v>27</v>
      </c>
      <c r="N1027" t="s">
        <v>24</v>
      </c>
      <c r="O1027" t="e">
        <f>_xlfn.XLOOKUP(E1027,[1]syr_populatedplaces!$L:$L,[1]syr_populatedplaces!$M:$M)</f>
        <v>#N/A</v>
      </c>
      <c r="P1027" s="3">
        <v>33.488500000000002</v>
      </c>
      <c r="Q1027" s="3">
        <v>36.265000000000001</v>
      </c>
    </row>
    <row r="1028" spans="2:17">
      <c r="B1028" t="s">
        <v>17</v>
      </c>
      <c r="C1028" t="s">
        <v>355</v>
      </c>
      <c r="D1028" t="s">
        <v>364</v>
      </c>
      <c r="E1028" t="s">
        <v>362</v>
      </c>
      <c r="F1028" t="s">
        <v>96</v>
      </c>
      <c r="G1028" t="s">
        <v>371</v>
      </c>
      <c r="H1028" t="s">
        <v>372</v>
      </c>
      <c r="I1028">
        <v>1</v>
      </c>
      <c r="J1028" t="s">
        <v>108</v>
      </c>
      <c r="K1028" t="s">
        <v>373</v>
      </c>
      <c r="L1028" t="s">
        <v>374</v>
      </c>
      <c r="M1028" t="s">
        <v>27</v>
      </c>
      <c r="N1028" t="s">
        <v>99</v>
      </c>
      <c r="O1028" t="e">
        <f>_xlfn.XLOOKUP(E1028,[1]syr_populatedplaces!$L:$L,[1]syr_populatedplaces!$M:$M)</f>
        <v>#N/A</v>
      </c>
      <c r="P1028" s="3">
        <v>33.512</v>
      </c>
      <c r="Q1028" s="3">
        <v>36.311199999999999</v>
      </c>
    </row>
    <row r="1029" spans="2:17">
      <c r="B1029" t="s">
        <v>17</v>
      </c>
      <c r="C1029" t="s">
        <v>355</v>
      </c>
      <c r="D1029" t="s">
        <v>364</v>
      </c>
      <c r="E1029" t="s">
        <v>375</v>
      </c>
      <c r="F1029" t="s">
        <v>96</v>
      </c>
      <c r="G1029" t="s">
        <v>371</v>
      </c>
      <c r="H1029" t="s">
        <v>372</v>
      </c>
      <c r="I1029">
        <v>1</v>
      </c>
      <c r="J1029" t="s">
        <v>108</v>
      </c>
      <c r="K1029" t="s">
        <v>373</v>
      </c>
      <c r="L1029" t="s">
        <v>374</v>
      </c>
      <c r="M1029" t="s">
        <v>27</v>
      </c>
      <c r="N1029" t="s">
        <v>99</v>
      </c>
      <c r="O1029" t="e">
        <f>_xlfn.XLOOKUP(E1029,[1]syr_populatedplaces!$L:$L,[1]syr_populatedplaces!$M:$M)</f>
        <v>#N/A</v>
      </c>
      <c r="P1029">
        <v>33.500500000000002</v>
      </c>
      <c r="Q1029">
        <v>36.308999999999997</v>
      </c>
    </row>
    <row r="1030" spans="2:17">
      <c r="B1030" t="s">
        <v>17</v>
      </c>
      <c r="C1030" t="s">
        <v>355</v>
      </c>
      <c r="D1030" t="s">
        <v>364</v>
      </c>
      <c r="E1030" t="s">
        <v>376</v>
      </c>
      <c r="F1030" t="s">
        <v>96</v>
      </c>
      <c r="G1030" t="s">
        <v>371</v>
      </c>
      <c r="H1030" t="s">
        <v>372</v>
      </c>
      <c r="I1030">
        <v>1</v>
      </c>
      <c r="J1030" t="s">
        <v>108</v>
      </c>
      <c r="K1030" t="s">
        <v>373</v>
      </c>
      <c r="L1030" t="s">
        <v>374</v>
      </c>
      <c r="M1030" t="s">
        <v>27</v>
      </c>
      <c r="N1030" t="s">
        <v>99</v>
      </c>
      <c r="O1030" t="e">
        <f>_xlfn.XLOOKUP(E1030,[1]syr_populatedplaces!$L:$L,[1]syr_populatedplaces!$M:$M)</f>
        <v>#N/A</v>
      </c>
      <c r="P1030">
        <v>33.505499999999998</v>
      </c>
      <c r="Q1030">
        <v>36.307200000000002</v>
      </c>
    </row>
    <row r="1031" spans="2:17">
      <c r="B1031" t="s">
        <v>17</v>
      </c>
      <c r="C1031" t="s">
        <v>355</v>
      </c>
      <c r="D1031" t="s">
        <v>377</v>
      </c>
      <c r="E1031" t="s">
        <v>356</v>
      </c>
      <c r="F1031" t="s">
        <v>96</v>
      </c>
      <c r="G1031" t="s">
        <v>378</v>
      </c>
      <c r="H1031" t="s">
        <v>124</v>
      </c>
      <c r="I1031">
        <v>1</v>
      </c>
      <c r="J1031" t="s">
        <v>99</v>
      </c>
      <c r="K1031" t="s">
        <v>379</v>
      </c>
      <c r="L1031" t="s">
        <v>380</v>
      </c>
      <c r="M1031" t="s">
        <v>27</v>
      </c>
      <c r="N1031" t="s">
        <v>99</v>
      </c>
      <c r="O1031" t="e">
        <f>_xlfn.XLOOKUP(E1031,[1]syr_populatedplaces!$L:$L,[1]syr_populatedplaces!$M:$M)</f>
        <v>#N/A</v>
      </c>
      <c r="P1031">
        <v>33.506500000000003</v>
      </c>
      <c r="Q1031">
        <v>36.262500000000003</v>
      </c>
    </row>
    <row r="1032" spans="2:17">
      <c r="B1032" t="s">
        <v>381</v>
      </c>
      <c r="C1032" t="s">
        <v>595</v>
      </c>
      <c r="D1032" t="s">
        <v>128</v>
      </c>
      <c r="E1032" t="s">
        <v>596</v>
      </c>
      <c r="F1032" t="s">
        <v>346</v>
      </c>
      <c r="G1032" t="s">
        <v>597</v>
      </c>
      <c r="H1032" t="s">
        <v>124</v>
      </c>
      <c r="I1032">
        <v>1</v>
      </c>
      <c r="J1032" t="s">
        <v>108</v>
      </c>
      <c r="K1032" t="s">
        <v>598</v>
      </c>
      <c r="L1032" t="s">
        <v>132</v>
      </c>
      <c r="M1032" t="s">
        <v>27</v>
      </c>
      <c r="N1032" t="s">
        <v>108</v>
      </c>
      <c r="O1032" t="s">
        <v>599</v>
      </c>
      <c r="P1032">
        <v>33.457885740000002</v>
      </c>
      <c r="Q1032">
        <v>36.30310059</v>
      </c>
    </row>
    <row r="1033" spans="2:17">
      <c r="B1033" t="s">
        <v>381</v>
      </c>
      <c r="C1033" t="s">
        <v>595</v>
      </c>
      <c r="D1033" t="s">
        <v>128</v>
      </c>
      <c r="E1033" t="s">
        <v>353</v>
      </c>
      <c r="F1033" t="s">
        <v>346</v>
      </c>
      <c r="G1033" t="s">
        <v>597</v>
      </c>
      <c r="H1033" t="s">
        <v>124</v>
      </c>
      <c r="I1033">
        <v>1</v>
      </c>
      <c r="J1033" t="s">
        <v>108</v>
      </c>
      <c r="K1033" t="s">
        <v>598</v>
      </c>
      <c r="L1033" t="s">
        <v>132</v>
      </c>
      <c r="M1033" t="s">
        <v>27</v>
      </c>
      <c r="N1033" t="s">
        <v>108</v>
      </c>
      <c r="O1033" t="s">
        <v>354</v>
      </c>
      <c r="P1033">
        <v>33.725280759999997</v>
      </c>
      <c r="Q1033">
        <v>36.10247803</v>
      </c>
    </row>
    <row r="1034" spans="2:17">
      <c r="B1034" t="s">
        <v>381</v>
      </c>
      <c r="C1034" t="s">
        <v>595</v>
      </c>
      <c r="D1034" t="s">
        <v>128</v>
      </c>
      <c r="E1034" t="s">
        <v>351</v>
      </c>
      <c r="F1034" t="s">
        <v>346</v>
      </c>
      <c r="G1034" t="s">
        <v>597</v>
      </c>
      <c r="H1034" t="s">
        <v>124</v>
      </c>
      <c r="I1034">
        <v>1</v>
      </c>
      <c r="J1034" t="s">
        <v>108</v>
      </c>
      <c r="K1034" t="s">
        <v>598</v>
      </c>
      <c r="L1034" t="s">
        <v>132</v>
      </c>
      <c r="M1034" t="s">
        <v>27</v>
      </c>
      <c r="N1034" t="s">
        <v>108</v>
      </c>
      <c r="O1034" t="s">
        <v>352</v>
      </c>
      <c r="P1034">
        <v>33.725524900000003</v>
      </c>
      <c r="Q1034">
        <v>36.126281740000003</v>
      </c>
    </row>
    <row r="1035" spans="2:17">
      <c r="B1035" t="s">
        <v>381</v>
      </c>
      <c r="C1035" t="s">
        <v>595</v>
      </c>
      <c r="D1035" t="s">
        <v>128</v>
      </c>
      <c r="E1035" t="s">
        <v>355</v>
      </c>
      <c r="F1035" t="s">
        <v>346</v>
      </c>
      <c r="G1035" t="s">
        <v>597</v>
      </c>
      <c r="H1035" t="s">
        <v>124</v>
      </c>
      <c r="I1035">
        <v>1</v>
      </c>
      <c r="J1035" t="s">
        <v>108</v>
      </c>
      <c r="K1035" t="s">
        <v>598</v>
      </c>
      <c r="L1035" t="s">
        <v>132</v>
      </c>
      <c r="M1035" t="s">
        <v>27</v>
      </c>
      <c r="N1035" t="s">
        <v>108</v>
      </c>
      <c r="O1035" t="s">
        <v>600</v>
      </c>
      <c r="P1035">
        <v>33.517272949999999</v>
      </c>
      <c r="Q1035">
        <v>36.276672359999999</v>
      </c>
    </row>
    <row r="1036" spans="2:17">
      <c r="B1036" t="s">
        <v>381</v>
      </c>
      <c r="C1036" t="s">
        <v>595</v>
      </c>
      <c r="D1036" t="s">
        <v>128</v>
      </c>
      <c r="E1036" t="s">
        <v>18</v>
      </c>
      <c r="F1036" t="s">
        <v>346</v>
      </c>
      <c r="G1036" t="s">
        <v>597</v>
      </c>
      <c r="H1036" t="s">
        <v>124</v>
      </c>
      <c r="I1036">
        <v>1</v>
      </c>
      <c r="J1036" t="s">
        <v>108</v>
      </c>
      <c r="K1036" t="s">
        <v>598</v>
      </c>
      <c r="L1036" t="s">
        <v>132</v>
      </c>
      <c r="M1036" t="s">
        <v>27</v>
      </c>
      <c r="N1036" t="s">
        <v>108</v>
      </c>
      <c r="O1036" t="s">
        <v>62</v>
      </c>
      <c r="P1036">
        <v>36.20611572</v>
      </c>
      <c r="Q1036">
        <v>37.152526860000002</v>
      </c>
    </row>
    <row r="1037" spans="2:17">
      <c r="B1037" t="s">
        <v>381</v>
      </c>
      <c r="C1037" t="s">
        <v>595</v>
      </c>
      <c r="D1037" t="s">
        <v>128</v>
      </c>
      <c r="E1037" t="s">
        <v>355</v>
      </c>
      <c r="F1037" t="s">
        <v>346</v>
      </c>
      <c r="G1037" t="s">
        <v>597</v>
      </c>
      <c r="H1037" t="s">
        <v>124</v>
      </c>
      <c r="I1037">
        <v>1</v>
      </c>
      <c r="J1037" t="s">
        <v>108</v>
      </c>
      <c r="K1037" t="s">
        <v>598</v>
      </c>
      <c r="L1037" t="s">
        <v>132</v>
      </c>
      <c r="M1037" t="s">
        <v>27</v>
      </c>
      <c r="N1037" t="s">
        <v>108</v>
      </c>
      <c r="O1037" t="s">
        <v>600</v>
      </c>
      <c r="P1037">
        <v>33.517272949999999</v>
      </c>
      <c r="Q1037">
        <v>36.276672359999999</v>
      </c>
    </row>
    <row r="1038" spans="2:17">
      <c r="B1038" t="s">
        <v>381</v>
      </c>
      <c r="C1038" t="s">
        <v>595</v>
      </c>
      <c r="D1038" t="s">
        <v>128</v>
      </c>
      <c r="E1038" t="s">
        <v>602</v>
      </c>
      <c r="F1038" t="s">
        <v>346</v>
      </c>
      <c r="G1038" t="s">
        <v>597</v>
      </c>
      <c r="H1038" t="s">
        <v>124</v>
      </c>
      <c r="I1038">
        <v>1</v>
      </c>
      <c r="J1038" t="s">
        <v>108</v>
      </c>
      <c r="K1038" t="s">
        <v>598</v>
      </c>
      <c r="L1038" t="s">
        <v>132</v>
      </c>
      <c r="M1038" t="s">
        <v>27</v>
      </c>
      <c r="N1038" t="s">
        <v>108</v>
      </c>
      <c r="O1038" t="s">
        <v>603</v>
      </c>
      <c r="P1038">
        <v>33.756103520000003</v>
      </c>
      <c r="Q1038">
        <v>36.390686039999999</v>
      </c>
    </row>
    <row r="1039" spans="2:17">
      <c r="B1039" t="s">
        <v>381</v>
      </c>
      <c r="C1039" t="s">
        <v>595</v>
      </c>
      <c r="D1039" t="s">
        <v>128</v>
      </c>
      <c r="E1039" t="s">
        <v>604</v>
      </c>
      <c r="F1039" t="s">
        <v>346</v>
      </c>
      <c r="G1039" t="s">
        <v>597</v>
      </c>
      <c r="H1039" t="s">
        <v>124</v>
      </c>
      <c r="I1039">
        <v>1</v>
      </c>
      <c r="J1039" t="s">
        <v>108</v>
      </c>
      <c r="K1039" t="s">
        <v>598</v>
      </c>
      <c r="L1039" t="s">
        <v>132</v>
      </c>
      <c r="M1039" t="s">
        <v>27</v>
      </c>
      <c r="N1039" t="s">
        <v>108</v>
      </c>
      <c r="O1039" t="s">
        <v>605</v>
      </c>
      <c r="P1039">
        <v>33.813720699999998</v>
      </c>
      <c r="Q1039">
        <v>36.445922850000002</v>
      </c>
    </row>
    <row r="1040" spans="2:17">
      <c r="B1040" t="s">
        <v>381</v>
      </c>
      <c r="C1040" t="s">
        <v>595</v>
      </c>
      <c r="D1040" t="s">
        <v>128</v>
      </c>
      <c r="E1040" t="s">
        <v>353</v>
      </c>
      <c r="F1040" t="s">
        <v>346</v>
      </c>
      <c r="G1040" t="s">
        <v>597</v>
      </c>
      <c r="H1040" t="s">
        <v>124</v>
      </c>
      <c r="I1040">
        <v>1</v>
      </c>
      <c r="J1040" t="s">
        <v>108</v>
      </c>
      <c r="K1040" t="s">
        <v>598</v>
      </c>
      <c r="L1040" t="s">
        <v>132</v>
      </c>
      <c r="M1040" t="s">
        <v>27</v>
      </c>
      <c r="N1040" t="s">
        <v>108</v>
      </c>
      <c r="O1040" t="s">
        <v>354</v>
      </c>
      <c r="P1040">
        <v>33.725280759999997</v>
      </c>
      <c r="Q1040">
        <v>36.10247803</v>
      </c>
    </row>
    <row r="1041" spans="2:17">
      <c r="B1041" t="s">
        <v>381</v>
      </c>
      <c r="C1041" t="s">
        <v>595</v>
      </c>
      <c r="D1041" t="s">
        <v>128</v>
      </c>
      <c r="E1041" t="s">
        <v>351</v>
      </c>
      <c r="F1041" t="s">
        <v>346</v>
      </c>
      <c r="G1041" t="s">
        <v>597</v>
      </c>
      <c r="H1041" t="s">
        <v>124</v>
      </c>
      <c r="I1041">
        <v>1</v>
      </c>
      <c r="J1041" t="s">
        <v>108</v>
      </c>
      <c r="K1041" t="s">
        <v>598</v>
      </c>
      <c r="L1041" t="s">
        <v>132</v>
      </c>
      <c r="M1041" t="s">
        <v>27</v>
      </c>
      <c r="N1041" t="s">
        <v>108</v>
      </c>
      <c r="O1041" t="s">
        <v>352</v>
      </c>
      <c r="P1041">
        <v>33.725524900000003</v>
      </c>
      <c r="Q1041">
        <v>36.126281740000003</v>
      </c>
    </row>
    <row r="1042" spans="2:17">
      <c r="B1042" t="s">
        <v>381</v>
      </c>
      <c r="C1042" t="s">
        <v>595</v>
      </c>
      <c r="D1042" t="s">
        <v>128</v>
      </c>
      <c r="E1042" t="s">
        <v>437</v>
      </c>
      <c r="F1042" t="s">
        <v>346</v>
      </c>
      <c r="G1042" t="s">
        <v>597</v>
      </c>
      <c r="H1042" t="s">
        <v>124</v>
      </c>
      <c r="I1042">
        <v>1</v>
      </c>
      <c r="J1042" t="s">
        <v>108</v>
      </c>
      <c r="K1042" t="s">
        <v>598</v>
      </c>
      <c r="L1042" t="s">
        <v>132</v>
      </c>
      <c r="M1042" t="s">
        <v>27</v>
      </c>
      <c r="N1042" t="s">
        <v>108</v>
      </c>
      <c r="O1042" t="s">
        <v>438</v>
      </c>
      <c r="P1042">
        <v>33.838073729999998</v>
      </c>
      <c r="Q1042">
        <v>36.246276860000002</v>
      </c>
    </row>
    <row r="1043" spans="2:17">
      <c r="B1043" t="s">
        <v>381</v>
      </c>
      <c r="C1043" t="s">
        <v>595</v>
      </c>
      <c r="D1043" t="s">
        <v>128</v>
      </c>
      <c r="E1043" t="s">
        <v>333</v>
      </c>
      <c r="F1043" t="s">
        <v>96</v>
      </c>
      <c r="G1043" t="s">
        <v>275</v>
      </c>
      <c r="H1043" t="s">
        <v>608</v>
      </c>
      <c r="I1043">
        <v>1</v>
      </c>
      <c r="J1043" t="s">
        <v>99</v>
      </c>
      <c r="K1043" t="s">
        <v>496</v>
      </c>
      <c r="L1043" t="s">
        <v>278</v>
      </c>
      <c r="M1043" t="s">
        <v>27</v>
      </c>
      <c r="N1043" t="s">
        <v>24</v>
      </c>
      <c r="O1043" t="s">
        <v>334</v>
      </c>
      <c r="P1043">
        <v>33.60430908</v>
      </c>
      <c r="Q1043">
        <v>36.311889649999998</v>
      </c>
    </row>
    <row r="1044" spans="2:17">
      <c r="B1044" t="s">
        <v>381</v>
      </c>
      <c r="C1044" t="s">
        <v>595</v>
      </c>
      <c r="D1044" t="s">
        <v>128</v>
      </c>
      <c r="E1044" t="s">
        <v>353</v>
      </c>
      <c r="F1044" t="s">
        <v>96</v>
      </c>
      <c r="G1044" t="s">
        <v>275</v>
      </c>
      <c r="H1044" t="s">
        <v>608</v>
      </c>
      <c r="I1044">
        <v>1</v>
      </c>
      <c r="J1044" t="s">
        <v>99</v>
      </c>
      <c r="K1044" t="s">
        <v>496</v>
      </c>
      <c r="L1044" t="s">
        <v>278</v>
      </c>
      <c r="M1044" t="s">
        <v>27</v>
      </c>
      <c r="N1044" t="s">
        <v>24</v>
      </c>
      <c r="O1044" t="s">
        <v>354</v>
      </c>
      <c r="P1044">
        <v>33.725280759999997</v>
      </c>
      <c r="Q1044">
        <v>36.10247803</v>
      </c>
    </row>
    <row r="1045" spans="2:17">
      <c r="B1045" t="s">
        <v>614</v>
      </c>
      <c r="C1045" t="s">
        <v>595</v>
      </c>
      <c r="D1045" t="s">
        <v>128</v>
      </c>
      <c r="E1045" t="s">
        <v>18</v>
      </c>
      <c r="F1045" t="s">
        <v>346</v>
      </c>
      <c r="G1045" t="s">
        <v>770</v>
      </c>
      <c r="H1045" t="s">
        <v>124</v>
      </c>
      <c r="I1045">
        <v>1</v>
      </c>
      <c r="J1045" t="s">
        <v>108</v>
      </c>
      <c r="K1045" t="s">
        <v>265</v>
      </c>
      <c r="L1045" t="s">
        <v>132</v>
      </c>
      <c r="M1045" t="s">
        <v>27</v>
      </c>
      <c r="N1045" t="s">
        <v>387</v>
      </c>
      <c r="O1045" t="s">
        <v>62</v>
      </c>
      <c r="P1045">
        <v>36.20611572</v>
      </c>
      <c r="Q1045">
        <v>37.152526860000002</v>
      </c>
    </row>
    <row r="1046" spans="2:17">
      <c r="B1046" t="s">
        <v>614</v>
      </c>
      <c r="C1046" t="s">
        <v>595</v>
      </c>
      <c r="D1046" t="s">
        <v>128</v>
      </c>
      <c r="E1046" t="s">
        <v>790</v>
      </c>
      <c r="F1046" t="s">
        <v>346</v>
      </c>
      <c r="G1046" t="s">
        <v>770</v>
      </c>
      <c r="H1046" t="s">
        <v>124</v>
      </c>
      <c r="I1046">
        <v>1</v>
      </c>
      <c r="J1046" t="s">
        <v>108</v>
      </c>
      <c r="K1046" t="s">
        <v>265</v>
      </c>
      <c r="L1046" t="s">
        <v>132</v>
      </c>
      <c r="M1046" t="s">
        <v>27</v>
      </c>
      <c r="N1046" t="s">
        <v>387</v>
      </c>
      <c r="O1046" t="s">
        <v>791</v>
      </c>
      <c r="P1046">
        <v>33.738098149999999</v>
      </c>
      <c r="Q1046">
        <v>36.596679690000002</v>
      </c>
    </row>
    <row r="1047" spans="2:17">
      <c r="B1047" t="s">
        <v>614</v>
      </c>
      <c r="C1047" t="s">
        <v>595</v>
      </c>
      <c r="D1047" t="s">
        <v>128</v>
      </c>
      <c r="E1047" t="s">
        <v>353</v>
      </c>
      <c r="F1047" t="s">
        <v>346</v>
      </c>
      <c r="G1047" t="s">
        <v>770</v>
      </c>
      <c r="H1047" t="s">
        <v>124</v>
      </c>
      <c r="I1047">
        <v>1</v>
      </c>
      <c r="J1047" t="s">
        <v>108</v>
      </c>
      <c r="K1047" t="s">
        <v>265</v>
      </c>
      <c r="L1047" t="s">
        <v>132</v>
      </c>
      <c r="M1047" t="s">
        <v>27</v>
      </c>
      <c r="N1047" t="s">
        <v>387</v>
      </c>
      <c r="O1047" t="s">
        <v>354</v>
      </c>
      <c r="P1047">
        <v>33.725280759999997</v>
      </c>
      <c r="Q1047">
        <v>36.10247803</v>
      </c>
    </row>
    <row r="1048" spans="2:17" ht="15">
      <c r="B1048" t="s">
        <v>381</v>
      </c>
      <c r="C1048" t="s">
        <v>595</v>
      </c>
      <c r="D1048" t="s">
        <v>128</v>
      </c>
      <c r="E1048" t="s">
        <v>601</v>
      </c>
      <c r="F1048" t="s">
        <v>346</v>
      </c>
      <c r="G1048" t="s">
        <v>597</v>
      </c>
      <c r="H1048" t="s">
        <v>124</v>
      </c>
      <c r="I1048">
        <v>1</v>
      </c>
      <c r="J1048" t="s">
        <v>108</v>
      </c>
      <c r="K1048" t="s">
        <v>598</v>
      </c>
      <c r="L1048" t="s">
        <v>132</v>
      </c>
      <c r="M1048" t="s">
        <v>27</v>
      </c>
      <c r="N1048" t="s">
        <v>108</v>
      </c>
      <c r="O1048" t="e">
        <f>_xlfn.XLOOKUP(E1048,[1]syr_populatedplaces!$L:$L,[1]syr_populatedplaces!$M:$M)</f>
        <v>#N/A</v>
      </c>
      <c r="P1048" s="4" t="e">
        <f>_xlfn.XLOOKUP(الجدول1[[#This Row],[القرية– البلدة]],[1]syr_populatedplaces!$L:$L,[1]syr_populatedplaces!$AD:$AD)</f>
        <v>#N/A</v>
      </c>
      <c r="Q1048" s="4" t="e">
        <f>_xlfn.XLOOKUP(الجدول1[[#This Row],[القرية– البلدة]],[1]syr_populatedplaces!$L:$L,[1]syr_populatedplaces!$AC:$AC)</f>
        <v>#N/A</v>
      </c>
    </row>
    <row r="1049" spans="2:17" ht="15">
      <c r="B1049" t="s">
        <v>381</v>
      </c>
      <c r="C1049" t="s">
        <v>595</v>
      </c>
      <c r="D1049" t="s">
        <v>128</v>
      </c>
      <c r="E1049" t="s">
        <v>606</v>
      </c>
      <c r="F1049" t="s">
        <v>346</v>
      </c>
      <c r="G1049" t="s">
        <v>597</v>
      </c>
      <c r="H1049" t="s">
        <v>124</v>
      </c>
      <c r="I1049">
        <v>1</v>
      </c>
      <c r="J1049" t="s">
        <v>108</v>
      </c>
      <c r="K1049" t="s">
        <v>598</v>
      </c>
      <c r="L1049" t="s">
        <v>132</v>
      </c>
      <c r="M1049" t="s">
        <v>27</v>
      </c>
      <c r="N1049" t="s">
        <v>108</v>
      </c>
      <c r="O1049" t="e">
        <f>_xlfn.XLOOKUP(E1049,[1]syr_populatedplaces!$L:$L,[1]syr_populatedplaces!$M:$M)</f>
        <v>#N/A</v>
      </c>
      <c r="P1049" s="4" t="e">
        <f>_xlfn.XLOOKUP(الجدول1[[#This Row],[القرية– البلدة]],[1]syr_populatedplaces!$L:$L,[1]syr_populatedplaces!$AD:$AD)</f>
        <v>#N/A</v>
      </c>
      <c r="Q1049" s="4" t="e">
        <f>_xlfn.XLOOKUP(الجدول1[[#This Row],[القرية– البلدة]],[1]syr_populatedplaces!$L:$L,[1]syr_populatedplaces!$AC:$AC)</f>
        <v>#N/A</v>
      </c>
    </row>
    <row r="1050" spans="2:17" ht="15">
      <c r="B1050" t="s">
        <v>381</v>
      </c>
      <c r="C1050" t="s">
        <v>595</v>
      </c>
      <c r="D1050" t="s">
        <v>128</v>
      </c>
      <c r="E1050" t="s">
        <v>607</v>
      </c>
      <c r="F1050" t="s">
        <v>346</v>
      </c>
      <c r="G1050" t="s">
        <v>597</v>
      </c>
      <c r="H1050" t="s">
        <v>124</v>
      </c>
      <c r="I1050">
        <v>1</v>
      </c>
      <c r="J1050" t="s">
        <v>108</v>
      </c>
      <c r="K1050" t="s">
        <v>598</v>
      </c>
      <c r="L1050" t="s">
        <v>132</v>
      </c>
      <c r="M1050" t="s">
        <v>27</v>
      </c>
      <c r="N1050" t="s">
        <v>108</v>
      </c>
      <c r="O1050" t="e">
        <f>_xlfn.XLOOKUP(E1050,[1]syr_populatedplaces!$L:$L,[1]syr_populatedplaces!$M:$M)</f>
        <v>#N/A</v>
      </c>
      <c r="P1050" s="4" t="e">
        <f>_xlfn.XLOOKUP(الجدول1[[#This Row],[القرية– البلدة]],[1]syr_populatedplaces!$L:$L,[1]syr_populatedplaces!$AD:$AD)</f>
        <v>#N/A</v>
      </c>
      <c r="Q1050" s="4" t="e">
        <f>_xlfn.XLOOKUP(الجدول1[[#This Row],[القرية– البلدة]],[1]syr_populatedplaces!$L:$L,[1]syr_populatedplaces!$AC:$AC)</f>
        <v>#N/A</v>
      </c>
    </row>
    <row r="1051" spans="2:17" ht="15">
      <c r="B1051" t="s">
        <v>381</v>
      </c>
      <c r="C1051" t="s">
        <v>595</v>
      </c>
      <c r="D1051" t="s">
        <v>128</v>
      </c>
      <c r="E1051" t="s">
        <v>1853</v>
      </c>
      <c r="F1051" t="s">
        <v>96</v>
      </c>
      <c r="G1051" t="s">
        <v>275</v>
      </c>
      <c r="H1051" t="s">
        <v>608</v>
      </c>
      <c r="I1051">
        <v>1</v>
      </c>
      <c r="J1051" t="s">
        <v>99</v>
      </c>
      <c r="K1051" t="s">
        <v>496</v>
      </c>
      <c r="L1051" t="s">
        <v>278</v>
      </c>
      <c r="M1051" t="s">
        <v>27</v>
      </c>
      <c r="N1051" t="s">
        <v>24</v>
      </c>
      <c r="O1051" t="e">
        <f>_xlfn.XLOOKUP(E1051,[1]syr_populatedplaces!$L:$L,[1]syr_populatedplaces!$M:$M)</f>
        <v>#N/A</v>
      </c>
      <c r="P1051" s="4" t="e">
        <f>_xlfn.XLOOKUP(الجدول1[[#This Row],[القرية– البلدة]],[1]syr_populatedplaces!$L:$L,[1]syr_populatedplaces!$AD:$AD)</f>
        <v>#N/A</v>
      </c>
      <c r="Q1051" s="4" t="e">
        <f>_xlfn.XLOOKUP(الجدول1[[#This Row],[القرية– البلدة]],[1]syr_populatedplaces!$L:$L,[1]syr_populatedplaces!$AC:$AC)</f>
        <v>#N/A</v>
      </c>
    </row>
    <row r="1052" spans="2:17" ht="15">
      <c r="B1052" t="s">
        <v>381</v>
      </c>
      <c r="C1052" t="s">
        <v>595</v>
      </c>
      <c r="D1052" t="s">
        <v>128</v>
      </c>
      <c r="E1052" t="s">
        <v>1852</v>
      </c>
      <c r="F1052" t="s">
        <v>96</v>
      </c>
      <c r="G1052" t="s">
        <v>275</v>
      </c>
      <c r="H1052" t="s">
        <v>608</v>
      </c>
      <c r="I1052">
        <v>1</v>
      </c>
      <c r="J1052" t="s">
        <v>99</v>
      </c>
      <c r="K1052" t="s">
        <v>496</v>
      </c>
      <c r="L1052" t="s">
        <v>278</v>
      </c>
      <c r="M1052" t="s">
        <v>27</v>
      </c>
      <c r="N1052" t="s">
        <v>24</v>
      </c>
      <c r="O1052" t="e">
        <f>_xlfn.XLOOKUP(E1052,[1]syr_populatedplaces!$L:$L,[1]syr_populatedplaces!$M:$M)</f>
        <v>#N/A</v>
      </c>
      <c r="P1052" s="4" t="e">
        <f>_xlfn.XLOOKUP(الجدول1[[#This Row],[القرية– البلدة]],[1]syr_populatedplaces!$L:$L,[1]syr_populatedplaces!$AD:$AD)</f>
        <v>#N/A</v>
      </c>
      <c r="Q1052" s="4" t="e">
        <f>_xlfn.XLOOKUP(الجدول1[[#This Row],[القرية– البلدة]],[1]syr_populatedplaces!$L:$L,[1]syr_populatedplaces!$AC:$AC)</f>
        <v>#N/A</v>
      </c>
    </row>
    <row r="1053" spans="2:17">
      <c r="B1053" t="s">
        <v>381</v>
      </c>
      <c r="C1053" t="s">
        <v>595</v>
      </c>
      <c r="D1053" t="s">
        <v>128</v>
      </c>
      <c r="E1053" t="s">
        <v>355</v>
      </c>
      <c r="F1053" t="s">
        <v>96</v>
      </c>
      <c r="G1053" t="s">
        <v>275</v>
      </c>
      <c r="H1053" t="s">
        <v>608</v>
      </c>
      <c r="I1053">
        <v>1</v>
      </c>
      <c r="J1053" t="s">
        <v>99</v>
      </c>
      <c r="K1053" t="s">
        <v>496</v>
      </c>
      <c r="L1053" t="s">
        <v>278</v>
      </c>
      <c r="M1053" t="s">
        <v>27</v>
      </c>
      <c r="N1053" t="s">
        <v>24</v>
      </c>
      <c r="O1053" t="str">
        <f>_xlfn.XLOOKUP(E1053,[1]syr_populatedplaces!$L:$L,[1]syr_populatedplaces!$M:$M)</f>
        <v>C1001</v>
      </c>
      <c r="P1053">
        <f>_xlfn.XLOOKUP(E1053,[1]syr_populatedplaces!$L:$L,[1]syr_populatedplaces!$AD:$AD)</f>
        <v>33.517272949999999</v>
      </c>
      <c r="Q1053">
        <f>_xlfn.XLOOKUP(E1053,[1]syr_populatedplaces!$L:$L,[1]syr_populatedplaces!$AC:$AC)</f>
        <v>36.276672359999999</v>
      </c>
    </row>
    <row r="1054" spans="2:17" ht="15">
      <c r="B1054" t="s">
        <v>381</v>
      </c>
      <c r="C1054" t="s">
        <v>595</v>
      </c>
      <c r="D1054" t="s">
        <v>609</v>
      </c>
      <c r="E1054" t="s">
        <v>609</v>
      </c>
      <c r="F1054" t="s">
        <v>96</v>
      </c>
      <c r="G1054" t="s">
        <v>610</v>
      </c>
      <c r="H1054" t="s">
        <v>611</v>
      </c>
      <c r="I1054">
        <v>1</v>
      </c>
      <c r="J1054" t="s">
        <v>108</v>
      </c>
      <c r="K1054" t="s">
        <v>612</v>
      </c>
      <c r="L1054" t="s">
        <v>613</v>
      </c>
      <c r="M1054" t="s">
        <v>27</v>
      </c>
      <c r="N1054" t="s">
        <v>99</v>
      </c>
      <c r="O1054" t="e">
        <f>_xlfn.XLOOKUP(E1054,[1]syr_populatedplaces!$L:$L,[1]syr_populatedplaces!$M:$M)</f>
        <v>#N/A</v>
      </c>
      <c r="P1054" s="4" t="e">
        <f>_xlfn.XLOOKUP(الجدول1[[#This Row],[القرية– البلدة]],[1]syr_populatedplaces!$L:$L,[1]syr_populatedplaces!$AD:$AD)</f>
        <v>#N/A</v>
      </c>
      <c r="Q1054" s="4" t="e">
        <f>_xlfn.XLOOKUP(الجدول1[[#This Row],[القرية– البلدة]],[1]syr_populatedplaces!$L:$L,[1]syr_populatedplaces!$AC:$AC)</f>
        <v>#N/A</v>
      </c>
    </row>
    <row r="1055" spans="2:17" ht="15">
      <c r="B1055" t="s">
        <v>614</v>
      </c>
      <c r="C1055" t="s">
        <v>595</v>
      </c>
      <c r="D1055" t="s">
        <v>128</v>
      </c>
      <c r="E1055" t="s">
        <v>789</v>
      </c>
      <c r="F1055" t="s">
        <v>346</v>
      </c>
      <c r="G1055" t="s">
        <v>770</v>
      </c>
      <c r="H1055" t="s">
        <v>124</v>
      </c>
      <c r="I1055">
        <v>1</v>
      </c>
      <c r="J1055" t="s">
        <v>108</v>
      </c>
      <c r="K1055" t="s">
        <v>265</v>
      </c>
      <c r="L1055" t="s">
        <v>132</v>
      </c>
      <c r="M1055" t="s">
        <v>27</v>
      </c>
      <c r="N1055" t="s">
        <v>387</v>
      </c>
      <c r="O1055" t="e">
        <f>_xlfn.XLOOKUP(E1055,[1]syr_populatedplaces!$L:$L,[1]syr_populatedplaces!$M:$M)</f>
        <v>#N/A</v>
      </c>
      <c r="P1055" s="4" t="e">
        <f>_xlfn.XLOOKUP(الجدول1[[#This Row],[القرية– البلدة]],[1]syr_populatedplaces!$L:$L,[1]syr_populatedplaces!$AD:$AD)</f>
        <v>#N/A</v>
      </c>
      <c r="Q1055" s="4" t="e">
        <f>_xlfn.XLOOKUP(الجدول1[[#This Row],[القرية– البلدة]],[1]syr_populatedplaces!$L:$L,[1]syr_populatedplaces!$AC:$AC)</f>
        <v>#N/A</v>
      </c>
    </row>
    <row r="1056" spans="2:17" ht="15">
      <c r="B1056" t="s">
        <v>614</v>
      </c>
      <c r="C1056" t="s">
        <v>595</v>
      </c>
      <c r="D1056" t="s">
        <v>128</v>
      </c>
      <c r="E1056" t="s">
        <v>792</v>
      </c>
      <c r="F1056" t="s">
        <v>346</v>
      </c>
      <c r="G1056" t="s">
        <v>770</v>
      </c>
      <c r="H1056" t="s">
        <v>124</v>
      </c>
      <c r="I1056">
        <v>1</v>
      </c>
      <c r="J1056" t="s">
        <v>108</v>
      </c>
      <c r="K1056" t="s">
        <v>265</v>
      </c>
      <c r="L1056" t="s">
        <v>132</v>
      </c>
      <c r="M1056" t="s">
        <v>27</v>
      </c>
      <c r="N1056" t="s">
        <v>387</v>
      </c>
      <c r="O1056" t="e">
        <f>_xlfn.XLOOKUP(E1056,[1]syr_populatedplaces!$L:$L,[1]syr_populatedplaces!$M:$M)</f>
        <v>#N/A</v>
      </c>
      <c r="P1056" s="4" t="e">
        <f>_xlfn.XLOOKUP(الجدول1[[#This Row],[القرية– البلدة]],[1]syr_populatedplaces!$L:$L,[1]syr_populatedplaces!$AD:$AD)</f>
        <v>#N/A</v>
      </c>
      <c r="Q1056" s="4" t="e">
        <f>_xlfn.XLOOKUP(الجدول1[[#This Row],[القرية– البلدة]],[1]syr_populatedplaces!$L:$L,[1]syr_populatedplaces!$AC:$AC)</f>
        <v>#N/A</v>
      </c>
    </row>
    <row r="1057" spans="2:17">
      <c r="B1057" t="s">
        <v>614</v>
      </c>
      <c r="C1057" t="s">
        <v>595</v>
      </c>
      <c r="D1057" t="s">
        <v>128</v>
      </c>
      <c r="E1057" t="s">
        <v>351</v>
      </c>
      <c r="F1057" t="s">
        <v>346</v>
      </c>
      <c r="G1057" t="s">
        <v>770</v>
      </c>
      <c r="H1057" t="s">
        <v>124</v>
      </c>
      <c r="I1057">
        <v>1</v>
      </c>
      <c r="J1057" t="s">
        <v>108</v>
      </c>
      <c r="K1057" t="s">
        <v>265</v>
      </c>
      <c r="L1057" t="s">
        <v>132</v>
      </c>
      <c r="M1057" t="s">
        <v>27</v>
      </c>
      <c r="N1057" t="s">
        <v>387</v>
      </c>
      <c r="O1057" t="str">
        <f>_xlfn.XLOOKUP(E1057,[1]syr_populatedplaces!$L:$L,[1]syr_populatedplaces!$M:$M)</f>
        <v>C2434</v>
      </c>
      <c r="P1057">
        <f>_xlfn.XLOOKUP(E1057,[1]syr_populatedplaces!$L:$L,[1]syr_populatedplaces!$AD:$AD)</f>
        <v>33.725524900000003</v>
      </c>
      <c r="Q1057">
        <f>_xlfn.XLOOKUP(E1057,[1]syr_populatedplaces!$L:$L,[1]syr_populatedplaces!$AC:$AC)</f>
        <v>36.126281740000003</v>
      </c>
    </row>
    <row r="1058" spans="2:17" ht="15">
      <c r="B1058" t="s">
        <v>614</v>
      </c>
      <c r="C1058" t="s">
        <v>595</v>
      </c>
      <c r="D1058" t="s">
        <v>128</v>
      </c>
      <c r="E1058" t="s">
        <v>723</v>
      </c>
      <c r="F1058" t="s">
        <v>346</v>
      </c>
      <c r="G1058" t="s">
        <v>793</v>
      </c>
      <c r="H1058" t="s">
        <v>124</v>
      </c>
      <c r="I1058">
        <v>1</v>
      </c>
      <c r="J1058" t="s">
        <v>108</v>
      </c>
      <c r="K1058" t="s">
        <v>794</v>
      </c>
      <c r="L1058" t="s">
        <v>795</v>
      </c>
      <c r="M1058" t="s">
        <v>27</v>
      </c>
      <c r="N1058" t="s">
        <v>108</v>
      </c>
      <c r="O1058" t="e">
        <f>_xlfn.XLOOKUP(E1058,[1]syr_populatedplaces!$L:$L,[1]syr_populatedplaces!$M:$M)</f>
        <v>#N/A</v>
      </c>
      <c r="P1058" s="4" t="e">
        <f>_xlfn.XLOOKUP(الجدول1[[#This Row],[القرية– البلدة]],[1]syr_populatedplaces!$L:$L,[1]syr_populatedplaces!$AD:$AD)</f>
        <v>#N/A</v>
      </c>
      <c r="Q1058" s="4" t="e">
        <f>_xlfn.XLOOKUP(الجدول1[[#This Row],[القرية– البلدة]],[1]syr_populatedplaces!$L:$L,[1]syr_populatedplaces!$AC:$AC)</f>
        <v>#N/A</v>
      </c>
    </row>
    <row r="1059" spans="2:17">
      <c r="B1059" t="s">
        <v>1309</v>
      </c>
      <c r="C1059" t="s">
        <v>1484</v>
      </c>
      <c r="D1059" t="s">
        <v>1485</v>
      </c>
      <c r="E1059" t="s">
        <v>1485</v>
      </c>
      <c r="F1059" t="s">
        <v>812</v>
      </c>
      <c r="G1059" t="s">
        <v>1486</v>
      </c>
      <c r="H1059" t="s">
        <v>1487</v>
      </c>
      <c r="I1059">
        <v>1</v>
      </c>
      <c r="J1059" t="s">
        <v>387</v>
      </c>
      <c r="K1059" t="s">
        <v>1488</v>
      </c>
      <c r="L1059" t="s">
        <v>1489</v>
      </c>
      <c r="M1059" t="s">
        <v>1314</v>
      </c>
      <c r="N1059" t="s">
        <v>387</v>
      </c>
      <c r="O1059" t="str">
        <f>_xlfn.XLOOKUP(E1059,[1]syr_populatedplaces!$L:$L,[1]syr_populatedplaces!$M:$M)</f>
        <v>C5167</v>
      </c>
      <c r="P1059">
        <f>_xlfn.XLOOKUP(E1059,[1]syr_populatedplaces!$L:$L,[1]syr_populatedplaces!$AD:$AD)</f>
        <v>34.45471191</v>
      </c>
      <c r="Q1059">
        <f>_xlfn.XLOOKUP(E1059,[1]syr_populatedplaces!$L:$L,[1]syr_populatedplaces!$AC:$AC)</f>
        <v>40.911682130000003</v>
      </c>
    </row>
    <row r="1060" spans="2:17">
      <c r="B1060" t="s">
        <v>1309</v>
      </c>
      <c r="C1060" t="s">
        <v>1484</v>
      </c>
      <c r="D1060" t="s">
        <v>1490</v>
      </c>
      <c r="E1060" t="s">
        <v>1854</v>
      </c>
      <c r="F1060" t="s">
        <v>812</v>
      </c>
      <c r="G1060" t="s">
        <v>1491</v>
      </c>
      <c r="H1060" t="s">
        <v>1347</v>
      </c>
      <c r="I1060">
        <v>1</v>
      </c>
      <c r="J1060" t="s">
        <v>387</v>
      </c>
      <c r="K1060" t="s">
        <v>1492</v>
      </c>
      <c r="L1060" t="s">
        <v>1493</v>
      </c>
      <c r="M1060" t="s">
        <v>1314</v>
      </c>
      <c r="N1060" t="s">
        <v>387</v>
      </c>
      <c r="O1060" t="str">
        <f>_xlfn.XLOOKUP(E1060,[1]syr_populatedplaces!$L:$L,[1]syr_populatedplaces!$M:$M)</f>
        <v>C5090</v>
      </c>
      <c r="P1060">
        <f>_xlfn.XLOOKUP(E1060,[1]syr_populatedplaces!$L:$L,[1]syr_populatedplaces!$AD:$AD)</f>
        <v>35.48828125</v>
      </c>
      <c r="Q1060">
        <f>_xlfn.XLOOKUP(E1060,[1]syr_populatedplaces!$L:$L,[1]syr_populatedplaces!$AC:$AC)</f>
        <v>40.63830566</v>
      </c>
    </row>
    <row r="1061" spans="2:17">
      <c r="B1061" t="s">
        <v>1309</v>
      </c>
      <c r="C1061" t="s">
        <v>1484</v>
      </c>
      <c r="D1061" t="s">
        <v>1485</v>
      </c>
      <c r="E1061" t="s">
        <v>1855</v>
      </c>
      <c r="F1061" t="s">
        <v>812</v>
      </c>
      <c r="G1061" t="s">
        <v>1494</v>
      </c>
      <c r="H1061" t="s">
        <v>1347</v>
      </c>
      <c r="I1061">
        <v>1</v>
      </c>
      <c r="J1061" t="s">
        <v>387</v>
      </c>
      <c r="K1061" t="s">
        <v>1495</v>
      </c>
      <c r="L1061" t="s">
        <v>1493</v>
      </c>
      <c r="M1061" t="s">
        <v>1314</v>
      </c>
      <c r="N1061" t="s">
        <v>387</v>
      </c>
      <c r="O1061" t="str">
        <f>_xlfn.XLOOKUP(E1061,[1]syr_populatedplaces!$L:$L,[1]syr_populatedplaces!$M:$M)</f>
        <v>C5168</v>
      </c>
      <c r="P1061">
        <f>_xlfn.XLOOKUP(E1061,[1]syr_populatedplaces!$L:$L,[1]syr_populatedplaces!$AD:$AD)</f>
        <v>34.433898929999998</v>
      </c>
      <c r="Q1061">
        <f>_xlfn.XLOOKUP(E1061,[1]syr_populatedplaces!$L:$L,[1]syr_populatedplaces!$AC:$AC)</f>
        <v>40.933715820000003</v>
      </c>
    </row>
    <row r="1062" spans="2:17">
      <c r="B1062" t="s">
        <v>1309</v>
      </c>
      <c r="C1062" t="s">
        <v>1484</v>
      </c>
      <c r="D1062" t="s">
        <v>1490</v>
      </c>
      <c r="E1062" t="s">
        <v>1854</v>
      </c>
      <c r="F1062" t="s">
        <v>812</v>
      </c>
      <c r="G1062" t="s">
        <v>1496</v>
      </c>
      <c r="H1062" t="s">
        <v>1497</v>
      </c>
      <c r="I1062">
        <v>1</v>
      </c>
      <c r="J1062" t="s">
        <v>387</v>
      </c>
      <c r="K1062" t="s">
        <v>1498</v>
      </c>
      <c r="L1062" t="s">
        <v>1499</v>
      </c>
      <c r="M1062" t="s">
        <v>1314</v>
      </c>
      <c r="N1062" t="s">
        <v>387</v>
      </c>
      <c r="O1062" t="str">
        <f>_xlfn.XLOOKUP(E1062,[1]syr_populatedplaces!$L:$L,[1]syr_populatedplaces!$M:$M)</f>
        <v>C5090</v>
      </c>
      <c r="P1062">
        <f>_xlfn.XLOOKUP(E1062,[1]syr_populatedplaces!$L:$L,[1]syr_populatedplaces!$AD:$AD)</f>
        <v>35.48828125</v>
      </c>
      <c r="Q1062">
        <f>_xlfn.XLOOKUP(E1062,[1]syr_populatedplaces!$L:$L,[1]syr_populatedplaces!$AC:$AC)</f>
        <v>40.63830566</v>
      </c>
    </row>
    <row r="1063" spans="2:17">
      <c r="B1063" t="s">
        <v>17</v>
      </c>
      <c r="C1063" t="s">
        <v>326</v>
      </c>
      <c r="D1063" t="s">
        <v>128</v>
      </c>
      <c r="E1063" t="s">
        <v>297</v>
      </c>
      <c r="F1063" t="s">
        <v>96</v>
      </c>
      <c r="G1063" t="s">
        <v>169</v>
      </c>
      <c r="H1063" t="s">
        <v>327</v>
      </c>
      <c r="I1063">
        <v>1</v>
      </c>
      <c r="J1063" t="s">
        <v>24</v>
      </c>
      <c r="K1063" t="s">
        <v>328</v>
      </c>
      <c r="L1063" t="s">
        <v>329</v>
      </c>
      <c r="M1063" t="s">
        <v>27</v>
      </c>
      <c r="N1063" t="s">
        <v>108</v>
      </c>
      <c r="O1063" t="s">
        <v>330</v>
      </c>
      <c r="P1063">
        <v>33.423889160000002</v>
      </c>
      <c r="Q1063">
        <v>36.218688970000002</v>
      </c>
    </row>
    <row r="1064" spans="2:17">
      <c r="B1064" t="s">
        <v>17</v>
      </c>
      <c r="C1064" t="s">
        <v>326</v>
      </c>
      <c r="D1064" t="s">
        <v>128</v>
      </c>
      <c r="E1064" t="s">
        <v>538</v>
      </c>
      <c r="F1064" t="s">
        <v>96</v>
      </c>
      <c r="G1064" t="s">
        <v>169</v>
      </c>
      <c r="H1064" t="s">
        <v>327</v>
      </c>
      <c r="I1064">
        <v>1</v>
      </c>
      <c r="J1064" t="s">
        <v>24</v>
      </c>
      <c r="K1064" t="s">
        <v>328</v>
      </c>
      <c r="L1064" t="s">
        <v>329</v>
      </c>
      <c r="M1064" t="s">
        <v>27</v>
      </c>
      <c r="N1064" t="s">
        <v>108</v>
      </c>
      <c r="O1064" t="s">
        <v>332</v>
      </c>
      <c r="P1064">
        <v>33.457092289999999</v>
      </c>
      <c r="Q1064">
        <v>36.239685059999999</v>
      </c>
    </row>
    <row r="1065" spans="2:17">
      <c r="B1065" t="s">
        <v>17</v>
      </c>
      <c r="C1065" t="s">
        <v>326</v>
      </c>
      <c r="D1065" t="s">
        <v>128</v>
      </c>
      <c r="E1065" t="s">
        <v>257</v>
      </c>
      <c r="F1065" t="s">
        <v>96</v>
      </c>
      <c r="G1065" t="s">
        <v>169</v>
      </c>
      <c r="H1065" t="s">
        <v>327</v>
      </c>
      <c r="I1065">
        <v>1</v>
      </c>
      <c r="J1065" t="s">
        <v>24</v>
      </c>
      <c r="K1065" t="s">
        <v>328</v>
      </c>
      <c r="L1065" t="s">
        <v>329</v>
      </c>
      <c r="M1065" t="s">
        <v>27</v>
      </c>
      <c r="N1065" t="s">
        <v>108</v>
      </c>
      <c r="O1065" t="s">
        <v>334</v>
      </c>
      <c r="P1065">
        <v>33.60430908</v>
      </c>
      <c r="Q1065">
        <v>36.311889649999998</v>
      </c>
    </row>
    <row r="1066" spans="2:17">
      <c r="B1066" t="s">
        <v>17</v>
      </c>
      <c r="C1066" t="s">
        <v>326</v>
      </c>
      <c r="D1066" t="s">
        <v>128</v>
      </c>
      <c r="E1066" t="s">
        <v>1144</v>
      </c>
      <c r="F1066" t="s">
        <v>96</v>
      </c>
      <c r="G1066" t="s">
        <v>169</v>
      </c>
      <c r="H1066" t="s">
        <v>327</v>
      </c>
      <c r="I1066">
        <v>1</v>
      </c>
      <c r="J1066" t="s">
        <v>24</v>
      </c>
      <c r="K1066" t="s">
        <v>328</v>
      </c>
      <c r="L1066" t="s">
        <v>329</v>
      </c>
      <c r="M1066" t="s">
        <v>27</v>
      </c>
      <c r="N1066" t="s">
        <v>108</v>
      </c>
      <c r="O1066" t="s">
        <v>335</v>
      </c>
      <c r="P1066">
        <v>33.487670899999998</v>
      </c>
      <c r="Q1066">
        <v>36.348327640000001</v>
      </c>
    </row>
    <row r="1067" spans="2:17">
      <c r="B1067" t="s">
        <v>17</v>
      </c>
      <c r="C1067" t="s">
        <v>326</v>
      </c>
      <c r="D1067" t="s">
        <v>128</v>
      </c>
      <c r="E1067" t="s">
        <v>282</v>
      </c>
      <c r="F1067" t="s">
        <v>96</v>
      </c>
      <c r="G1067" t="s">
        <v>169</v>
      </c>
      <c r="H1067" t="s">
        <v>327</v>
      </c>
      <c r="I1067">
        <v>1</v>
      </c>
      <c r="J1067" t="s">
        <v>24</v>
      </c>
      <c r="K1067" t="s">
        <v>328</v>
      </c>
      <c r="L1067" t="s">
        <v>329</v>
      </c>
      <c r="M1067" t="s">
        <v>27</v>
      </c>
      <c r="N1067" t="s">
        <v>108</v>
      </c>
      <c r="O1067" t="s">
        <v>336</v>
      </c>
      <c r="P1067">
        <v>33.548278809999999</v>
      </c>
      <c r="Q1067">
        <v>36.217285160000003</v>
      </c>
    </row>
    <row r="1068" spans="2:17">
      <c r="B1068" t="s">
        <v>17</v>
      </c>
      <c r="C1068" t="s">
        <v>326</v>
      </c>
      <c r="D1068" t="s">
        <v>128</v>
      </c>
      <c r="E1068" t="s">
        <v>1821</v>
      </c>
      <c r="F1068" t="s">
        <v>96</v>
      </c>
      <c r="G1068" t="s">
        <v>169</v>
      </c>
      <c r="H1068" t="s">
        <v>327</v>
      </c>
      <c r="I1068">
        <v>1</v>
      </c>
      <c r="J1068" t="s">
        <v>24</v>
      </c>
      <c r="K1068" t="s">
        <v>328</v>
      </c>
      <c r="L1068" t="s">
        <v>329</v>
      </c>
      <c r="M1068" t="s">
        <v>27</v>
      </c>
      <c r="N1068" t="s">
        <v>108</v>
      </c>
      <c r="O1068" t="str">
        <f>_xlfn.XLOOKUP(E1068,[1]syr_populatedplaces!$L:$L,[1]syr_populatedplaces!$M:$M)</f>
        <v>C3200</v>
      </c>
      <c r="P1068">
        <f>_xlfn.XLOOKUP(E1068,[1]syr_populatedplaces!$L:$L,[1]syr_populatedplaces!$AD:$AD)</f>
        <v>35.53747559</v>
      </c>
      <c r="Q1068">
        <f>_xlfn.XLOOKUP(E1068,[1]syr_populatedplaces!$L:$L,[1]syr_populatedplaces!$AC:$AC)</f>
        <v>36.316711429999998</v>
      </c>
    </row>
    <row r="1069" spans="2:17">
      <c r="B1069" t="s">
        <v>17</v>
      </c>
      <c r="C1069" t="s">
        <v>326</v>
      </c>
      <c r="D1069" t="s">
        <v>331</v>
      </c>
      <c r="E1069" t="s">
        <v>1822</v>
      </c>
      <c r="F1069" t="s">
        <v>96</v>
      </c>
      <c r="G1069" t="s">
        <v>337</v>
      </c>
      <c r="H1069" t="s">
        <v>338</v>
      </c>
      <c r="I1069">
        <v>1</v>
      </c>
      <c r="J1069" t="s">
        <v>108</v>
      </c>
      <c r="K1069" t="s">
        <v>339</v>
      </c>
      <c r="L1069" t="s">
        <v>340</v>
      </c>
      <c r="M1069" t="s">
        <v>27</v>
      </c>
      <c r="N1069" t="s">
        <v>108</v>
      </c>
      <c r="O1069" t="s">
        <v>332</v>
      </c>
      <c r="P1069">
        <v>33.457092289999999</v>
      </c>
      <c r="Q1069">
        <v>36.239685059999999</v>
      </c>
    </row>
    <row r="1070" spans="2:17">
      <c r="B1070" t="s">
        <v>17</v>
      </c>
      <c r="C1070" t="s">
        <v>326</v>
      </c>
      <c r="D1070" t="s">
        <v>128</v>
      </c>
      <c r="E1070" t="s">
        <v>268</v>
      </c>
      <c r="F1070" t="s">
        <v>96</v>
      </c>
      <c r="G1070" t="s">
        <v>123</v>
      </c>
      <c r="H1070" t="s">
        <v>124</v>
      </c>
      <c r="I1070">
        <v>1</v>
      </c>
      <c r="J1070" t="s">
        <v>99</v>
      </c>
      <c r="K1070" t="s">
        <v>123</v>
      </c>
      <c r="L1070" t="s">
        <v>126</v>
      </c>
      <c r="M1070" t="s">
        <v>27</v>
      </c>
      <c r="N1070" t="s">
        <v>99</v>
      </c>
      <c r="O1070" t="s">
        <v>341</v>
      </c>
      <c r="P1070">
        <v>33.604492190000002</v>
      </c>
      <c r="Q1070">
        <v>36.515930179999998</v>
      </c>
    </row>
    <row r="1071" spans="2:17">
      <c r="B1071" t="s">
        <v>17</v>
      </c>
      <c r="C1071" t="s">
        <v>326</v>
      </c>
      <c r="D1071" t="s">
        <v>128</v>
      </c>
      <c r="E1071" t="s">
        <v>1833</v>
      </c>
      <c r="F1071" t="s">
        <v>96</v>
      </c>
      <c r="G1071" t="s">
        <v>123</v>
      </c>
      <c r="H1071" t="s">
        <v>124</v>
      </c>
      <c r="I1071">
        <v>1</v>
      </c>
      <c r="J1071" t="s">
        <v>99</v>
      </c>
      <c r="K1071" t="s">
        <v>123</v>
      </c>
      <c r="L1071" t="s">
        <v>126</v>
      </c>
      <c r="M1071" t="s">
        <v>27</v>
      </c>
      <c r="N1071" t="s">
        <v>99</v>
      </c>
      <c r="O1071" t="str">
        <f>_xlfn.XLOOKUP(E1071,[1]syr_populatedplaces!$L:$L,[1]syr_populatedplaces!$M:$M)</f>
        <v>C3156</v>
      </c>
      <c r="P1071">
        <f>_xlfn.XLOOKUP(E1071,[1]syr_populatedplaces!$L:$L,[1]syr_populatedplaces!$AD:$AD)</f>
        <v>35.644470220000002</v>
      </c>
      <c r="Q1071">
        <f>_xlfn.XLOOKUP(E1071,[1]syr_populatedplaces!$L:$L,[1]syr_populatedplaces!$AC:$AC)</f>
        <v>36.38830566</v>
      </c>
    </row>
    <row r="1072" spans="2:17">
      <c r="B1072" t="s">
        <v>17</v>
      </c>
      <c r="C1072" t="s">
        <v>326</v>
      </c>
      <c r="D1072" t="s">
        <v>344</v>
      </c>
      <c r="E1072" t="s">
        <v>1823</v>
      </c>
      <c r="F1072" t="s">
        <v>346</v>
      </c>
      <c r="G1072" t="s">
        <v>347</v>
      </c>
      <c r="H1072" t="s">
        <v>348</v>
      </c>
      <c r="I1072">
        <v>1</v>
      </c>
      <c r="J1072" t="s">
        <v>108</v>
      </c>
      <c r="K1072" t="s">
        <v>349</v>
      </c>
      <c r="L1072" t="s">
        <v>350</v>
      </c>
      <c r="M1072" t="s">
        <v>27</v>
      </c>
      <c r="N1072" t="s">
        <v>108</v>
      </c>
      <c r="O1072" t="s">
        <v>352</v>
      </c>
      <c r="P1072">
        <v>33.725524900000003</v>
      </c>
      <c r="Q1072">
        <v>36.126281740000003</v>
      </c>
    </row>
    <row r="1073" spans="2:17">
      <c r="B1073" t="s">
        <v>17</v>
      </c>
      <c r="C1073" t="s">
        <v>326</v>
      </c>
      <c r="D1073" t="s">
        <v>344</v>
      </c>
      <c r="E1073" t="s">
        <v>310</v>
      </c>
      <c r="F1073" t="s">
        <v>346</v>
      </c>
      <c r="G1073" t="s">
        <v>347</v>
      </c>
      <c r="H1073" t="s">
        <v>348</v>
      </c>
      <c r="I1073">
        <v>1</v>
      </c>
      <c r="J1073" t="s">
        <v>108</v>
      </c>
      <c r="K1073" t="s">
        <v>349</v>
      </c>
      <c r="L1073" t="s">
        <v>350</v>
      </c>
      <c r="M1073" t="s">
        <v>27</v>
      </c>
      <c r="N1073" t="s">
        <v>108</v>
      </c>
      <c r="O1073" t="s">
        <v>354</v>
      </c>
      <c r="P1073">
        <v>33.725280759999997</v>
      </c>
      <c r="Q1073">
        <v>36.10247803</v>
      </c>
    </row>
    <row r="1074" spans="2:17" ht="15">
      <c r="B1074" t="s">
        <v>17</v>
      </c>
      <c r="C1074" t="s">
        <v>326</v>
      </c>
      <c r="D1074" t="s">
        <v>128</v>
      </c>
      <c r="E1074" t="s">
        <v>342</v>
      </c>
      <c r="F1074" t="s">
        <v>96</v>
      </c>
      <c r="G1074" t="s">
        <v>123</v>
      </c>
      <c r="H1074" t="s">
        <v>124</v>
      </c>
      <c r="I1074">
        <v>1</v>
      </c>
      <c r="J1074" t="s">
        <v>99</v>
      </c>
      <c r="K1074" t="s">
        <v>123</v>
      </c>
      <c r="L1074" t="s">
        <v>126</v>
      </c>
      <c r="M1074" t="s">
        <v>27</v>
      </c>
      <c r="N1074" t="s">
        <v>99</v>
      </c>
      <c r="O1074" t="e">
        <f>_xlfn.XLOOKUP(E1074,[1]syr_populatedplaces!$L:$L,[1]syr_populatedplaces!$M:$M)</f>
        <v>#N/A</v>
      </c>
      <c r="P1074" s="4" t="e">
        <f>_xlfn.XLOOKUP(الجدول1[[#This Row],[القرية– البلدة]],[1]syr_populatedplaces!$L:$L,[1]syr_populatedplaces!$AD:$AD)</f>
        <v>#N/A</v>
      </c>
      <c r="Q1074" s="4" t="e">
        <f>_xlfn.XLOOKUP(الجدول1[[#This Row],[القرية– البلدة]],[1]syr_populatedplaces!$L:$L,[1]syr_populatedplaces!$AC:$AC)</f>
        <v>#N/A</v>
      </c>
    </row>
    <row r="1075" spans="2:17" ht="15">
      <c r="B1075" t="s">
        <v>17</v>
      </c>
      <c r="C1075" t="s">
        <v>326</v>
      </c>
      <c r="D1075" t="s">
        <v>128</v>
      </c>
      <c r="E1075" t="s">
        <v>343</v>
      </c>
      <c r="F1075" t="s">
        <v>96</v>
      </c>
      <c r="G1075" t="s">
        <v>123</v>
      </c>
      <c r="H1075" t="s">
        <v>124</v>
      </c>
      <c r="I1075">
        <v>1</v>
      </c>
      <c r="J1075" t="s">
        <v>99</v>
      </c>
      <c r="K1075" t="s">
        <v>123</v>
      </c>
      <c r="L1075" t="s">
        <v>126</v>
      </c>
      <c r="M1075" t="s">
        <v>27</v>
      </c>
      <c r="N1075" t="s">
        <v>99</v>
      </c>
      <c r="O1075" t="e">
        <f>_xlfn.XLOOKUP(E1075,[1]syr_populatedplaces!$L:$L,[1]syr_populatedplaces!$M:$M)</f>
        <v>#N/A</v>
      </c>
      <c r="P1075" s="4" t="e">
        <f>_xlfn.XLOOKUP(الجدول1[[#This Row],[القرية– البلدة]],[1]syr_populatedplaces!$L:$L,[1]syr_populatedplaces!$AD:$AD)</f>
        <v>#N/A</v>
      </c>
      <c r="Q1075" s="4" t="e">
        <f>_xlfn.XLOOKUP(الجدول1[[#This Row],[القرية– البلدة]],[1]syr_populatedplaces!$L:$L,[1]syr_populatedplaces!$AC:$AC)</f>
        <v>#N/A</v>
      </c>
    </row>
    <row r="1076" spans="2:17" ht="15">
      <c r="B1076" t="s">
        <v>17</v>
      </c>
      <c r="C1076" t="s">
        <v>326</v>
      </c>
      <c r="D1076" t="s">
        <v>344</v>
      </c>
      <c r="E1076" t="s">
        <v>345</v>
      </c>
      <c r="F1076" t="s">
        <v>346</v>
      </c>
      <c r="G1076" t="s">
        <v>347</v>
      </c>
      <c r="H1076" t="s">
        <v>348</v>
      </c>
      <c r="I1076">
        <v>1</v>
      </c>
      <c r="J1076" t="s">
        <v>108</v>
      </c>
      <c r="K1076" t="s">
        <v>349</v>
      </c>
      <c r="L1076" t="s">
        <v>350</v>
      </c>
      <c r="M1076" t="s">
        <v>27</v>
      </c>
      <c r="N1076" t="s">
        <v>108</v>
      </c>
      <c r="O1076" t="e">
        <f>_xlfn.XLOOKUP(E1076,[1]syr_populatedplaces!$L:$L,[1]syr_populatedplaces!$M:$M)</f>
        <v>#N/A</v>
      </c>
      <c r="P1076" s="4" t="e">
        <f>_xlfn.XLOOKUP(الجدول1[[#This Row],[القرية– البلدة]],[1]syr_populatedplaces!$L:$L,[1]syr_populatedplaces!$AD:$AD)</f>
        <v>#N/A</v>
      </c>
      <c r="Q1076" s="4" t="e">
        <f>_xlfn.XLOOKUP(الجدول1[[#This Row],[القرية– البلدة]],[1]syr_populatedplaces!$L:$L,[1]syr_populatedplaces!$AC:$AC)</f>
        <v>#N/A</v>
      </c>
    </row>
    <row r="1077" spans="2:17">
      <c r="B1077" t="s">
        <v>17</v>
      </c>
      <c r="C1077" t="s">
        <v>241</v>
      </c>
      <c r="D1077" t="s">
        <v>242</v>
      </c>
      <c r="E1077" t="s">
        <v>241</v>
      </c>
      <c r="F1077" t="s">
        <v>96</v>
      </c>
      <c r="G1077" t="s">
        <v>243</v>
      </c>
      <c r="H1077" t="s">
        <v>244</v>
      </c>
      <c r="I1077">
        <v>1</v>
      </c>
      <c r="J1077" t="s">
        <v>24</v>
      </c>
      <c r="K1077" t="s">
        <v>245</v>
      </c>
      <c r="L1077" t="s">
        <v>246</v>
      </c>
      <c r="M1077" t="s">
        <v>27</v>
      </c>
      <c r="N1077" t="s">
        <v>24</v>
      </c>
      <c r="O1077" t="s">
        <v>247</v>
      </c>
      <c r="P1077">
        <v>34.88671875</v>
      </c>
      <c r="Q1077">
        <v>35.893493650000003</v>
      </c>
    </row>
    <row r="1078" spans="2:17">
      <c r="B1078" t="s">
        <v>17</v>
      </c>
      <c r="C1078" t="s">
        <v>241</v>
      </c>
      <c r="D1078" t="s">
        <v>242</v>
      </c>
      <c r="E1078" t="s">
        <v>248</v>
      </c>
      <c r="F1078" t="s">
        <v>96</v>
      </c>
      <c r="G1078" t="s">
        <v>243</v>
      </c>
      <c r="H1078" t="s">
        <v>244</v>
      </c>
      <c r="I1078">
        <v>1</v>
      </c>
      <c r="J1078" t="s">
        <v>24</v>
      </c>
      <c r="K1078" t="s">
        <v>245</v>
      </c>
      <c r="L1078" t="s">
        <v>246</v>
      </c>
      <c r="M1078" t="s">
        <v>27</v>
      </c>
      <c r="N1078" t="s">
        <v>24</v>
      </c>
      <c r="O1078" t="s">
        <v>249</v>
      </c>
      <c r="P1078">
        <v>35.198486330000001</v>
      </c>
      <c r="Q1078">
        <v>35.963500979999999</v>
      </c>
    </row>
    <row r="1079" spans="2:17">
      <c r="B1079" t="s">
        <v>17</v>
      </c>
      <c r="C1079" t="s">
        <v>241</v>
      </c>
      <c r="D1079" t="s">
        <v>242</v>
      </c>
      <c r="E1079" t="s">
        <v>248</v>
      </c>
      <c r="F1079" t="s">
        <v>96</v>
      </c>
      <c r="G1079" t="s">
        <v>243</v>
      </c>
      <c r="H1079" t="s">
        <v>244</v>
      </c>
      <c r="I1079">
        <v>1</v>
      </c>
      <c r="J1079" t="s">
        <v>24</v>
      </c>
      <c r="K1079" t="s">
        <v>245</v>
      </c>
      <c r="L1079" t="s">
        <v>246</v>
      </c>
      <c r="M1079" t="s">
        <v>27</v>
      </c>
      <c r="N1079" t="s">
        <v>24</v>
      </c>
      <c r="O1079" t="s">
        <v>249</v>
      </c>
      <c r="P1079">
        <v>35.198486330000001</v>
      </c>
      <c r="Q1079">
        <v>35.963500979999999</v>
      </c>
    </row>
    <row r="1080" spans="2:17">
      <c r="B1080" t="s">
        <v>17</v>
      </c>
      <c r="C1080" t="s">
        <v>241</v>
      </c>
      <c r="D1080" t="s">
        <v>128</v>
      </c>
      <c r="E1080" t="s">
        <v>248</v>
      </c>
      <c r="F1080" t="s">
        <v>96</v>
      </c>
      <c r="G1080" t="s">
        <v>254</v>
      </c>
      <c r="H1080" t="s">
        <v>124</v>
      </c>
      <c r="I1080">
        <v>1</v>
      </c>
      <c r="J1080" t="s">
        <v>99</v>
      </c>
      <c r="K1080" t="s">
        <v>255</v>
      </c>
      <c r="L1080" t="s">
        <v>256</v>
      </c>
      <c r="M1080" t="s">
        <v>27</v>
      </c>
      <c r="N1080" t="s">
        <v>99</v>
      </c>
      <c r="O1080" t="s">
        <v>249</v>
      </c>
      <c r="P1080">
        <v>35.198486330000001</v>
      </c>
      <c r="Q1080">
        <v>35.963500979999999</v>
      </c>
    </row>
    <row r="1081" spans="2:17">
      <c r="B1081" t="s">
        <v>17</v>
      </c>
      <c r="C1081" t="s">
        <v>241</v>
      </c>
      <c r="D1081" t="s">
        <v>128</v>
      </c>
      <c r="E1081" t="s">
        <v>241</v>
      </c>
      <c r="F1081" t="s">
        <v>96</v>
      </c>
      <c r="G1081" t="s">
        <v>254</v>
      </c>
      <c r="H1081" t="s">
        <v>124</v>
      </c>
      <c r="I1081">
        <v>1</v>
      </c>
      <c r="J1081" t="s">
        <v>99</v>
      </c>
      <c r="K1081" t="s">
        <v>255</v>
      </c>
      <c r="L1081" t="s">
        <v>256</v>
      </c>
      <c r="M1081" t="s">
        <v>27</v>
      </c>
      <c r="N1081" t="s">
        <v>99</v>
      </c>
      <c r="O1081" t="s">
        <v>247</v>
      </c>
      <c r="P1081">
        <v>34.88671875</v>
      </c>
      <c r="Q1081">
        <v>35.893493650000003</v>
      </c>
    </row>
    <row r="1082" spans="2:17">
      <c r="B1082" t="s">
        <v>17</v>
      </c>
      <c r="C1082" t="s">
        <v>241</v>
      </c>
      <c r="D1082" t="s">
        <v>128</v>
      </c>
      <c r="E1082" t="s">
        <v>257</v>
      </c>
      <c r="F1082" t="s">
        <v>96</v>
      </c>
      <c r="G1082" t="s">
        <v>254</v>
      </c>
      <c r="H1082" t="s">
        <v>124</v>
      </c>
      <c r="I1082">
        <v>1</v>
      </c>
      <c r="J1082" t="s">
        <v>99</v>
      </c>
      <c r="K1082" t="s">
        <v>255</v>
      </c>
      <c r="L1082" t="s">
        <v>256</v>
      </c>
      <c r="M1082" t="s">
        <v>27</v>
      </c>
      <c r="N1082" t="s">
        <v>99</v>
      </c>
      <c r="O1082" t="s">
        <v>258</v>
      </c>
      <c r="P1082">
        <v>35.088317869999997</v>
      </c>
      <c r="Q1082">
        <v>36.14727783</v>
      </c>
    </row>
    <row r="1083" spans="2:17">
      <c r="B1083" t="s">
        <v>614</v>
      </c>
      <c r="C1083" t="s">
        <v>241</v>
      </c>
      <c r="D1083" t="s">
        <v>128</v>
      </c>
      <c r="E1083" t="s">
        <v>801</v>
      </c>
      <c r="F1083" t="s">
        <v>346</v>
      </c>
      <c r="G1083" t="s">
        <v>347</v>
      </c>
      <c r="H1083" t="s">
        <v>124</v>
      </c>
      <c r="I1083">
        <v>1</v>
      </c>
      <c r="J1083" t="s">
        <v>108</v>
      </c>
      <c r="K1083" t="s">
        <v>552</v>
      </c>
      <c r="L1083" t="s">
        <v>214</v>
      </c>
      <c r="M1083" t="s">
        <v>27</v>
      </c>
      <c r="N1083" t="s">
        <v>108</v>
      </c>
      <c r="O1083" t="s">
        <v>802</v>
      </c>
      <c r="P1083">
        <v>34.820129399999999</v>
      </c>
      <c r="Q1083">
        <v>36.117126470000002</v>
      </c>
    </row>
    <row r="1084" spans="2:17">
      <c r="B1084" t="s">
        <v>614</v>
      </c>
      <c r="C1084" t="s">
        <v>241</v>
      </c>
      <c r="D1084" t="s">
        <v>128</v>
      </c>
      <c r="E1084" t="s">
        <v>241</v>
      </c>
      <c r="F1084" t="s">
        <v>346</v>
      </c>
      <c r="G1084" t="s">
        <v>347</v>
      </c>
      <c r="H1084" t="s">
        <v>124</v>
      </c>
      <c r="I1084">
        <v>1</v>
      </c>
      <c r="J1084" t="s">
        <v>108</v>
      </c>
      <c r="K1084" t="s">
        <v>552</v>
      </c>
      <c r="L1084" t="s">
        <v>214</v>
      </c>
      <c r="M1084" t="s">
        <v>27</v>
      </c>
      <c r="N1084" t="s">
        <v>108</v>
      </c>
      <c r="O1084" t="s">
        <v>247</v>
      </c>
      <c r="P1084">
        <v>34.88671875</v>
      </c>
      <c r="Q1084">
        <v>35.893493650000003</v>
      </c>
    </row>
    <row r="1085" spans="2:17">
      <c r="B1085" t="s">
        <v>614</v>
      </c>
      <c r="C1085" t="s">
        <v>241</v>
      </c>
      <c r="D1085" t="s">
        <v>128</v>
      </c>
      <c r="E1085" t="s">
        <v>263</v>
      </c>
      <c r="F1085" t="s">
        <v>346</v>
      </c>
      <c r="G1085" t="s">
        <v>347</v>
      </c>
      <c r="H1085" t="s">
        <v>124</v>
      </c>
      <c r="I1085">
        <v>1</v>
      </c>
      <c r="J1085" t="s">
        <v>108</v>
      </c>
      <c r="K1085" t="s">
        <v>552</v>
      </c>
      <c r="L1085" t="s">
        <v>214</v>
      </c>
      <c r="M1085" t="s">
        <v>27</v>
      </c>
      <c r="N1085" t="s">
        <v>108</v>
      </c>
      <c r="O1085" t="s">
        <v>803</v>
      </c>
      <c r="P1085">
        <v>35.13372803</v>
      </c>
      <c r="Q1085">
        <v>36.761291499999999</v>
      </c>
    </row>
    <row r="1086" spans="2:17">
      <c r="B1086" t="s">
        <v>614</v>
      </c>
      <c r="C1086" t="s">
        <v>241</v>
      </c>
      <c r="D1086" t="s">
        <v>801</v>
      </c>
      <c r="E1086" t="s">
        <v>801</v>
      </c>
      <c r="F1086" t="s">
        <v>346</v>
      </c>
      <c r="G1086" t="s">
        <v>806</v>
      </c>
      <c r="H1086" t="s">
        <v>124</v>
      </c>
      <c r="I1086">
        <v>1</v>
      </c>
      <c r="J1086" t="s">
        <v>108</v>
      </c>
      <c r="K1086" t="s">
        <v>807</v>
      </c>
      <c r="L1086" t="s">
        <v>808</v>
      </c>
      <c r="M1086" t="s">
        <v>27</v>
      </c>
      <c r="N1086" t="s">
        <v>108</v>
      </c>
      <c r="O1086" t="s">
        <v>802</v>
      </c>
      <c r="P1086">
        <v>34.820129399999999</v>
      </c>
      <c r="Q1086">
        <v>36.117126470000002</v>
      </c>
    </row>
    <row r="1087" spans="2:17">
      <c r="B1087" t="s">
        <v>17</v>
      </c>
      <c r="C1087" t="s">
        <v>241</v>
      </c>
      <c r="D1087" t="s">
        <v>242</v>
      </c>
      <c r="E1087" t="s">
        <v>248</v>
      </c>
      <c r="F1087" t="s">
        <v>96</v>
      </c>
      <c r="G1087" t="s">
        <v>243</v>
      </c>
      <c r="H1087" t="s">
        <v>244</v>
      </c>
      <c r="I1087">
        <v>1</v>
      </c>
      <c r="J1087" t="s">
        <v>24</v>
      </c>
      <c r="K1087" t="s">
        <v>245</v>
      </c>
      <c r="L1087" t="s">
        <v>246</v>
      </c>
      <c r="M1087" t="s">
        <v>27</v>
      </c>
      <c r="N1087" t="s">
        <v>24</v>
      </c>
      <c r="O1087" t="str">
        <f>_xlfn.XLOOKUP(E1087,[1]syr_populatedplaces!$L:$L,[1]syr_populatedplaces!$M:$M)</f>
        <v>C5360</v>
      </c>
      <c r="P1087">
        <f>_xlfn.XLOOKUP(E1087,[1]syr_populatedplaces!$L:$L,[1]syr_populatedplaces!$AD:$AD)</f>
        <v>35.198486330000001</v>
      </c>
      <c r="Q1087">
        <f>_xlfn.XLOOKUP(E1087,[1]syr_populatedplaces!$L:$L,[1]syr_populatedplaces!$AC:$AC)</f>
        <v>35.963500979999999</v>
      </c>
    </row>
    <row r="1088" spans="2:17" ht="15">
      <c r="B1088" t="s">
        <v>17</v>
      </c>
      <c r="C1088" t="s">
        <v>241</v>
      </c>
      <c r="D1088" t="s">
        <v>242</v>
      </c>
      <c r="E1088" t="s">
        <v>250</v>
      </c>
      <c r="F1088" t="s">
        <v>96</v>
      </c>
      <c r="G1088" t="s">
        <v>243</v>
      </c>
      <c r="H1088" t="s">
        <v>244</v>
      </c>
      <c r="I1088">
        <v>1</v>
      </c>
      <c r="J1088" t="s">
        <v>24</v>
      </c>
      <c r="K1088" t="s">
        <v>245</v>
      </c>
      <c r="L1088" t="s">
        <v>246</v>
      </c>
      <c r="M1088" t="s">
        <v>27</v>
      </c>
      <c r="N1088" t="s">
        <v>24</v>
      </c>
      <c r="O1088" t="e">
        <f>_xlfn.XLOOKUP(E1088,[1]syr_populatedplaces!$L:$L,[1]syr_populatedplaces!$M:$M)</f>
        <v>#N/A</v>
      </c>
      <c r="P1088" s="4" t="e">
        <f>_xlfn.XLOOKUP(الجدول1[[#This Row],[القرية– البلدة]],[1]syr_populatedplaces!$L:$L,[1]syr_populatedplaces!$AD:$AD)</f>
        <v>#N/A</v>
      </c>
      <c r="Q1088" s="4" t="e">
        <f>_xlfn.XLOOKUP(الجدول1[[#This Row],[القرية– البلدة]],[1]syr_populatedplaces!$L:$L,[1]syr_populatedplaces!$AC:$AC)</f>
        <v>#N/A</v>
      </c>
    </row>
    <row r="1089" spans="2:17" ht="15">
      <c r="B1089" t="s">
        <v>17</v>
      </c>
      <c r="C1089" t="s">
        <v>241</v>
      </c>
      <c r="D1089" t="s">
        <v>242</v>
      </c>
      <c r="E1089" t="s">
        <v>251</v>
      </c>
      <c r="F1089" t="s">
        <v>96</v>
      </c>
      <c r="G1089" t="s">
        <v>243</v>
      </c>
      <c r="H1089" t="s">
        <v>244</v>
      </c>
      <c r="I1089">
        <v>1</v>
      </c>
      <c r="J1089" t="s">
        <v>24</v>
      </c>
      <c r="K1089" t="s">
        <v>245</v>
      </c>
      <c r="L1089" t="s">
        <v>246</v>
      </c>
      <c r="M1089" t="s">
        <v>27</v>
      </c>
      <c r="N1089" t="s">
        <v>24</v>
      </c>
      <c r="O1089" t="e">
        <f>_xlfn.XLOOKUP(E1089,[1]syr_populatedplaces!$L:$L,[1]syr_populatedplaces!$M:$M)</f>
        <v>#N/A</v>
      </c>
      <c r="P1089" s="4" t="e">
        <f>_xlfn.XLOOKUP(الجدول1[[#This Row],[القرية– البلدة]],[1]syr_populatedplaces!$L:$L,[1]syr_populatedplaces!$AD:$AD)</f>
        <v>#N/A</v>
      </c>
      <c r="Q1089" s="4" t="e">
        <f>_xlfn.XLOOKUP(الجدول1[[#This Row],[القرية– البلدة]],[1]syr_populatedplaces!$L:$L,[1]syr_populatedplaces!$AC:$AC)</f>
        <v>#N/A</v>
      </c>
    </row>
    <row r="1090" spans="2:17" ht="15">
      <c r="B1090" t="s">
        <v>17</v>
      </c>
      <c r="C1090" t="s">
        <v>241</v>
      </c>
      <c r="D1090" t="s">
        <v>242</v>
      </c>
      <c r="E1090" t="s">
        <v>252</v>
      </c>
      <c r="F1090" t="s">
        <v>96</v>
      </c>
      <c r="G1090" t="s">
        <v>243</v>
      </c>
      <c r="H1090" t="s">
        <v>244</v>
      </c>
      <c r="I1090">
        <v>1</v>
      </c>
      <c r="J1090" t="s">
        <v>24</v>
      </c>
      <c r="K1090" t="s">
        <v>245</v>
      </c>
      <c r="L1090" t="s">
        <v>246</v>
      </c>
      <c r="M1090" t="s">
        <v>27</v>
      </c>
      <c r="N1090" t="s">
        <v>24</v>
      </c>
      <c r="O1090" t="e">
        <f>_xlfn.XLOOKUP(E1090,[1]syr_populatedplaces!$L:$L,[1]syr_populatedplaces!$M:$M)</f>
        <v>#N/A</v>
      </c>
      <c r="P1090" s="4" t="e">
        <f>_xlfn.XLOOKUP(الجدول1[[#This Row],[القرية– البلدة]],[1]syr_populatedplaces!$L:$L,[1]syr_populatedplaces!$AD:$AD)</f>
        <v>#N/A</v>
      </c>
      <c r="Q1090" s="4" t="e">
        <f>_xlfn.XLOOKUP(الجدول1[[#This Row],[القرية– البلدة]],[1]syr_populatedplaces!$L:$L,[1]syr_populatedplaces!$AC:$AC)</f>
        <v>#N/A</v>
      </c>
    </row>
    <row r="1091" spans="2:17" ht="15">
      <c r="B1091" t="s">
        <v>17</v>
      </c>
      <c r="C1091" t="s">
        <v>241</v>
      </c>
      <c r="D1091" t="s">
        <v>242</v>
      </c>
      <c r="E1091" t="s">
        <v>253</v>
      </c>
      <c r="F1091" t="s">
        <v>96</v>
      </c>
      <c r="G1091" t="s">
        <v>243</v>
      </c>
      <c r="H1091" t="s">
        <v>244</v>
      </c>
      <c r="I1091">
        <v>1</v>
      </c>
      <c r="J1091" t="s">
        <v>24</v>
      </c>
      <c r="K1091" t="s">
        <v>245</v>
      </c>
      <c r="L1091" t="s">
        <v>246</v>
      </c>
      <c r="M1091" t="s">
        <v>27</v>
      </c>
      <c r="N1091" t="s">
        <v>24</v>
      </c>
      <c r="O1091" t="e">
        <f>_xlfn.XLOOKUP(E1091,[1]syr_populatedplaces!$L:$L,[1]syr_populatedplaces!$M:$M)</f>
        <v>#N/A</v>
      </c>
      <c r="P1091" s="4" t="e">
        <f>_xlfn.XLOOKUP(الجدول1[[#This Row],[القرية– البلدة]],[1]syr_populatedplaces!$L:$L,[1]syr_populatedplaces!$AD:$AD)</f>
        <v>#N/A</v>
      </c>
      <c r="Q1091" s="4" t="e">
        <f>_xlfn.XLOOKUP(الجدول1[[#This Row],[القرية– البلدة]],[1]syr_populatedplaces!$L:$L,[1]syr_populatedplaces!$AC:$AC)</f>
        <v>#N/A</v>
      </c>
    </row>
    <row r="1092" spans="2:17" ht="15">
      <c r="B1092" t="s">
        <v>17</v>
      </c>
      <c r="C1092" t="s">
        <v>241</v>
      </c>
      <c r="D1092" t="s">
        <v>242</v>
      </c>
      <c r="E1092" t="s">
        <v>128</v>
      </c>
      <c r="F1092" t="s">
        <v>96</v>
      </c>
      <c r="G1092" t="s">
        <v>259</v>
      </c>
      <c r="H1092" t="s">
        <v>260</v>
      </c>
      <c r="I1092">
        <v>4</v>
      </c>
      <c r="J1092" t="s">
        <v>99</v>
      </c>
      <c r="K1092" t="s">
        <v>261</v>
      </c>
      <c r="L1092" t="s">
        <v>262</v>
      </c>
      <c r="M1092" t="s">
        <v>27</v>
      </c>
      <c r="N1092" t="s">
        <v>99</v>
      </c>
      <c r="O1092" t="e">
        <f>_xlfn.XLOOKUP(E1092,[1]syr_populatedplaces!$L:$L,[1]syr_populatedplaces!$M:$M)</f>
        <v>#N/A</v>
      </c>
      <c r="P1092" s="4" t="e">
        <f>_xlfn.XLOOKUP(الجدول1[[#This Row],[القرية– البلدة]],[1]syr_populatedplaces!$L:$L,[1]syr_populatedplaces!$AD:$AD)</f>
        <v>#N/A</v>
      </c>
      <c r="Q1092" s="4" t="e">
        <f>_xlfn.XLOOKUP(الجدول1[[#This Row],[القرية– البلدة]],[1]syr_populatedplaces!$L:$L,[1]syr_populatedplaces!$AC:$AC)</f>
        <v>#N/A</v>
      </c>
    </row>
    <row r="1093" spans="2:17" ht="15">
      <c r="B1093" t="s">
        <v>614</v>
      </c>
      <c r="C1093" t="s">
        <v>241</v>
      </c>
      <c r="D1093" t="s">
        <v>128</v>
      </c>
      <c r="E1093" t="s">
        <v>804</v>
      </c>
      <c r="F1093" t="s">
        <v>346</v>
      </c>
      <c r="G1093" t="s">
        <v>254</v>
      </c>
      <c r="H1093" t="s">
        <v>260</v>
      </c>
      <c r="I1093">
        <v>10</v>
      </c>
      <c r="J1093" t="s">
        <v>108</v>
      </c>
      <c r="K1093" t="s">
        <v>805</v>
      </c>
      <c r="L1093" t="s">
        <v>762</v>
      </c>
      <c r="M1093" t="s">
        <v>27</v>
      </c>
      <c r="N1093" t="s">
        <v>387</v>
      </c>
      <c r="O1093" t="e">
        <f>_xlfn.XLOOKUP(E1093,[1]syr_populatedplaces!$L:$L,[1]syr_populatedplaces!$M:$M)</f>
        <v>#N/A</v>
      </c>
      <c r="P1093" s="4" t="e">
        <f>_xlfn.XLOOKUP(الجدول1[[#This Row],[القرية– البلدة]],[1]syr_populatedplaces!$L:$L,[1]syr_populatedplaces!$AD:$AD)</f>
        <v>#N/A</v>
      </c>
      <c r="Q1093" s="4" t="e">
        <f>_xlfn.XLOOKUP(الجدول1[[#This Row],[القرية– البلدة]],[1]syr_populatedplaces!$L:$L,[1]syr_populatedplaces!$AC:$AC)</f>
        <v>#N/A</v>
      </c>
    </row>
    <row r="1094" spans="2:17" ht="15">
      <c r="B1094" t="s">
        <v>1074</v>
      </c>
      <c r="C1094" t="s">
        <v>241</v>
      </c>
      <c r="D1094" t="s">
        <v>248</v>
      </c>
      <c r="E1094" t="s">
        <v>1211</v>
      </c>
      <c r="F1094" t="s">
        <v>1075</v>
      </c>
      <c r="G1094" t="s">
        <v>1212</v>
      </c>
      <c r="H1094" t="s">
        <v>541</v>
      </c>
      <c r="I1094">
        <v>1</v>
      </c>
      <c r="J1094" t="s">
        <v>108</v>
      </c>
      <c r="K1094" t="s">
        <v>1213</v>
      </c>
      <c r="L1094" t="s">
        <v>1214</v>
      </c>
      <c r="M1094" t="s">
        <v>27</v>
      </c>
      <c r="N1094" t="s">
        <v>108</v>
      </c>
      <c r="O1094" t="e">
        <f>_xlfn.XLOOKUP(E1094,[1]syr_populatedplaces!$L:$L,[1]syr_populatedplaces!$M:$M)</f>
        <v>#N/A</v>
      </c>
      <c r="P1094" s="4" t="e">
        <f>_xlfn.XLOOKUP(الجدول1[[#This Row],[القرية– البلدة]],[1]syr_populatedplaces!$L:$L,[1]syr_populatedplaces!$AD:$AD)</f>
        <v>#N/A</v>
      </c>
      <c r="Q1094" s="4" t="e">
        <f>_xlfn.XLOOKUP(الجدول1[[#This Row],[القرية– البلدة]],[1]syr_populatedplaces!$L:$L,[1]syr_populatedplaces!$AC:$AC)</f>
        <v>#N/A</v>
      </c>
    </row>
    <row r="1095" spans="2:17" ht="15">
      <c r="B1095" t="s">
        <v>1215</v>
      </c>
      <c r="C1095" t="s">
        <v>241</v>
      </c>
      <c r="D1095" t="s">
        <v>1289</v>
      </c>
      <c r="E1095" t="s">
        <v>1020</v>
      </c>
      <c r="F1095" t="s">
        <v>1216</v>
      </c>
      <c r="G1095" t="s">
        <v>1284</v>
      </c>
      <c r="H1095" t="s">
        <v>1290</v>
      </c>
      <c r="I1095">
        <v>1</v>
      </c>
      <c r="J1095" t="s">
        <v>99</v>
      </c>
      <c r="K1095" t="s">
        <v>1291</v>
      </c>
      <c r="L1095" t="s">
        <v>1292</v>
      </c>
      <c r="M1095" t="s">
        <v>1293</v>
      </c>
      <c r="N1095" t="s">
        <v>99</v>
      </c>
      <c r="O1095" t="e">
        <f>_xlfn.XLOOKUP(E1095,[1]syr_populatedplaces!$L:$L,[1]syr_populatedplaces!$M:$M)</f>
        <v>#N/A</v>
      </c>
      <c r="P1095" s="4" t="e">
        <f>_xlfn.XLOOKUP(الجدول1[[#This Row],[القرية– البلدة]],[1]syr_populatedplaces!$L:$L,[1]syr_populatedplaces!$AD:$AD)</f>
        <v>#N/A</v>
      </c>
      <c r="Q1095" s="4" t="e">
        <f>_xlfn.XLOOKUP(الجدول1[[#This Row],[القرية– البلدة]],[1]syr_populatedplaces!$L:$L,[1]syr_populatedplaces!$AC:$AC)</f>
        <v>#N/A</v>
      </c>
    </row>
    <row r="1096" spans="2:17" ht="15">
      <c r="B1096" t="s">
        <v>1309</v>
      </c>
      <c r="C1096" t="s">
        <v>241</v>
      </c>
      <c r="D1096" t="s">
        <v>1427</v>
      </c>
      <c r="E1096" t="s">
        <v>1369</v>
      </c>
      <c r="F1096" t="s">
        <v>812</v>
      </c>
      <c r="G1096" t="s">
        <v>259</v>
      </c>
      <c r="H1096" t="s">
        <v>260</v>
      </c>
      <c r="J1096" t="s">
        <v>387</v>
      </c>
      <c r="K1096" t="s">
        <v>1428</v>
      </c>
      <c r="L1096" t="s">
        <v>1429</v>
      </c>
      <c r="M1096" t="s">
        <v>1314</v>
      </c>
      <c r="N1096" t="s">
        <v>387</v>
      </c>
      <c r="O1096" t="e">
        <f>_xlfn.XLOOKUP(E1096,[1]syr_populatedplaces!$L:$L,[1]syr_populatedplaces!$M:$M)</f>
        <v>#N/A</v>
      </c>
      <c r="P1096" s="4" t="e">
        <f>_xlfn.XLOOKUP(الجدول1[[#This Row],[القرية– البلدة]],[1]syr_populatedplaces!$L:$L,[1]syr_populatedplaces!$AD:$AD)</f>
        <v>#N/A</v>
      </c>
      <c r="Q1096" s="4" t="e">
        <f>_xlfn.XLOOKUP(الجدول1[[#This Row],[القرية– البلدة]],[1]syr_populatedplaces!$L:$L,[1]syr_populatedplaces!$AC:$AC)</f>
        <v>#N/A</v>
      </c>
    </row>
    <row r="1097" spans="2:17" ht="15">
      <c r="B1097" t="s">
        <v>1309</v>
      </c>
      <c r="C1097" t="s">
        <v>241</v>
      </c>
      <c r="D1097" t="s">
        <v>1430</v>
      </c>
      <c r="E1097" t="s">
        <v>1383</v>
      </c>
      <c r="F1097" t="s">
        <v>812</v>
      </c>
      <c r="G1097" t="s">
        <v>1431</v>
      </c>
      <c r="H1097" t="s">
        <v>124</v>
      </c>
      <c r="J1097" t="s">
        <v>108</v>
      </c>
      <c r="K1097" t="s">
        <v>1432</v>
      </c>
      <c r="L1097" t="s">
        <v>1433</v>
      </c>
      <c r="M1097" t="s">
        <v>1314</v>
      </c>
      <c r="N1097" t="s">
        <v>108</v>
      </c>
      <c r="O1097" t="e">
        <f>_xlfn.XLOOKUP(E1097,[1]syr_populatedplaces!$L:$L,[1]syr_populatedplaces!$M:$M)</f>
        <v>#N/A</v>
      </c>
      <c r="P1097" s="4" t="e">
        <f>_xlfn.XLOOKUP(الجدول1[[#This Row],[القرية– البلدة]],[1]syr_populatedplaces!$L:$L,[1]syr_populatedplaces!$AD:$AD)</f>
        <v>#N/A</v>
      </c>
      <c r="Q1097" s="4" t="e">
        <f>_xlfn.XLOOKUP(الجدول1[[#This Row],[القرية– البلدة]],[1]syr_populatedplaces!$L:$L,[1]syr_populatedplaces!$AC:$AC)</f>
        <v>#N/A</v>
      </c>
    </row>
    <row r="1098" spans="2:17" ht="15">
      <c r="B1098" t="s">
        <v>1309</v>
      </c>
      <c r="C1098" t="s">
        <v>241</v>
      </c>
      <c r="D1098" t="s">
        <v>1434</v>
      </c>
      <c r="E1098" t="s">
        <v>1383</v>
      </c>
      <c r="F1098" t="s">
        <v>812</v>
      </c>
      <c r="G1098" t="s">
        <v>1435</v>
      </c>
      <c r="H1098" t="s">
        <v>124</v>
      </c>
      <c r="I1098">
        <v>1</v>
      </c>
      <c r="J1098" t="s">
        <v>108</v>
      </c>
      <c r="K1098" t="s">
        <v>1436</v>
      </c>
      <c r="L1098" t="s">
        <v>1437</v>
      </c>
      <c r="M1098" t="s">
        <v>1380</v>
      </c>
      <c r="N1098" t="s">
        <v>108</v>
      </c>
      <c r="O1098" t="e">
        <f>_xlfn.XLOOKUP(E1098,[1]syr_populatedplaces!$L:$L,[1]syr_populatedplaces!$M:$M)</f>
        <v>#N/A</v>
      </c>
      <c r="P1098" s="4" t="e">
        <f>_xlfn.XLOOKUP(الجدول1[[#This Row],[القرية– البلدة]],[1]syr_populatedplaces!$L:$L,[1]syr_populatedplaces!$AD:$AD)</f>
        <v>#N/A</v>
      </c>
      <c r="Q1098" s="4" t="e">
        <f>_xlfn.XLOOKUP(الجدول1[[#This Row],[القرية– البلدة]],[1]syr_populatedplaces!$L:$L,[1]syr_populatedplaces!$AC:$AC)</f>
        <v>#N/A</v>
      </c>
    </row>
    <row r="1099" spans="2:17">
      <c r="B1099" t="s">
        <v>1309</v>
      </c>
      <c r="C1099" t="s">
        <v>241</v>
      </c>
      <c r="D1099" t="s">
        <v>1438</v>
      </c>
      <c r="E1099" t="s">
        <v>1399</v>
      </c>
      <c r="F1099" t="s">
        <v>812</v>
      </c>
      <c r="G1099" t="s">
        <v>123</v>
      </c>
      <c r="H1099" t="s">
        <v>1402</v>
      </c>
      <c r="I1099">
        <v>1</v>
      </c>
      <c r="J1099" t="s">
        <v>108</v>
      </c>
      <c r="K1099" t="s">
        <v>1439</v>
      </c>
      <c r="L1099" t="s">
        <v>1379</v>
      </c>
      <c r="M1099" t="s">
        <v>1440</v>
      </c>
      <c r="N1099" t="s">
        <v>108</v>
      </c>
      <c r="O1099" t="e">
        <f>_xlfn.XLOOKUP(E1099,[1]syr_populatedplaces!$L:$L,[1]syr_populatedplaces!$M:$M)</f>
        <v>#N/A</v>
      </c>
      <c r="P1099" s="3">
        <v>34.850499999999997</v>
      </c>
      <c r="Q1099" s="3">
        <v>36.0105</v>
      </c>
    </row>
    <row r="1100" spans="2:17">
      <c r="B1100" t="s">
        <v>1657</v>
      </c>
      <c r="C1100" t="s">
        <v>241</v>
      </c>
      <c r="E1100" t="s">
        <v>154</v>
      </c>
      <c r="F1100" t="s">
        <v>812</v>
      </c>
      <c r="G1100" t="s">
        <v>1384</v>
      </c>
      <c r="H1100" t="s">
        <v>1576</v>
      </c>
      <c r="I1100">
        <v>1</v>
      </c>
      <c r="J1100" t="s">
        <v>99</v>
      </c>
      <c r="K1100" t="s">
        <v>1689</v>
      </c>
      <c r="L1100" t="s">
        <v>1690</v>
      </c>
      <c r="M1100" t="s">
        <v>27</v>
      </c>
      <c r="N1100" t="s">
        <v>99</v>
      </c>
      <c r="O1100" t="s">
        <v>155</v>
      </c>
      <c r="P1100">
        <v>35.539123539999999</v>
      </c>
      <c r="Q1100">
        <v>35.789672850000002</v>
      </c>
    </row>
    <row r="1101" spans="2:17">
      <c r="B1101" t="s">
        <v>1657</v>
      </c>
      <c r="C1101" t="s">
        <v>241</v>
      </c>
      <c r="E1101" t="s">
        <v>1675</v>
      </c>
      <c r="F1101" t="s">
        <v>812</v>
      </c>
      <c r="G1101" t="s">
        <v>123</v>
      </c>
      <c r="H1101" t="s">
        <v>1576</v>
      </c>
      <c r="I1101">
        <v>1</v>
      </c>
      <c r="J1101" t="s">
        <v>108</v>
      </c>
      <c r="K1101" t="s">
        <v>1676</v>
      </c>
      <c r="L1101" t="s">
        <v>1677</v>
      </c>
      <c r="M1101" t="s">
        <v>1678</v>
      </c>
      <c r="N1101" t="s">
        <v>108</v>
      </c>
      <c r="O1101" t="e">
        <f>_xlfn.XLOOKUP(E1101,[1]syr_populatedplaces!$L:$L,[1]syr_populatedplaces!$M:$M)</f>
        <v>#N/A</v>
      </c>
      <c r="P1101" s="3">
        <v>34.865000000000002</v>
      </c>
      <c r="Q1101" s="3">
        <v>35.954999999999998</v>
      </c>
    </row>
    <row r="1102" spans="2:17">
      <c r="B1102" t="s">
        <v>1657</v>
      </c>
      <c r="C1102" t="s">
        <v>241</v>
      </c>
      <c r="E1102" t="s">
        <v>154</v>
      </c>
      <c r="F1102" t="s">
        <v>812</v>
      </c>
      <c r="G1102" t="s">
        <v>1435</v>
      </c>
      <c r="H1102" t="s">
        <v>1576</v>
      </c>
      <c r="I1102">
        <v>1</v>
      </c>
      <c r="J1102" t="s">
        <v>99</v>
      </c>
      <c r="K1102" t="s">
        <v>1692</v>
      </c>
      <c r="L1102" t="s">
        <v>1693</v>
      </c>
      <c r="M1102" t="s">
        <v>27</v>
      </c>
      <c r="N1102" t="s">
        <v>99</v>
      </c>
      <c r="O1102" t="s">
        <v>155</v>
      </c>
      <c r="P1102">
        <v>35.539123539999999</v>
      </c>
      <c r="Q1102">
        <v>35.789672850000002</v>
      </c>
    </row>
    <row r="1103" spans="2:17" ht="15">
      <c r="B1103" t="s">
        <v>1657</v>
      </c>
      <c r="C1103" t="s">
        <v>241</v>
      </c>
      <c r="D1103" t="s">
        <v>1679</v>
      </c>
      <c r="E1103" t="s">
        <v>1680</v>
      </c>
      <c r="F1103" t="s">
        <v>812</v>
      </c>
      <c r="G1103" t="s">
        <v>123</v>
      </c>
      <c r="H1103" t="s">
        <v>1576</v>
      </c>
      <c r="I1103">
        <v>1</v>
      </c>
      <c r="J1103" t="s">
        <v>108</v>
      </c>
      <c r="K1103" t="s">
        <v>1676</v>
      </c>
      <c r="L1103" t="s">
        <v>1677</v>
      </c>
      <c r="M1103" t="s">
        <v>1678</v>
      </c>
      <c r="N1103" t="s">
        <v>108</v>
      </c>
      <c r="O1103" t="e">
        <f>_xlfn.XLOOKUP(E1103,[1]syr_populatedplaces!$L:$L,[1]syr_populatedplaces!$M:$M)</f>
        <v>#N/A</v>
      </c>
      <c r="P1103" s="4" t="e">
        <f>_xlfn.XLOOKUP(الجدول1[[#This Row],[القرية– البلدة]],[1]syr_populatedplaces!$L:$L,[1]syr_populatedplaces!$AD:$AD)</f>
        <v>#N/A</v>
      </c>
      <c r="Q1103" s="4" t="e">
        <f>_xlfn.XLOOKUP(الجدول1[[#This Row],[القرية– البلدة]],[1]syr_populatedplaces!$L:$L,[1]syr_populatedplaces!$AC:$AC)</f>
        <v>#N/A</v>
      </c>
    </row>
    <row r="1104" spans="2:17">
      <c r="B1104" t="s">
        <v>1657</v>
      </c>
      <c r="C1104" t="s">
        <v>241</v>
      </c>
      <c r="E1104" s="2" t="s">
        <v>1856</v>
      </c>
      <c r="F1104" t="s">
        <v>812</v>
      </c>
      <c r="G1104" t="s">
        <v>1682</v>
      </c>
      <c r="H1104" s="2" t="s">
        <v>1856</v>
      </c>
      <c r="I1104">
        <v>2</v>
      </c>
      <c r="J1104" t="s">
        <v>883</v>
      </c>
      <c r="K1104" t="s">
        <v>1683</v>
      </c>
      <c r="L1104" t="s">
        <v>1684</v>
      </c>
      <c r="M1104" t="s">
        <v>1685</v>
      </c>
      <c r="N1104" t="s">
        <v>108</v>
      </c>
      <c r="O1104" t="str">
        <f>_xlfn.XLOOKUP(E1104,[1]syr_populatedplaces!$L:$L,[1]syr_populatedplaces!$M:$M)</f>
        <v>C5352</v>
      </c>
      <c r="P1104">
        <f>_xlfn.XLOOKUP(E1104,[1]syr_populatedplaces!$L:$L,[1]syr_populatedplaces!$AD:$AD)</f>
        <v>35.233703609999999</v>
      </c>
      <c r="Q1104">
        <f>_xlfn.XLOOKUP(E1104,[1]syr_populatedplaces!$L:$L,[1]syr_populatedplaces!$AC:$AC)</f>
        <v>35.967712400000003</v>
      </c>
    </row>
    <row r="1105" spans="2:17">
      <c r="B1105" t="s">
        <v>1657</v>
      </c>
      <c r="C1105" t="s">
        <v>241</v>
      </c>
      <c r="D1105" t="s">
        <v>241</v>
      </c>
      <c r="E1105" s="2" t="s">
        <v>1856</v>
      </c>
      <c r="F1105" t="s">
        <v>812</v>
      </c>
      <c r="G1105" t="s">
        <v>1682</v>
      </c>
      <c r="H1105" s="2" t="s">
        <v>1856</v>
      </c>
      <c r="I1105">
        <v>2</v>
      </c>
      <c r="J1105" t="s">
        <v>883</v>
      </c>
      <c r="K1105" t="s">
        <v>1683</v>
      </c>
      <c r="L1105" t="s">
        <v>1684</v>
      </c>
      <c r="M1105" t="s">
        <v>1685</v>
      </c>
      <c r="N1105" t="s">
        <v>108</v>
      </c>
      <c r="O1105" t="str">
        <f>_xlfn.XLOOKUP(E1105,[1]syr_populatedplaces!$L:$L,[1]syr_populatedplaces!$M:$M)</f>
        <v>C5352</v>
      </c>
      <c r="P1105">
        <f>_xlfn.XLOOKUP(E1105,[1]syr_populatedplaces!$L:$L,[1]syr_populatedplaces!$AD:$AD)</f>
        <v>35.233703609999999</v>
      </c>
      <c r="Q1105">
        <f>_xlfn.XLOOKUP(E1105,[1]syr_populatedplaces!$L:$L,[1]syr_populatedplaces!$AC:$AC)</f>
        <v>35.967712400000003</v>
      </c>
    </row>
    <row r="1106" spans="2:17">
      <c r="B1106" t="s">
        <v>1657</v>
      </c>
      <c r="C1106" t="s">
        <v>241</v>
      </c>
      <c r="E1106" t="s">
        <v>1681</v>
      </c>
      <c r="F1106" t="s">
        <v>812</v>
      </c>
      <c r="G1106" t="s">
        <v>123</v>
      </c>
      <c r="H1106" t="s">
        <v>1686</v>
      </c>
      <c r="I1106">
        <v>1</v>
      </c>
      <c r="J1106" t="s">
        <v>108</v>
      </c>
      <c r="K1106" t="s">
        <v>1687</v>
      </c>
      <c r="L1106" t="s">
        <v>1677</v>
      </c>
      <c r="M1106" t="s">
        <v>1678</v>
      </c>
      <c r="N1106" t="s">
        <v>108</v>
      </c>
      <c r="O1106" t="e">
        <f>_xlfn.XLOOKUP(E1106,[1]syr_populatedplaces!$L:$L,[1]syr_populatedplaces!$M:$M)</f>
        <v>#N/A</v>
      </c>
      <c r="P1106" s="3">
        <v>35.119999999999997</v>
      </c>
      <c r="Q1106" s="3">
        <v>35.932000000000002</v>
      </c>
    </row>
    <row r="1107" spans="2:17">
      <c r="B1107" t="s">
        <v>1657</v>
      </c>
      <c r="C1107" t="s">
        <v>241</v>
      </c>
      <c r="D1107" t="s">
        <v>241</v>
      </c>
      <c r="E1107" t="s">
        <v>1688</v>
      </c>
      <c r="F1107" t="s">
        <v>812</v>
      </c>
      <c r="G1107" t="s">
        <v>123</v>
      </c>
      <c r="H1107" t="s">
        <v>1686</v>
      </c>
      <c r="I1107">
        <v>1</v>
      </c>
      <c r="J1107" t="s">
        <v>108</v>
      </c>
      <c r="K1107" t="s">
        <v>1687</v>
      </c>
      <c r="L1107" t="s">
        <v>1677</v>
      </c>
      <c r="M1107" t="s">
        <v>1678</v>
      </c>
      <c r="N1107" t="s">
        <v>108</v>
      </c>
      <c r="O1107" t="e">
        <f>_xlfn.XLOOKUP(E1107,[1]syr_populatedplaces!$L:$L,[1]syr_populatedplaces!$M:$M)</f>
        <v>#N/A</v>
      </c>
      <c r="P1107" s="3">
        <v>35.172499999999999</v>
      </c>
      <c r="Q1107" s="3">
        <v>35.9482</v>
      </c>
    </row>
    <row r="1108" spans="2:17">
      <c r="B1108" t="s">
        <v>1657</v>
      </c>
      <c r="C1108" t="s">
        <v>241</v>
      </c>
      <c r="E1108" t="s">
        <v>1681</v>
      </c>
      <c r="F1108" t="s">
        <v>812</v>
      </c>
      <c r="G1108" t="s">
        <v>1384</v>
      </c>
      <c r="H1108" t="s">
        <v>1576</v>
      </c>
      <c r="I1108">
        <v>1</v>
      </c>
      <c r="J1108" t="s">
        <v>99</v>
      </c>
      <c r="K1108" t="s">
        <v>1689</v>
      </c>
      <c r="L1108" t="s">
        <v>1690</v>
      </c>
      <c r="M1108" t="s">
        <v>27</v>
      </c>
      <c r="N1108" t="s">
        <v>99</v>
      </c>
      <c r="O1108" t="e">
        <f>_xlfn.XLOOKUP(E1108,[1]syr_populatedplaces!$L:$L,[1]syr_populatedplaces!$M:$M)</f>
        <v>#N/A</v>
      </c>
      <c r="P1108" s="3">
        <v>35.119999999999997</v>
      </c>
      <c r="Q1108" s="3">
        <v>35.932000000000002</v>
      </c>
    </row>
    <row r="1109" spans="2:17">
      <c r="B1109" t="s">
        <v>1657</v>
      </c>
      <c r="C1109" t="s">
        <v>241</v>
      </c>
      <c r="E1109" t="s">
        <v>1691</v>
      </c>
      <c r="F1109" t="s">
        <v>812</v>
      </c>
      <c r="G1109" t="s">
        <v>1435</v>
      </c>
      <c r="H1109" t="s">
        <v>1576</v>
      </c>
      <c r="I1109">
        <v>1</v>
      </c>
      <c r="J1109" t="s">
        <v>99</v>
      </c>
      <c r="K1109" t="s">
        <v>1692</v>
      </c>
      <c r="L1109" t="s">
        <v>1693</v>
      </c>
      <c r="M1109" t="s">
        <v>27</v>
      </c>
      <c r="N1109" t="s">
        <v>99</v>
      </c>
      <c r="O1109" t="e">
        <f>_xlfn.XLOOKUP(E1109,[1]syr_populatedplaces!$L:$L,[1]syr_populatedplaces!$M:$M)</f>
        <v>#N/A</v>
      </c>
      <c r="P1109" s="3">
        <v>35.119999999999997</v>
      </c>
      <c r="Q1109" s="3">
        <v>35.932000000000002</v>
      </c>
    </row>
    <row r="1110" spans="2:17" ht="15">
      <c r="B1110" t="s">
        <v>1215</v>
      </c>
      <c r="C1110" t="s">
        <v>27</v>
      </c>
      <c r="D1110" t="s">
        <v>1020</v>
      </c>
      <c r="E1110" t="s">
        <v>1263</v>
      </c>
      <c r="F1110" t="s">
        <v>1216</v>
      </c>
      <c r="G1110" t="s">
        <v>1205</v>
      </c>
      <c r="H1110" t="s">
        <v>1263</v>
      </c>
      <c r="I1110">
        <v>1</v>
      </c>
      <c r="J1110" t="s">
        <v>845</v>
      </c>
      <c r="K1110" t="s">
        <v>1264</v>
      </c>
      <c r="L1110" t="s">
        <v>1265</v>
      </c>
      <c r="M1110" t="s">
        <v>1163</v>
      </c>
      <c r="N1110" t="s">
        <v>387</v>
      </c>
      <c r="O1110" t="e">
        <f>_xlfn.XLOOKUP(E1110,[1]syr_populatedplaces!$L:$L,[1]syr_populatedplaces!$M:$M)</f>
        <v>#N/A</v>
      </c>
      <c r="P1110" t="e">
        <f>_xlfn.XLOOKUP(E1110,[1]syr_populatedplaces!$L:$L,[1]syr_populatedplaces!$AD:$AD)</f>
        <v>#N/A</v>
      </c>
      <c r="Q1110" s="4" t="e">
        <f>_xlfn.XLOOKUP(الجدول1[[#This Row],[القرية– البلدة]],[1]syr_populatedplaces!$L:$L,[1]syr_populatedplaces!$AC:$AC)</f>
        <v>#N/A</v>
      </c>
    </row>
    <row r="1111" spans="2:17" ht="15">
      <c r="B1111" t="s">
        <v>1215</v>
      </c>
      <c r="C1111" t="s">
        <v>27</v>
      </c>
      <c r="D1111" t="s">
        <v>1020</v>
      </c>
      <c r="E1111" t="s">
        <v>1300</v>
      </c>
      <c r="F1111" t="s">
        <v>1216</v>
      </c>
      <c r="G1111" t="s">
        <v>1301</v>
      </c>
      <c r="H1111" t="s">
        <v>1290</v>
      </c>
      <c r="I1111">
        <v>1</v>
      </c>
      <c r="J1111" t="s">
        <v>108</v>
      </c>
      <c r="K1111" t="s">
        <v>1302</v>
      </c>
      <c r="L1111" t="s">
        <v>1303</v>
      </c>
      <c r="M1111" t="s">
        <v>1304</v>
      </c>
      <c r="N1111" t="s">
        <v>108</v>
      </c>
      <c r="O1111" t="e">
        <f>_xlfn.XLOOKUP(E1111,[1]syr_populatedplaces!$L:$L,[1]syr_populatedplaces!$M:$M)</f>
        <v>#N/A</v>
      </c>
      <c r="P1111" t="e">
        <f>_xlfn.XLOOKUP(E1111,[1]syr_populatedplaces!$L:$L,[1]syr_populatedplaces!$AD:$AD)</f>
        <v>#N/A</v>
      </c>
      <c r="Q1111" s="4" t="e">
        <f>_xlfn.XLOOKUP(الجدول1[[#This Row],[القرية– البلدة]],[1]syr_populatedplaces!$L:$L,[1]syr_populatedplaces!$AC:$AC)</f>
        <v>#N/A</v>
      </c>
    </row>
    <row r="1112" spans="2:17" ht="15">
      <c r="B1112" t="s">
        <v>1215</v>
      </c>
      <c r="C1112" t="s">
        <v>27</v>
      </c>
      <c r="D1112" t="s">
        <v>1020</v>
      </c>
      <c r="E1112" t="s">
        <v>1300</v>
      </c>
      <c r="F1112" t="s">
        <v>1216</v>
      </c>
      <c r="G1112" t="s">
        <v>1305</v>
      </c>
      <c r="H1112" t="s">
        <v>1290</v>
      </c>
      <c r="I1112">
        <v>1</v>
      </c>
      <c r="J1112" t="s">
        <v>99</v>
      </c>
      <c r="K1112" t="s">
        <v>1306</v>
      </c>
      <c r="L1112" t="s">
        <v>1307</v>
      </c>
      <c r="M1112" t="s">
        <v>1308</v>
      </c>
      <c r="N1112" t="s">
        <v>99</v>
      </c>
      <c r="O1112" t="e">
        <f>_xlfn.XLOOKUP(E1112,[1]syr_populatedplaces!$L:$L,[1]syr_populatedplaces!$M:$M)</f>
        <v>#N/A</v>
      </c>
      <c r="P1112" t="e">
        <f>_xlfn.XLOOKUP(E1112,[1]syr_populatedplaces!$L:$L,[1]syr_populatedplaces!$AD:$AD)</f>
        <v>#N/A</v>
      </c>
      <c r="Q1112" s="4" t="e">
        <f>_xlfn.XLOOKUP(الجدول1[[#This Row],[القرية– البلدة]],[1]syr_populatedplaces!$L:$L,[1]syr_populatedplaces!$AC:$AC)</f>
        <v>#N/A</v>
      </c>
    </row>
    <row r="1113" spans="2:17" ht="15">
      <c r="F1113" t="s">
        <v>346</v>
      </c>
      <c r="G1113" t="s">
        <v>259</v>
      </c>
      <c r="Q1113" s="4" t="e">
        <f>_xlfn.XLOOKUP(الجدول1[[#This Row],[القرية– البلدة]],[1]syr_populatedplaces!$L:$L,[1]syr_populatedplaces!$AC:$AC)</f>
        <v>#N/A</v>
      </c>
    </row>
    <row r="1114" spans="2:17" ht="15">
      <c r="F1114" t="s">
        <v>346</v>
      </c>
      <c r="G1114" t="s">
        <v>616</v>
      </c>
      <c r="Q1114" s="4" t="e">
        <f>_xlfn.XLOOKUP(الجدول1[[#This Row],[القرية– البلدة]],[1]syr_populatedplaces!$L:$L,[1]syr_populatedplaces!$AC:$AC)</f>
        <v>#N/A</v>
      </c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Storm_GIS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Emad ketaz</dc:creator>
  <cp:keywords/>
  <dc:description/>
  <cp:lastModifiedBy>Emad ketaz</cp:lastModifiedBy>
  <cp:revision/>
  <dcterms:created xsi:type="dcterms:W3CDTF">2026-09-13T11:52:27Z</dcterms:created>
  <dcterms:modified xsi:type="dcterms:W3CDTF">2026-09-15T12:58:43Z</dcterms:modified>
  <cp:category/>
  <cp:contentStatus/>
</cp:coreProperties>
</file>